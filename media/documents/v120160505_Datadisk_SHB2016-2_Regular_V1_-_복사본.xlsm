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eunghyun\Desktop\"/>
    </mc:Choice>
  </mc:AlternateContent>
  <bookViews>
    <workbookView xWindow="0" yWindow="0" windowWidth="23040" windowHeight="9150" activeTab="2"/>
  </bookViews>
  <sheets>
    <sheet name="Sheet A(R)" sheetId="1" r:id="rId1"/>
    <sheet name="Sheet B(R)" sheetId="2" r:id="rId2"/>
    <sheet name="Sheet C-1(R)" sheetId="3" r:id="rId3"/>
    <sheet name="Sheet C-2(R)" sheetId="4" r:id="rId4"/>
    <sheet name="Sheet C-3(R)" sheetId="5" r:id="rId5"/>
    <sheet name="Sheet D(R)" sheetId="6" r:id="rId6"/>
    <sheet name="Sheet E(R)" sheetId="7" r:id="rId7"/>
  </sheets>
  <externalReferences>
    <externalReference r:id="rId8"/>
    <externalReference r:id="rId9"/>
    <externalReference r:id="rId10"/>
  </externalReferences>
  <definedNames>
    <definedName name="_Fill" hidden="1">[1]전행순위!#REF!</definedName>
    <definedName name="_xlnm._FilterDatabase" localSheetId="0" hidden="1">'Sheet A(R)'!$A$9:$N$217</definedName>
    <definedName name="_xlnm._FilterDatabase" localSheetId="1" hidden="1">'Sheet B(R)'!$A$9:$Z$404</definedName>
    <definedName name="_xlnm._FilterDatabase" localSheetId="2" hidden="1">'Sheet C-1(R)'!$B$12:$CJ$244</definedName>
    <definedName name="_xlnm._FilterDatabase" localSheetId="3" hidden="1">'Sheet C-2(R)'!$B$9:$AG$365</definedName>
    <definedName name="_xlnm._FilterDatabase" localSheetId="4" hidden="1">'Sheet C-3(R)'!$B$9:$J$134</definedName>
    <definedName name="_xlnm._FilterDatabase" localSheetId="5" hidden="1">'Sheet D(R)'!$A$9:$S$20</definedName>
    <definedName name="_xlnm._FilterDatabase" localSheetId="6" hidden="1">'Sheet E(R)'!$A$9:$S$108</definedName>
    <definedName name="_Key1" hidden="1">#REF!</definedName>
    <definedName name="_Key2" hidden="1">#REF!</definedName>
    <definedName name="_MatInverse_Out" hidden="1">[2]Sheet3!#REF!</definedName>
    <definedName name="_MatMult_B" hidden="1">[2]Sheet3!#REF!</definedName>
    <definedName name="_Order1" hidden="1">255</definedName>
    <definedName name="_Order2" hidden="1">255</definedName>
    <definedName name="_Parse_In" hidden="1">#REF!</definedName>
    <definedName name="_Parse_Out" hidden="1">#REF!</definedName>
    <definedName name="_Sort" hidden="1">#REF!</definedName>
    <definedName name="AccessDatabase" hidden="1">"C:\파생DESK\평가\월말평가\2001년11월\국내요약200111.mdb"</definedName>
    <definedName name="AS2DocOpenMode" hidden="1">"AS2DocumentEdit"</definedName>
    <definedName name="BS추정" hidden="1">{"'보고양식'!$A$58:$K$111"}</definedName>
    <definedName name="ed" hidden="1">{"'보고양식'!$A$58:$K$111"}</definedName>
    <definedName name="HTML_CodePage" hidden="1">949</definedName>
    <definedName name="HTML_Control" hidden="1">{"'보고양식'!$A$58:$K$111"}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"C:\My Documents\98년\영업현황\2월 수주현황(2월 마감분).htm"</definedName>
    <definedName name="HTML_Title" hidden="1">""</definedName>
    <definedName name="HTML1_1" hidden="1">"[수주관리98.xls]회선현황!$A$5:$O$53"</definedName>
    <definedName name="HTML1_10" hidden="1">""</definedName>
    <definedName name="HTML1_11" hidden="1">1</definedName>
    <definedName name="HTML1_12" hidden="1">"C:\My Documents\98년\1월\영업현황\시험.htm"</definedName>
    <definedName name="HTML1_2" hidden="1">1</definedName>
    <definedName name="HTML1_3" hidden="1">"수주관리98"</definedName>
    <definedName name="HTML1_4" hidden="1">"회선현황"</definedName>
    <definedName name="HTML1_5" hidden="1">""</definedName>
    <definedName name="HTML1_6" hidden="1">-4146</definedName>
    <definedName name="HTML1_7" hidden="1">-4146</definedName>
    <definedName name="HTML1_8" hidden="1">"98-01-21"</definedName>
    <definedName name="HTML1_9" hidden="1">"김은광"</definedName>
    <definedName name="HTML10_1" hidden="1">"'[수주관리98.xls]2월1주차'!$A$1:$P$31"</definedName>
    <definedName name="HTML10_10" hidden="1">""</definedName>
    <definedName name="HTML10_11" hidden="1">1</definedName>
    <definedName name="HTML10_12" hidden="1">"C:\My Documents\98년\영업현황\일일현황-98.2.6.htm"</definedName>
    <definedName name="HTML10_2" hidden="1">1</definedName>
    <definedName name="HTML10_3" hidden="1">""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""</definedName>
    <definedName name="HTML10_9" hidden="1">""</definedName>
    <definedName name="HTML11_1" hidden="1">"'[수주관리98.xls]2월2주차'!$A$1:$P$21"</definedName>
    <definedName name="HTML11_10" hidden="1">""</definedName>
    <definedName name="HTML11_11" hidden="1">1</definedName>
    <definedName name="HTML11_12" hidden="1">"C:\My Documents\98년\영업현황\일일현황-98.2.12.htm"</definedName>
    <definedName name="HTML11_2" hidden="1">1</definedName>
    <definedName name="HTML11_3" hidden="1">""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""</definedName>
    <definedName name="HTML11_9" hidden="1">""</definedName>
    <definedName name="HTML12_1" hidden="1">"'[수주관리98.xls]2월2주차'!$A$1:$P$34"</definedName>
    <definedName name="HTML12_10" hidden="1">""</definedName>
    <definedName name="HTML12_11" hidden="1">1</definedName>
    <definedName name="HTML12_12" hidden="1">"C:\My Documents\98년\영업현황\일일현황-98.2.13.htm"</definedName>
    <definedName name="HTML12_2" hidden="1">1</definedName>
    <definedName name="HTML12_3" hidden="1">""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""</definedName>
    <definedName name="HTML12_9" hidden="1">""</definedName>
    <definedName name="HTML13_1" hidden="1">"'[수주관리98.xls]2월2주차'!$A$1:$P$19"</definedName>
    <definedName name="HTML13_10" hidden="1">""</definedName>
    <definedName name="HTML13_11" hidden="1">1</definedName>
    <definedName name="HTML13_12" hidden="1">"C:\My Documents\98년\영업현황\일일현황-98.2.12.htm"</definedName>
    <definedName name="HTML13_2" hidden="1">1</definedName>
    <definedName name="HTML13_3" hidden="1">""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""</definedName>
    <definedName name="HTML13_9" hidden="1">""</definedName>
    <definedName name="HTML14_1" hidden="1">"'[수주관리98.xls]2월2주차'!$A$1:$P$17"</definedName>
    <definedName name="HTML14_10" hidden="1">""</definedName>
    <definedName name="HTML14_11" hidden="1">1</definedName>
    <definedName name="HTML14_12" hidden="1">"C:\My Documents\98년\영업현황\일일현황-98.2.9.htm"</definedName>
    <definedName name="HTML14_2" hidden="1">1</definedName>
    <definedName name="HTML14_3" hidden="1">""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""</definedName>
    <definedName name="HTML14_9" hidden="1">""</definedName>
    <definedName name="HTML15_1" hidden="1">"'[수주관리98.xls]2월3주차'!$A$1:$P$20"</definedName>
    <definedName name="HTML15_10" hidden="1">""</definedName>
    <definedName name="HTML15_11" hidden="1">1</definedName>
    <definedName name="HTML15_12" hidden="1">"C:\My Documents\98년\영업현황\일일현황-98.2.16.htm"</definedName>
    <definedName name="HTML15_2" hidden="1">1</definedName>
    <definedName name="HTML15_3" hidden="1">""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""</definedName>
    <definedName name="HTML15_9" hidden="1">""</definedName>
    <definedName name="HTML16_1" hidden="1">"'[수주통합관리98_2_21.xls]2월3주차'!$A$1:$I$89"</definedName>
    <definedName name="HTML16_10" hidden="1">""</definedName>
    <definedName name="HTML16_11" hidden="1">1</definedName>
    <definedName name="HTML16_12" hidden="1">"C:\My Documents\98년\영업현황\일일현황-98.2.25.htm"</definedName>
    <definedName name="HTML16_2" hidden="1">1</definedName>
    <definedName name="HTML16_3" hidden="1">""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""</definedName>
    <definedName name="HTML16_9" hidden="1">""</definedName>
    <definedName name="HTML17_1" hidden="1">"'[수주통합관리98_2_21.xls]2월3주차'!$A$4:$H$30"</definedName>
    <definedName name="HTML17_10" hidden="1">""</definedName>
    <definedName name="HTML17_11" hidden="1">1</definedName>
    <definedName name="HTML17_12" hidden="1">"C:\My Documents\98년\영업현황\1월 수주현황.htm"</definedName>
    <definedName name="HTML17_2" hidden="1">1</definedName>
    <definedName name="HTML17_3" hidden="1">""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""</definedName>
    <definedName name="HTML17_9" hidden="1">""</definedName>
    <definedName name="HTML18_1" hidden="1">"'[수주통합관리98_2_21.xls]2월3주차'!$A$32:$I$58"</definedName>
    <definedName name="HTML18_10" hidden="1">""</definedName>
    <definedName name="HTML18_11" hidden="1">1</definedName>
    <definedName name="HTML18_12" hidden="1">"C:\My Documents\98년\영업현황\2월 수주현황(2월25일 현재).htm"</definedName>
    <definedName name="HTML18_2" hidden="1">1</definedName>
    <definedName name="HTML18_3" hidden="1">""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""</definedName>
    <definedName name="HTML18_9" hidden="1">""</definedName>
    <definedName name="HTML19_1" hidden="1">"'[수주통합관리98_2_21.xls]2월3주차'!$A$63:$F$89"</definedName>
    <definedName name="HTML19_10" hidden="1">""</definedName>
    <definedName name="HTML19_11" hidden="1">1</definedName>
    <definedName name="HTML19_12" hidden="1">"C:\My Documents\98년\영업현황\월별현황(2월25일 현재).htm"</definedName>
    <definedName name="HTML19_2" hidden="1">1</definedName>
    <definedName name="HTML19_3" hidden="1">""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""</definedName>
    <definedName name="HTML19_9" hidden="1">""</definedName>
    <definedName name="HTML2_1" hidden="1">"[수주관리98.xls]일일현황!$A$1:$L$10"</definedName>
    <definedName name="HTML2_10" hidden="1">""</definedName>
    <definedName name="HTML2_11" hidden="1">1</definedName>
    <definedName name="HTML2_12" hidden="1">"C:\My Documents\98년\1월\영업현황\일일현황-98.1.22.htm"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1</definedName>
    <definedName name="HTML2_8" hidden="1">"98-01-22"</definedName>
    <definedName name="HTML2_9" hidden="1">""</definedName>
    <definedName name="HTML20_1" hidden="1">"'[수주통합관리98_2_25.xls]2월4주차'!$A$71:$F$97"</definedName>
    <definedName name="HTML20_10" hidden="1">""</definedName>
    <definedName name="HTML20_11" hidden="1">1</definedName>
    <definedName name="HTML20_12" hidden="1">"C:\My Documents\98년\영업현황\월별현황(2월 마감분).htm"</definedName>
    <definedName name="HTML20_2" hidden="1">1</definedName>
    <definedName name="HTML20_3" hidden="1">""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""</definedName>
    <definedName name="HTML20_9" hidden="1">""</definedName>
    <definedName name="HTML21_1" hidden="1">"'[수주통합관리98_2_25.xls]2월4주차'!$A$4:$H$29"</definedName>
    <definedName name="HTML21_10" hidden="1">""</definedName>
    <definedName name="HTML21_11" hidden="1">1</definedName>
    <definedName name="HTML21_12" hidden="1">"C:\My Documents\98년\영업현황\1월 수주현황(1월 마감분).htm"</definedName>
    <definedName name="HTML21_2" hidden="1">1</definedName>
    <definedName name="HTML21_3" hidden="1">""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""</definedName>
    <definedName name="HTML21_9" hidden="1">""</definedName>
    <definedName name="HTML22_1" hidden="1">"'[수주통합관리98_2_25.xls]2월4주차'!$A$31:$I$66"</definedName>
    <definedName name="HTML22_10" hidden="1">""</definedName>
    <definedName name="HTML22_11" hidden="1">1</definedName>
    <definedName name="HTML22_12" hidden="1">"C:\My Documents\98년\영업현황\1월 수주현황(2월 마감분).htm"</definedName>
    <definedName name="HTML22_2" hidden="1">1</definedName>
    <definedName name="HTML22_3" hidden="1">""</definedName>
    <definedName name="HTML22_4" hidden="1">""</definedName>
    <definedName name="HTML22_5" hidden="1">""</definedName>
    <definedName name="HTML22_6" hidden="1">-4146</definedName>
    <definedName name="HTML22_7" hidden="1">-4146</definedName>
    <definedName name="HTML22_8" hidden="1">""</definedName>
    <definedName name="HTML22_9" hidden="1">""</definedName>
    <definedName name="HTML23_1" hidden="1">"[수주통합관리98_2_25.xls]보고양식!$A$32:$I$68"</definedName>
    <definedName name="HTML23_10" hidden="1">""</definedName>
    <definedName name="HTML23_11" hidden="1">1</definedName>
    <definedName name="HTML23_12" hidden="1">"C:\My Documents\98년\영업현황\2월 수주현황(2월 마감분).htm"</definedName>
    <definedName name="HTML23_2" hidden="1">1</definedName>
    <definedName name="HTML23_3" hidden="1">""</definedName>
    <definedName name="HTML23_4" hidden="1">""</definedName>
    <definedName name="HTML23_5" hidden="1">""</definedName>
    <definedName name="HTML23_6" hidden="1">-4146</definedName>
    <definedName name="HTML23_7" hidden="1">-4146</definedName>
    <definedName name="HTML23_8" hidden="1">""</definedName>
    <definedName name="HTML23_9" hidden="1">""</definedName>
    <definedName name="HTML24_1" hidden="1">"[수주통합관리98_2_25.xls]보고양식!$A$73:$F$98"</definedName>
    <definedName name="HTML24_10" hidden="1">""</definedName>
    <definedName name="HTML24_11" hidden="1">1</definedName>
    <definedName name="HTML24_12" hidden="1">"C:\My Documents\98년\영업현황\월별현황(2월 마감분).htm"</definedName>
    <definedName name="HTML24_2" hidden="1">1</definedName>
    <definedName name="HTML24_3" hidden="1">""</definedName>
    <definedName name="HTML24_4" hidden="1">""</definedName>
    <definedName name="HTML24_5" hidden="1">""</definedName>
    <definedName name="HTML24_6" hidden="1">-4146</definedName>
    <definedName name="HTML24_7" hidden="1">-4146</definedName>
    <definedName name="HTML24_8" hidden="1">""</definedName>
    <definedName name="HTML24_9" hidden="1">""</definedName>
    <definedName name="HTML25_1" hidden="1">"[수주통합관리98_2_25.xls]보고양식!$A$4:$I$29"</definedName>
    <definedName name="HTML25_10" hidden="1">""</definedName>
    <definedName name="HTML25_11" hidden="1">1</definedName>
    <definedName name="HTML25_12" hidden="1">"C:\My Documents\98년\영업현황\1월 수주현황(1월 마감분).htm"</definedName>
    <definedName name="HTML25_2" hidden="1">1</definedName>
    <definedName name="HTML25_3" hidden="1">""</definedName>
    <definedName name="HTML25_4" hidden="1">""</definedName>
    <definedName name="HTML25_5" hidden="1">""</definedName>
    <definedName name="HTML25_6" hidden="1">-4146</definedName>
    <definedName name="HTML25_7" hidden="1">-4146</definedName>
    <definedName name="HTML25_8" hidden="1">""</definedName>
    <definedName name="HTML25_9" hidden="1">""</definedName>
    <definedName name="HTML26_1" hidden="1">"[수주통합관리98_2_25.xls]보고양식!$A$31:$K$80"</definedName>
    <definedName name="HTML26_10" hidden="1">""</definedName>
    <definedName name="HTML26_11" hidden="1">1</definedName>
    <definedName name="HTML26_12" hidden="1">"C:\My Documents\98년\영업현황\2월 수주현황(2월 마감분).htm"</definedName>
    <definedName name="HTML26_2" hidden="1">1</definedName>
    <definedName name="HTML26_3" hidden="1">""</definedName>
    <definedName name="HTML26_4" hidden="1">""</definedName>
    <definedName name="HTML26_5" hidden="1">""</definedName>
    <definedName name="HTML26_6" hidden="1">-4146</definedName>
    <definedName name="HTML26_7" hidden="1">-4146</definedName>
    <definedName name="HTML26_8" hidden="1">""</definedName>
    <definedName name="HTML26_9" hidden="1">""</definedName>
    <definedName name="HTML27_1" hidden="1">"[수주통합관리98_2_25.xls]보고양식!$B$84:$G$109"</definedName>
    <definedName name="HTML27_10" hidden="1">""</definedName>
    <definedName name="HTML27_11" hidden="1">1</definedName>
    <definedName name="HTML27_12" hidden="1">"C:\My Documents\98년\영업현황\월별현황(2월 마감분).htm"</definedName>
    <definedName name="HTML27_2" hidden="1">1</definedName>
    <definedName name="HTML27_3" hidden="1">""</definedName>
    <definedName name="HTML27_4" hidden="1">""</definedName>
    <definedName name="HTML27_5" hidden="1">""</definedName>
    <definedName name="HTML27_6" hidden="1">-4146</definedName>
    <definedName name="HTML27_7" hidden="1">-4146</definedName>
    <definedName name="HTML27_8" hidden="1">""</definedName>
    <definedName name="HTML27_9" hidden="1">""</definedName>
    <definedName name="HTML28_1" hidden="1">"[수주통합관리98_3_2.xls]보고양식!$B$92:$G$117"</definedName>
    <definedName name="HTML28_10" hidden="1">""</definedName>
    <definedName name="HTML28_11" hidden="1">1</definedName>
    <definedName name="HTML28_12" hidden="1">"C:\My Documents\98년\영업현황\월별현황(2월 마감분).htm"</definedName>
    <definedName name="HTML28_2" hidden="1">1</definedName>
    <definedName name="HTML28_3" hidden="1">""</definedName>
    <definedName name="HTML28_4" hidden="1">""</definedName>
    <definedName name="HTML28_5" hidden="1">""</definedName>
    <definedName name="HTML28_6" hidden="1">-4146</definedName>
    <definedName name="HTML28_7" hidden="1">-4146</definedName>
    <definedName name="HTML28_8" hidden="1">""</definedName>
    <definedName name="HTML28_9" hidden="1">""</definedName>
    <definedName name="HTML29_1" hidden="1">"[수주통합관리98_3_2.xls]보고양식!$A$31:$K$88"</definedName>
    <definedName name="HTML29_10" hidden="1">""</definedName>
    <definedName name="HTML29_11" hidden="1">1</definedName>
    <definedName name="HTML29_12" hidden="1">"C:\My Documents\98년\영업현황\2월 수주현황(2월 마감분).htm"</definedName>
    <definedName name="HTML29_2" hidden="1">1</definedName>
    <definedName name="HTML29_3" hidden="1">""</definedName>
    <definedName name="HTML29_4" hidden="1">""</definedName>
    <definedName name="HTML29_5" hidden="1">""</definedName>
    <definedName name="HTML29_6" hidden="1">-4146</definedName>
    <definedName name="HTML29_7" hidden="1">-4146</definedName>
    <definedName name="HTML29_8" hidden="1">""</definedName>
    <definedName name="HTML29_9" hidden="1">""</definedName>
    <definedName name="HTML3_1" hidden="1">"[수주관리98.xls]일일현황!$A$1:$N$9"</definedName>
    <definedName name="HTML3_10" hidden="1">""</definedName>
    <definedName name="HTML3_11" hidden="1">1</definedName>
    <definedName name="HTML3_12" hidden="1">"C:\My Documents\98년\영업현황\일일현황-98.1.23.htm"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1</definedName>
    <definedName name="HTML3_7" hidden="1">1</definedName>
    <definedName name="HTML3_8" hidden="1">""</definedName>
    <definedName name="HTML3_9" hidden="1">""</definedName>
    <definedName name="HTML30_1" hidden="1">"'[사본 - 영업통합관리(수주.매출).xls]보고양식'!$A$114:$K$131"</definedName>
    <definedName name="HTML30_10" hidden="1">""</definedName>
    <definedName name="HTML30_11" hidden="1">1</definedName>
    <definedName name="HTML30_12" hidden="1">"C:\My Documents\98년\영업현황\일일현황-98.3.12.htm"</definedName>
    <definedName name="HTML30_2" hidden="1">1</definedName>
    <definedName name="HTML30_3" hidden="1">""</definedName>
    <definedName name="HTML30_4" hidden="1">""</definedName>
    <definedName name="HTML30_5" hidden="1">""</definedName>
    <definedName name="HTML30_6" hidden="1">-4146</definedName>
    <definedName name="HTML30_7" hidden="1">-4146</definedName>
    <definedName name="HTML30_8" hidden="1">""</definedName>
    <definedName name="HTML30_9" hidden="1">""</definedName>
    <definedName name="HTML4_1" hidden="1">"[수주관리98.xls]영업!$A$1:$N$15"</definedName>
    <definedName name="HTML4_10" hidden="1">""</definedName>
    <definedName name="HTML4_11" hidden="1">1</definedName>
    <definedName name="HTML4_12" hidden="1">"C:\My Documents\98년\영업현황\일일현황-98.1.31.htm"</definedName>
    <definedName name="HTML4_2" hidden="1">1</definedName>
    <definedName name="HTML4_3" hidden="1">""</definedName>
    <definedName name="HTML4_4" hidden="1">""</definedName>
    <definedName name="HTML4_5" hidden="1">""</definedName>
    <definedName name="HTML4_6" hidden="1">1</definedName>
    <definedName name="HTML4_7" hidden="1">1</definedName>
    <definedName name="HTML4_8" hidden="1">"98-01-31"</definedName>
    <definedName name="HTML4_9" hidden="1">""</definedName>
    <definedName name="HTML5_1" hidden="1">"[수주관리98.xls]영업!$A$1:$N$29"</definedName>
    <definedName name="HTML5_10" hidden="1">""</definedName>
    <definedName name="HTML5_11" hidden="1">1</definedName>
    <definedName name="HTML5_12" hidden="1">"C:\My Documents\98년\영업현황\일일현황-98.1.31.v.htm"</definedName>
    <definedName name="HTML5_2" hidden="1">1</definedName>
    <definedName name="HTML5_3" hidden="1">""</definedName>
    <definedName name="HTML5_4" hidden="1">""</definedName>
    <definedName name="HTML5_5" hidden="1">""</definedName>
    <definedName name="HTML5_6" hidden="1">1</definedName>
    <definedName name="HTML5_7" hidden="1">1</definedName>
    <definedName name="HTML5_8" hidden="1">""</definedName>
    <definedName name="HTML5_9" hidden="1">""</definedName>
    <definedName name="HTML6_1" hidden="1">"'[수주관리98.xls]2월'!$A$1:$P$48"</definedName>
    <definedName name="HTML6_10" hidden="1">""</definedName>
    <definedName name="HTML6_11" hidden="1">1</definedName>
    <definedName name="HTML6_12" hidden="1">"C:\My Documents\98년\영업현황\일일현황-98.1.31.htm"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""</definedName>
    <definedName name="HTML6_9" hidden="1">""</definedName>
    <definedName name="HTML7_1" hidden="1">"'[수주관리98.xls]2월'!$A$3:$P$30"</definedName>
    <definedName name="HTML7_10" hidden="1">""</definedName>
    <definedName name="HTML7_11" hidden="1">1</definedName>
    <definedName name="HTML7_12" hidden="1">"C:\My Documents\98년\영업현황\일일현황-98.1.31.htm"</definedName>
    <definedName name="HTML7_2" hidden="1">1</definedName>
    <definedName name="HTML7_3" hidden="1">""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""</definedName>
    <definedName name="HTML7_9" hidden="1">""</definedName>
    <definedName name="HTML8_1" hidden="1">"'[수주관리98.xls]2월'!$A$1:$P$30"</definedName>
    <definedName name="HTML8_10" hidden="1">""</definedName>
    <definedName name="HTML8_11" hidden="1">1</definedName>
    <definedName name="HTML8_12" hidden="1">"C:\My Documents\98년\영업현황\일일현황-98.1.31.htm"</definedName>
    <definedName name="HTML8_2" hidden="1">1</definedName>
    <definedName name="HTML8_3" hidden="1">""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""</definedName>
    <definedName name="HTML8_9" hidden="1">""</definedName>
    <definedName name="HTML9_1" hidden="1">"'[수주관리98.xls]2월'!$A$1:$P$19"</definedName>
    <definedName name="HTML9_10" hidden="1">""</definedName>
    <definedName name="HTML9_11" hidden="1">1</definedName>
    <definedName name="HTML9_12" hidden="1">"C:\My Documents\98년\영업현황\일일현황-98.2.10.htm"</definedName>
    <definedName name="HTML9_2" hidden="1">1</definedName>
    <definedName name="HTML9_3" hidden="1">""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""</definedName>
    <definedName name="HTML9_9" hidden="1">""</definedName>
    <definedName name="HTMLCount" hidden="1">30</definedName>
    <definedName name="KHN" hidden="1">{"'보고양식'!$A$58:$K$111"}</definedName>
    <definedName name="sds" hidden="1">{"'보고양식'!$A$58:$K$111"}</definedName>
    <definedName name="ws" hidden="1">{"'보고양식'!$A$58:$K$111"}</definedName>
    <definedName name="Z_E042587D_0492_40D5_A45A_469F1FEAF02D_.wvu.FilterData" localSheetId="0" hidden="1">'Sheet A(R)'!$B$9:$N$9</definedName>
    <definedName name="Z_E042587D_0492_40D5_A45A_469F1FEAF02D_.wvu.FilterData" localSheetId="1" hidden="1">'Sheet B(R)'!$A$9:$X$9</definedName>
    <definedName name="건전성" hidden="1">[3]연체대출!$A$9:$A$92</definedName>
    <definedName name="제조" hidden="1">#REF!</definedName>
  </definedNames>
  <calcPr calcId="171027" calcMode="manual" calcCompleted="0"/>
</workbook>
</file>

<file path=xl/calcChain.xml><?xml version="1.0" encoding="utf-8"?>
<calcChain xmlns="http://schemas.openxmlformats.org/spreadsheetml/2006/main">
  <c r="E10" i="3" l="1"/>
  <c r="E11" i="3"/>
  <c r="F10" i="3" s="1"/>
  <c r="N2" i="3" l="1"/>
  <c r="N3" i="3"/>
  <c r="N4" i="3"/>
  <c r="N5" i="3"/>
  <c r="N6" i="3"/>
  <c r="M2" i="3"/>
  <c r="M6" i="3" l="1"/>
  <c r="L6" i="3"/>
  <c r="K6" i="3"/>
  <c r="C6" i="3"/>
  <c r="M5" i="3"/>
  <c r="L5" i="3"/>
  <c r="K5" i="3"/>
  <c r="E5" i="3"/>
  <c r="C5" i="3"/>
  <c r="M4" i="3"/>
  <c r="L4" i="3"/>
  <c r="K4" i="3"/>
  <c r="E4" i="3"/>
  <c r="C4" i="3"/>
  <c r="M3" i="3"/>
  <c r="L3" i="3"/>
  <c r="K3" i="3"/>
  <c r="E3" i="3"/>
  <c r="C3" i="3"/>
  <c r="L2" i="3"/>
  <c r="K2" i="3"/>
  <c r="E2" i="3"/>
  <c r="C2" i="3"/>
  <c r="C7" i="3" l="1"/>
  <c r="D5" i="3" s="1"/>
  <c r="F2" i="3"/>
  <c r="F4" i="3"/>
  <c r="K7" i="3"/>
  <c r="L7" i="3"/>
  <c r="N7" i="3"/>
  <c r="M7" i="3"/>
  <c r="F3" i="3"/>
  <c r="E7" i="3"/>
  <c r="D3" i="3" l="1"/>
  <c r="D2" i="3"/>
  <c r="D6" i="3"/>
  <c r="D4" i="3"/>
  <c r="F7" i="3"/>
  <c r="J7" i="3"/>
  <c r="D7" i="3" l="1"/>
</calcChain>
</file>

<file path=xl/sharedStrings.xml><?xml version="1.0" encoding="utf-8"?>
<sst xmlns="http://schemas.openxmlformats.org/spreadsheetml/2006/main" count="16029" uniqueCount="3478">
  <si>
    <t>Sheet A</t>
  </si>
  <si>
    <t>차주일반정보 (Borrower Information)</t>
    <phoneticPr fontId="13" type="noConversion"/>
  </si>
  <si>
    <t>Borrower Identification Information</t>
  </si>
  <si>
    <t>Field 1</t>
  </si>
  <si>
    <t>Field 2</t>
  </si>
  <si>
    <t>Field 3</t>
  </si>
  <si>
    <t>Field 5</t>
  </si>
  <si>
    <t>Field 8</t>
  </si>
  <si>
    <t>Field 9</t>
  </si>
  <si>
    <t>Field 10</t>
  </si>
  <si>
    <t>Field 11</t>
  </si>
  <si>
    <t>Field 12</t>
  </si>
  <si>
    <t>Field 13</t>
  </si>
  <si>
    <t>Field 14</t>
  </si>
  <si>
    <t>Field 15</t>
  </si>
  <si>
    <t>Field 16</t>
  </si>
  <si>
    <t>Field 17</t>
  </si>
  <si>
    <t>Field 18</t>
  </si>
  <si>
    <t>Field 19</t>
  </si>
  <si>
    <t>Field 20</t>
  </si>
  <si>
    <t>일련번호</t>
  </si>
  <si>
    <t>제외/추가차주</t>
  </si>
  <si>
    <t>차주관리번호</t>
  </si>
  <si>
    <t>차주명</t>
  </si>
  <si>
    <t>Serial Number</t>
  </si>
  <si>
    <t>Excluded/Additional Borrower</t>
  </si>
  <si>
    <t>Borrower Control Number</t>
  </si>
  <si>
    <t>Borrower Name</t>
  </si>
  <si>
    <t>Converted Outstanding Principal Balance not including prepaid expense</t>
  </si>
  <si>
    <t>Sheet B</t>
  </si>
  <si>
    <t>채권일반정보 (Loan Information)</t>
    <phoneticPr fontId="13" type="noConversion"/>
  </si>
  <si>
    <t>Outstanding Loan Information</t>
  </si>
  <si>
    <t>Field 21</t>
  </si>
  <si>
    <t>Field 22</t>
  </si>
  <si>
    <t>Field 23</t>
  </si>
  <si>
    <t>최초대출일</t>
  </si>
  <si>
    <t>통화표시</t>
  </si>
  <si>
    <t>채권액 합계</t>
  </si>
  <si>
    <t xml:space="preserve"> Loan Type</t>
  </si>
  <si>
    <t>Loan Account Number</t>
  </si>
  <si>
    <t xml:space="preserve"> Interest Rate </t>
  </si>
  <si>
    <t>Origination Date</t>
  </si>
  <si>
    <t>Maturity Date</t>
  </si>
  <si>
    <t>Original Currency of Original Principal Balance</t>
  </si>
  <si>
    <t>Sum of OPB and Accrued Interest</t>
  </si>
  <si>
    <t>Property Basic Information</t>
  </si>
  <si>
    <t>Senior Claims</t>
  </si>
  <si>
    <t>Appraisal Information</t>
  </si>
  <si>
    <t>Credit Guarantee</t>
  </si>
  <si>
    <t>Description</t>
  </si>
  <si>
    <t>공장저당법 
적용 유무(Y)</t>
  </si>
  <si>
    <t>설정일자</t>
  </si>
  <si>
    <t>선순위 및 동순위
가압류/압류/가처분 금액</t>
  </si>
  <si>
    <t>Hypothecation of Factories´ Property Act 7</t>
  </si>
  <si>
    <t>Mortgage
Settlement
Date</t>
  </si>
  <si>
    <t>Senior Provisional Attachment or Attachment</t>
  </si>
  <si>
    <t>Senior &amp; Equal standing Provisional Attachment or Attachment Amount</t>
  </si>
  <si>
    <t xml:space="preserve"> Foreclosure - Filing Date</t>
  </si>
  <si>
    <t>Due Date for Distribution Request</t>
  </si>
  <si>
    <t>Foreclosure - Initial Minimum Bid Price</t>
  </si>
  <si>
    <t>Recent Foreclosure - Auction</t>
  </si>
  <si>
    <t>Recent Foreclosure - Auction Result</t>
  </si>
  <si>
    <t>Recent Foreclosure - First Auction Date</t>
  </si>
  <si>
    <t>Recent Foreclosure - Date</t>
  </si>
  <si>
    <t>Recent Foreclosure - Minimum Bid Price</t>
  </si>
  <si>
    <t>Next Foreclosure - Date</t>
  </si>
  <si>
    <t>Next Foreclosure - Minimum Bid Price</t>
  </si>
  <si>
    <t>Auctioned Date</t>
  </si>
  <si>
    <t>Auctioned off Price</t>
  </si>
  <si>
    <t>Due Date of Dividend</t>
  </si>
  <si>
    <t xml:space="preserve"> Appraisal Date</t>
  </si>
  <si>
    <t xml:space="preserve"> Appraisal Agency</t>
  </si>
  <si>
    <t>Appraisal Amount
- Land</t>
  </si>
  <si>
    <t>Appraisal Amount
- Building</t>
  </si>
  <si>
    <t>Appraisal Amount
- Improvement</t>
  </si>
  <si>
    <t xml:space="preserve"> Appraisal Amount- Total</t>
  </si>
  <si>
    <t>Deficiency Report</t>
  </si>
  <si>
    <t>울산광역시</t>
  </si>
  <si>
    <t>근린주택</t>
  </si>
  <si>
    <t>Simple</t>
  </si>
  <si>
    <t>KRW</t>
  </si>
  <si>
    <t>2~4</t>
  </si>
  <si>
    <t>Not Filed</t>
  </si>
  <si>
    <t>인천광역시</t>
  </si>
  <si>
    <t>중구</t>
  </si>
  <si>
    <t>숙박시설</t>
  </si>
  <si>
    <t>신용보증기금</t>
  </si>
  <si>
    <t>인천지방법원</t>
  </si>
  <si>
    <t>1~2,4</t>
  </si>
  <si>
    <t>1~2</t>
  </si>
  <si>
    <t>추후제공</t>
  </si>
  <si>
    <t>1~3</t>
  </si>
  <si>
    <t>조**</t>
  </si>
  <si>
    <t>경기도</t>
  </si>
  <si>
    <t>시흥시</t>
  </si>
  <si>
    <t>화성시</t>
  </si>
  <si>
    <t>공장</t>
  </si>
  <si>
    <t>Y</t>
  </si>
  <si>
    <t>1~4</t>
  </si>
  <si>
    <t>수원지방법원</t>
  </si>
  <si>
    <t>광주시</t>
  </si>
  <si>
    <t>신한은행</t>
  </si>
  <si>
    <t>수원지방법원 성남지원</t>
  </si>
  <si>
    <t>서울특별시</t>
  </si>
  <si>
    <t>서초구</t>
  </si>
  <si>
    <t>서초동</t>
  </si>
  <si>
    <t>아파트</t>
  </si>
  <si>
    <t>서울중앙지방법원</t>
  </si>
  <si>
    <t>구)조흥은행 설정 건임/</t>
  </si>
  <si>
    <t>이**</t>
  </si>
  <si>
    <t>부천시 오정구</t>
  </si>
  <si>
    <t>주유소</t>
  </si>
  <si>
    <t>연립</t>
  </si>
  <si>
    <t>국민은행</t>
  </si>
  <si>
    <t>서울북부지방법원</t>
  </si>
  <si>
    <t>의정부지방법원</t>
  </si>
  <si>
    <t>㈜대화감정평가법인</t>
  </si>
  <si>
    <t>답</t>
  </si>
  <si>
    <t>포천시</t>
  </si>
  <si>
    <t>강원도</t>
  </si>
  <si>
    <t>구로구</t>
  </si>
  <si>
    <t>구로동</t>
  </si>
  <si>
    <t>근린상가</t>
  </si>
  <si>
    <t>서울남부지방법원</t>
  </si>
  <si>
    <t>1순위 근저당권은 구)조흥은행 설정 건임/</t>
  </si>
  <si>
    <t>대구광역시</t>
  </si>
  <si>
    <t>달성군</t>
  </si>
  <si>
    <t>대구지방법원 서부지원</t>
  </si>
  <si>
    <t>남양주시</t>
  </si>
  <si>
    <t>단독주택</t>
  </si>
  <si>
    <t>정**</t>
  </si>
  <si>
    <t>양천구</t>
  </si>
  <si>
    <t>목동</t>
  </si>
  <si>
    <t>주상복합(주거)</t>
  </si>
  <si>
    <t>KB시세</t>
  </si>
  <si>
    <t>강**</t>
  </si>
  <si>
    <t>성북구</t>
  </si>
  <si>
    <t>오**</t>
  </si>
  <si>
    <t>양**</t>
  </si>
  <si>
    <t>전라북도</t>
  </si>
  <si>
    <t>전주지방법원</t>
  </si>
  <si>
    <t>유**</t>
  </si>
  <si>
    <t>영등포구</t>
  </si>
  <si>
    <t>고양시 일산동구</t>
  </si>
  <si>
    <t>의정부지방법원 고양지원</t>
  </si>
  <si>
    <t>부산광역시</t>
  </si>
  <si>
    <t>부산지방법원</t>
  </si>
  <si>
    <t>유찰</t>
  </si>
  <si>
    <t>임**</t>
  </si>
  <si>
    <t>용인시 수지구</t>
  </si>
  <si>
    <t>성복동</t>
  </si>
  <si>
    <t>서**</t>
  </si>
  <si>
    <t>김**</t>
  </si>
  <si>
    <t>동작구</t>
  </si>
  <si>
    <t>상도동</t>
  </si>
  <si>
    <t>부평구</t>
  </si>
  <si>
    <t>부개동</t>
  </si>
  <si>
    <t>백**</t>
  </si>
  <si>
    <t>식사동</t>
  </si>
  <si>
    <t>대지권 미등기</t>
  </si>
  <si>
    <t>송정동</t>
  </si>
  <si>
    <t>용인시 기흥구</t>
  </si>
  <si>
    <t>고양시 일산서구</t>
  </si>
  <si>
    <t>오피스텔(주거)</t>
  </si>
  <si>
    <t>충청북도</t>
  </si>
  <si>
    <t>청주시 흥덕구</t>
  </si>
  <si>
    <t>복대동</t>
  </si>
  <si>
    <t>청주지방법원</t>
  </si>
  <si>
    <t>박**</t>
  </si>
  <si>
    <t>장항동</t>
  </si>
  <si>
    <t>파주시</t>
  </si>
  <si>
    <t>안양시 동안구</t>
  </si>
  <si>
    <t>인천지방법원 부천지원</t>
  </si>
  <si>
    <t>전**</t>
  </si>
  <si>
    <t xml:space="preserve">고양시 덕양구 </t>
  </si>
  <si>
    <t>최**</t>
  </si>
  <si>
    <t>이천시</t>
  </si>
  <si>
    <t>임야</t>
  </si>
  <si>
    <t>수원지방법원 여주지원</t>
  </si>
  <si>
    <t>황**</t>
  </si>
  <si>
    <t>강릉시</t>
  </si>
  <si>
    <t>춘천지방법원 강릉지원</t>
  </si>
  <si>
    <t>일산동</t>
  </si>
  <si>
    <t>장**</t>
  </si>
  <si>
    <t>남구</t>
  </si>
  <si>
    <t>노원구</t>
  </si>
  <si>
    <t>노**</t>
  </si>
  <si>
    <t>대지</t>
  </si>
  <si>
    <t>서구</t>
  </si>
  <si>
    <t>화도읍 마석우리</t>
  </si>
  <si>
    <t>평택시</t>
  </si>
  <si>
    <t>김포시</t>
  </si>
  <si>
    <t xml:space="preserve"> </t>
    <phoneticPr fontId="47" type="noConversion"/>
  </si>
  <si>
    <t>강서구</t>
  </si>
  <si>
    <t>안**</t>
  </si>
  <si>
    <t>송파구</t>
  </si>
  <si>
    <t>서울동부지방법원</t>
  </si>
  <si>
    <t>부천시 원미구</t>
  </si>
  <si>
    <t>비산동</t>
  </si>
  <si>
    <t>기술신용보증기금</t>
  </si>
  <si>
    <t>수원지방법원 안양지원</t>
  </si>
  <si>
    <t>가좌동</t>
  </si>
  <si>
    <t>배**</t>
  </si>
  <si>
    <t>진천군</t>
  </si>
  <si>
    <t>광혜원면 광혜원리</t>
  </si>
  <si>
    <t>송**</t>
  </si>
  <si>
    <t>계양구</t>
  </si>
  <si>
    <t>작전동</t>
  </si>
  <si>
    <t>신**</t>
  </si>
  <si>
    <t>광진구</t>
  </si>
  <si>
    <t>경상남도</t>
  </si>
  <si>
    <t>문**</t>
  </si>
  <si>
    <t>서대문구</t>
  </si>
  <si>
    <t>서울서부지방법원</t>
  </si>
  <si>
    <t>윤**</t>
  </si>
  <si>
    <t>청주시 상당구</t>
  </si>
  <si>
    <t>여주시</t>
  </si>
  <si>
    <t>수원지방법원 안산지원</t>
  </si>
  <si>
    <t>의정부시</t>
  </si>
  <si>
    <t>용현동</t>
  </si>
  <si>
    <t>다세대</t>
  </si>
  <si>
    <t>한**</t>
  </si>
  <si>
    <t>고양시 덕양구</t>
  </si>
  <si>
    <t>㈜써브감정평가법인</t>
  </si>
  <si>
    <t>초월읍 대쌍령리</t>
  </si>
  <si>
    <t>전</t>
  </si>
  <si>
    <t>손**</t>
  </si>
  <si>
    <t>남동구</t>
  </si>
  <si>
    <t>구월동</t>
  </si>
  <si>
    <t>동대문구</t>
  </si>
  <si>
    <t>석남동</t>
  </si>
  <si>
    <t>마포구</t>
  </si>
  <si>
    <t>대전광역시</t>
  </si>
  <si>
    <t>학익동</t>
  </si>
  <si>
    <t>권**</t>
  </si>
  <si>
    <t>탄현동</t>
  </si>
  <si>
    <t>추**</t>
  </si>
  <si>
    <t>대전지방법원</t>
  </si>
  <si>
    <t>간석동</t>
  </si>
  <si>
    <t>차**</t>
  </si>
  <si>
    <t>안양시 만안구</t>
  </si>
  <si>
    <t>석수동</t>
  </si>
  <si>
    <t>중랑구</t>
  </si>
  <si>
    <t>경상북도</t>
  </si>
  <si>
    <t>용산구</t>
  </si>
  <si>
    <t>Sheet C-2</t>
    <phoneticPr fontId="13" type="noConversion"/>
  </si>
  <si>
    <t>담보정보_지번별 (Lien Chart)</t>
    <phoneticPr fontId="13" type="noConversion"/>
  </si>
  <si>
    <t>Lien Address 1 (특별,광역시/도)</t>
  </si>
  <si>
    <t>Lien Address 2 (시/군/구)</t>
  </si>
  <si>
    <t>Lien Address 3 (동/리/읍/면)</t>
  </si>
  <si>
    <t>Lien Address 4 (나머지 상세지번 /기타재산 내역)</t>
  </si>
  <si>
    <t>부동산외 
기타 담보 종류</t>
  </si>
  <si>
    <t>대지권비율</t>
  </si>
  <si>
    <t>소유지분</t>
  </si>
  <si>
    <t>설정순위</t>
  </si>
  <si>
    <t>근저당권설정액</t>
  </si>
  <si>
    <t>환산후
근저당권설정액</t>
  </si>
  <si>
    <t>근저당권
일부이전된 순위</t>
  </si>
  <si>
    <t>선순위
설정순위</t>
  </si>
  <si>
    <t>선순위
근저당권설정액</t>
  </si>
  <si>
    <t>환산후 선순위
근저당권설정액</t>
  </si>
  <si>
    <t>비고</t>
  </si>
  <si>
    <t>Property Serial Number</t>
  </si>
  <si>
    <t>Title Report Serial Number on Property Control Number</t>
  </si>
  <si>
    <t>Lien Address 1 (Province)</t>
  </si>
  <si>
    <t>Lien Address 2 (City)</t>
  </si>
  <si>
    <t>Lien Address 3 (Dong)</t>
  </si>
  <si>
    <t>Lien Address 4 (Detail)</t>
  </si>
  <si>
    <t>Lien Type - Detail</t>
  </si>
  <si>
    <t>Lien Size- Land</t>
  </si>
  <si>
    <t>Lien Size- Improvement</t>
  </si>
  <si>
    <t>Lien Size- Others</t>
  </si>
  <si>
    <t>Other Property Type</t>
  </si>
  <si>
    <t>Ratio</t>
  </si>
  <si>
    <t>Ownership Ratio</t>
  </si>
  <si>
    <t>Name of Owner</t>
  </si>
  <si>
    <t>Mortgage Position</t>
  </si>
  <si>
    <t>Original Currency of Mortgage Amount</t>
  </si>
  <si>
    <t>Mortgage Amount</t>
  </si>
  <si>
    <t>Converted Mortgage Amount</t>
  </si>
  <si>
    <t>Partial Transfer Position of Mortgage</t>
  </si>
  <si>
    <t>Senior Mortgage Position</t>
  </si>
  <si>
    <t>Senior Mortgage Amount</t>
  </si>
  <si>
    <t>Converted Senior Mortgage Amount</t>
  </si>
  <si>
    <t>채**</t>
  </si>
  <si>
    <t>대지권 미분할</t>
  </si>
  <si>
    <t>Sheet C-3</t>
    <phoneticPr fontId="13" type="noConversion"/>
  </si>
  <si>
    <t>담보정보_설정순위 (Property Mortgage Position)</t>
    <phoneticPr fontId="13" type="noConversion"/>
  </si>
  <si>
    <t>Field 4</t>
  </si>
  <si>
    <t>Field 6</t>
  </si>
  <si>
    <t>Field 7</t>
  </si>
  <si>
    <t>근저당권자</t>
  </si>
  <si>
    <t>설정일
(가압류결정일)</t>
  </si>
  <si>
    <t>설정구분
(포괄/한정 등)</t>
  </si>
  <si>
    <t>설정금액</t>
  </si>
  <si>
    <t>설정금액
(원화환산)</t>
  </si>
  <si>
    <t>공담표시</t>
  </si>
  <si>
    <t xml:space="preserve"> Mortgage
Claim</t>
  </si>
  <si>
    <t>Mortgagee</t>
  </si>
  <si>
    <t>Mortgage Type</t>
  </si>
  <si>
    <t>Original Currency of Property Mortgage Amount</t>
  </si>
  <si>
    <t>Property Mortgage Cross- Collateralized</t>
  </si>
  <si>
    <t>Sheet D</t>
    <phoneticPr fontId="13" type="noConversion"/>
  </si>
  <si>
    <t>신용보증서 정보 (Letter of Credit Guarantee Information)</t>
    <phoneticPr fontId="13" type="noConversion"/>
  </si>
  <si>
    <t>Letter of Credit Guarantee Information</t>
  </si>
  <si>
    <t>Guarantor</t>
  </si>
  <si>
    <t>Date of Credit Guarantee</t>
  </si>
  <si>
    <t>Registration Date</t>
  </si>
  <si>
    <t>Claim Date of Unpaid Letter of Credit Guarantee</t>
  </si>
  <si>
    <t>Guarantee Type</t>
  </si>
  <si>
    <t>Guarantee Ratio</t>
  </si>
  <si>
    <t>Currency</t>
  </si>
  <si>
    <t>Guaranteed Amount</t>
  </si>
  <si>
    <t>Balance of Credit Guarantee</t>
  </si>
  <si>
    <t>Converted Balance of Credit Guarantee</t>
  </si>
  <si>
    <t>전자경기신용보증서</t>
  </si>
  <si>
    <t>전자신용보증서(신보)</t>
  </si>
  <si>
    <t>전자신용보증서(기보)</t>
  </si>
  <si>
    <t>3**-0**-7***80</t>
  </si>
  <si>
    <t>Sheet E</t>
    <phoneticPr fontId="13" type="noConversion"/>
  </si>
  <si>
    <t>MCI보증서 정보 (Letter of MCI Credit Guarantee Information)</t>
    <phoneticPr fontId="13" type="noConversion"/>
  </si>
  <si>
    <t>모기지담보보증보험(신)</t>
  </si>
  <si>
    <t>3**-0**-2***94</t>
  </si>
  <si>
    <t>3**-0**-7***50</t>
  </si>
  <si>
    <t>3**-0**-0***99</t>
  </si>
  <si>
    <t>모기지담보보증보험(구)</t>
  </si>
  <si>
    <t>3**-0**-0***72</t>
  </si>
  <si>
    <t>&lt;기시&gt;일반자금대출(분할상환)</t>
  </si>
  <si>
    <t>&lt;기운&gt;일반자금대출(일시상환)</t>
  </si>
  <si>
    <t>&lt;기운&gt;종합통장대출(일반)</t>
  </si>
  <si>
    <t>3**-0**-4***64</t>
  </si>
  <si>
    <t>&lt;기시&gt;일반자금대출(일시상환)</t>
  </si>
  <si>
    <t>&lt;가계&gt;일반자금대출 플러스모기지론(분할상환) 신보출연</t>
  </si>
  <si>
    <t>&lt;기운&gt;일반자금대출(일시상환)신한Tops오일론</t>
  </si>
  <si>
    <t>&lt;가계&gt;일반자금대출(유동성한도)</t>
  </si>
  <si>
    <t>&lt;가계&gt;일반자금대출(만기일시상환)</t>
  </si>
  <si>
    <t>3**-0**-0***92</t>
  </si>
  <si>
    <t>3**-0**-2***72</t>
  </si>
  <si>
    <t>3**-0**-2***79</t>
  </si>
  <si>
    <t>3**-0**-3***33</t>
  </si>
  <si>
    <t>3**-0**-0***28</t>
  </si>
  <si>
    <t>3**-0**-5***19</t>
  </si>
  <si>
    <t>&lt;가계&gt;일반자금대출 플러스모기지론(만기일시) 신보출연</t>
  </si>
  <si>
    <t>&lt;가계&gt;금리안전모기지론(분할상환,신보출연,플러스모기지론준용) 혼합형</t>
  </si>
  <si>
    <t>3**-0**-2***69</t>
  </si>
  <si>
    <t>3**-0**-2***58</t>
  </si>
  <si>
    <t>3**-0**-6***08</t>
  </si>
  <si>
    <t>3**-0**-6***80</t>
  </si>
  <si>
    <t>3**-0**-6***43</t>
  </si>
  <si>
    <t>&lt;가계&gt;일반자금대출 플러스모기지론(분할상환)</t>
  </si>
  <si>
    <t>3**-0**-8***29</t>
  </si>
  <si>
    <t>3**-0**-1***42</t>
  </si>
  <si>
    <t>3**-0**-2***14</t>
  </si>
  <si>
    <t>3**-0**-3***42</t>
  </si>
  <si>
    <t>&lt;기운&gt;일반자금대출(분할상환)</t>
  </si>
  <si>
    <t>3**-0**-9***11</t>
  </si>
  <si>
    <t>3**-0**-1***71</t>
  </si>
  <si>
    <t>3**-0**-6***90</t>
  </si>
  <si>
    <t>3**-0**-2***50</t>
  </si>
  <si>
    <t>3**-0**-7***49</t>
  </si>
  <si>
    <t>3**-0**-7***55</t>
  </si>
  <si>
    <t>3**-0**-7***56</t>
  </si>
  <si>
    <t>3**-0**-2***86</t>
  </si>
  <si>
    <t>3**-0**-1***00</t>
  </si>
  <si>
    <t>3**-0**-4***20</t>
  </si>
  <si>
    <t>3**-0**-0***00</t>
  </si>
  <si>
    <t>3**-0**-7***36</t>
  </si>
  <si>
    <t>3**-0**-4***81</t>
  </si>
  <si>
    <t>3**-0**-6***74</t>
  </si>
  <si>
    <t>3**-0**-6***50</t>
  </si>
  <si>
    <t>3**-0**-2***08</t>
  </si>
  <si>
    <t>3**-0**-7***74</t>
  </si>
  <si>
    <t>3**-0**-8***89</t>
  </si>
  <si>
    <t>Borrower Type</t>
    <phoneticPr fontId="13" type="noConversion"/>
  </si>
  <si>
    <t xml:space="preserve">Summary of the Loans to Be Sold </t>
    <phoneticPr fontId="13" type="noConversion"/>
  </si>
  <si>
    <t>Deposit</t>
    <phoneticPr fontId="13" type="noConversion"/>
  </si>
  <si>
    <t>Description</t>
    <phoneticPr fontId="13" type="noConversion"/>
  </si>
  <si>
    <t>Field 4</t>
    <phoneticPr fontId="4" type="noConversion"/>
  </si>
  <si>
    <t>Field 6</t>
    <phoneticPr fontId="4" type="noConversion"/>
  </si>
  <si>
    <t>Field 7</t>
    <phoneticPr fontId="4" type="noConversion"/>
  </si>
  <si>
    <t>차주구분</t>
    <phoneticPr fontId="13" type="noConversion"/>
  </si>
  <si>
    <r>
      <t>미상환원금잔액
(가지급금</t>
    </r>
    <r>
      <rPr>
        <sz val="9"/>
        <rFont val="맑은 고딕"/>
        <family val="3"/>
        <charset val="129"/>
      </rPr>
      <t xml:space="preserve"> 제외)</t>
    </r>
    <phoneticPr fontId="13" type="noConversion"/>
  </si>
  <si>
    <t>가지급금잔액</t>
    <phoneticPr fontId="13" type="noConversion"/>
  </si>
  <si>
    <t>미상환원금잔액
(가지급금 포함)</t>
    <phoneticPr fontId="13" type="noConversion"/>
  </si>
  <si>
    <t>채권액 합계</t>
    <phoneticPr fontId="13" type="noConversion"/>
  </si>
  <si>
    <t>자산확정일 이전 공탁금</t>
    <phoneticPr fontId="25" type="noConversion"/>
  </si>
  <si>
    <t>상계예정 예금금액</t>
    <phoneticPr fontId="13" type="noConversion"/>
  </si>
  <si>
    <t>비고</t>
    <phoneticPr fontId="13" type="noConversion"/>
  </si>
  <si>
    <t>Borrower Classification</t>
    <phoneticPr fontId="13" type="noConversion"/>
  </si>
  <si>
    <t>Prepaid expense</t>
    <phoneticPr fontId="13" type="noConversion"/>
  </si>
  <si>
    <t>Converted Outstanding Principal Balance including prepaid expense</t>
    <phoneticPr fontId="13" type="noConversion"/>
  </si>
  <si>
    <t>Sum of OPB and Accrued Interest</t>
    <phoneticPr fontId="13" type="noConversion"/>
  </si>
  <si>
    <t>Pre-Cut-off Date Court Deposit</t>
    <phoneticPr fontId="13" type="noConversion"/>
  </si>
  <si>
    <t>Deposits to Be Set-off</t>
    <phoneticPr fontId="13" type="noConversion"/>
  </si>
  <si>
    <t>Deficiency Report</t>
    <phoneticPr fontId="13" type="noConversion"/>
  </si>
  <si>
    <t>Loan Information</t>
  </si>
  <si>
    <t>대출과목</t>
  </si>
  <si>
    <t>계좌번호</t>
  </si>
  <si>
    <t>계좌일련번호</t>
  </si>
  <si>
    <t>이자율(%)</t>
  </si>
  <si>
    <t>대출만기일</t>
  </si>
  <si>
    <t>최종이수일</t>
  </si>
  <si>
    <t>연체발생일</t>
  </si>
  <si>
    <t>최초대출원금</t>
  </si>
  <si>
    <t>미상환원금잔액
(가지급금 제외)</t>
  </si>
  <si>
    <t>환산된 미상환원금잔액
(가지급금 제외)</t>
  </si>
  <si>
    <t>가지급금</t>
  </si>
  <si>
    <t>환산된 미상환원금잔액
(가지급금 포함)</t>
  </si>
  <si>
    <t>Last Payment Date</t>
  </si>
  <si>
    <t>Starting Date of Overdue Payment</t>
  </si>
  <si>
    <t>Original Principal Balance</t>
  </si>
  <si>
    <t>Outstanding Principal Balance not including prepaid expense</t>
  </si>
  <si>
    <t>Prepaid expense</t>
  </si>
  <si>
    <t>Converted Outstanding Principal Balance including prepaid expense</t>
  </si>
  <si>
    <t xml:space="preserve">Deficiency Report </t>
  </si>
  <si>
    <t>양주시</t>
  </si>
  <si>
    <t xml:space="preserve"> </t>
  </si>
  <si>
    <t>상가</t>
  </si>
  <si>
    <t>도로</t>
  </si>
  <si>
    <t>각 2분의 1</t>
  </si>
  <si>
    <t>한정</t>
  </si>
  <si>
    <t>관련 대출채권 계좌번호</t>
  </si>
  <si>
    <t>보증기관</t>
  </si>
  <si>
    <t>Account No</t>
  </si>
  <si>
    <t>서울보증보험</t>
  </si>
  <si>
    <t>특정</t>
  </si>
  <si>
    <t>매각준비</t>
  </si>
  <si>
    <t>2~3</t>
  </si>
  <si>
    <t>1,3</t>
  </si>
  <si>
    <t>SHB 2016-2 Program</t>
    <phoneticPr fontId="13" type="noConversion"/>
  </si>
  <si>
    <t>S-012</t>
  </si>
  <si>
    <t>S-015</t>
  </si>
  <si>
    <t>R-001</t>
  </si>
  <si>
    <t>R-002</t>
  </si>
  <si>
    <t>R-003</t>
  </si>
  <si>
    <t>R-004</t>
  </si>
  <si>
    <t>R-005</t>
  </si>
  <si>
    <t>R-006</t>
  </si>
  <si>
    <t>R-007</t>
  </si>
  <si>
    <t>R-008</t>
  </si>
  <si>
    <t>R-009</t>
  </si>
  <si>
    <t>R-010</t>
  </si>
  <si>
    <t>R-011</t>
  </si>
  <si>
    <t>R-012</t>
  </si>
  <si>
    <t>R-013</t>
  </si>
  <si>
    <t>R-014</t>
  </si>
  <si>
    <t>R-015</t>
  </si>
  <si>
    <t>R-016</t>
  </si>
  <si>
    <t>R-017</t>
  </si>
  <si>
    <t>R-018</t>
  </si>
  <si>
    <t>R-019</t>
  </si>
  <si>
    <t>R-020</t>
  </si>
  <si>
    <t>R-021</t>
  </si>
  <si>
    <t>R-022</t>
  </si>
  <si>
    <t>R-023</t>
  </si>
  <si>
    <t>R-024</t>
  </si>
  <si>
    <t>R-025</t>
  </si>
  <si>
    <t>R-026</t>
  </si>
  <si>
    <t>R-027</t>
  </si>
  <si>
    <t>R-028</t>
  </si>
  <si>
    <t>R-029</t>
  </si>
  <si>
    <t>R-030</t>
  </si>
  <si>
    <t>R-031</t>
  </si>
  <si>
    <t>R-032</t>
  </si>
  <si>
    <t>R-033</t>
  </si>
  <si>
    <t>R-034</t>
  </si>
  <si>
    <t>R-035</t>
  </si>
  <si>
    <t>R-036</t>
  </si>
  <si>
    <t>R-037</t>
  </si>
  <si>
    <t>R-038</t>
  </si>
  <si>
    <t>R-039</t>
  </si>
  <si>
    <t>R-040</t>
  </si>
  <si>
    <t>R-041</t>
  </si>
  <si>
    <t>R-042</t>
  </si>
  <si>
    <t>R-043</t>
  </si>
  <si>
    <t>R-044</t>
  </si>
  <si>
    <t>R-045</t>
  </si>
  <si>
    <t>R-046</t>
  </si>
  <si>
    <t>R-047</t>
  </si>
  <si>
    <t>R-048</t>
  </si>
  <si>
    <t>R-049</t>
  </si>
  <si>
    <t>R-050</t>
  </si>
  <si>
    <t>R-051</t>
  </si>
  <si>
    <t>R-052</t>
  </si>
  <si>
    <t>R-053</t>
  </si>
  <si>
    <t>R-054</t>
  </si>
  <si>
    <t>R-055</t>
  </si>
  <si>
    <t>R-056</t>
  </si>
  <si>
    <t>R-057</t>
  </si>
  <si>
    <t>R-058</t>
  </si>
  <si>
    <t>R-059</t>
  </si>
  <si>
    <t>R-060</t>
  </si>
  <si>
    <t>R-061</t>
  </si>
  <si>
    <t>R-062</t>
  </si>
  <si>
    <t>R-063</t>
  </si>
  <si>
    <t>R-064</t>
  </si>
  <si>
    <t>R-065</t>
  </si>
  <si>
    <t>R-066</t>
  </si>
  <si>
    <t>R-067</t>
  </si>
  <si>
    <t>R-068</t>
  </si>
  <si>
    <t>R-069</t>
  </si>
  <si>
    <t>R-070</t>
  </si>
  <si>
    <t>R-071</t>
  </si>
  <si>
    <t>R-072</t>
  </si>
  <si>
    <t>R-073</t>
  </si>
  <si>
    <t>R-074</t>
  </si>
  <si>
    <t>R-075</t>
  </si>
  <si>
    <t>R-076</t>
  </si>
  <si>
    <t>R-077</t>
  </si>
  <si>
    <t>R-078</t>
  </si>
  <si>
    <t>R-079</t>
  </si>
  <si>
    <t>R-080</t>
  </si>
  <si>
    <t>R-081</t>
  </si>
  <si>
    <t>R-082</t>
  </si>
  <si>
    <t>R-083</t>
  </si>
  <si>
    <t>R-084</t>
  </si>
  <si>
    <t>R-085</t>
  </si>
  <si>
    <t>R-086</t>
  </si>
  <si>
    <t>R-087</t>
  </si>
  <si>
    <t>R-088</t>
  </si>
  <si>
    <t>R-089</t>
  </si>
  <si>
    <t>R-090</t>
  </si>
  <si>
    <t>R-091</t>
  </si>
  <si>
    <t>R-092</t>
  </si>
  <si>
    <t>R-093</t>
  </si>
  <si>
    <t>R-094</t>
  </si>
  <si>
    <t>R-095</t>
  </si>
  <si>
    <t>R-096</t>
  </si>
  <si>
    <t>R-097</t>
  </si>
  <si>
    <t>R-099</t>
  </si>
  <si>
    <t>R-100</t>
  </si>
  <si>
    <t>R-101</t>
  </si>
  <si>
    <t>R-102</t>
  </si>
  <si>
    <t>R-103</t>
  </si>
  <si>
    <t>R-104</t>
  </si>
  <si>
    <t>R-105</t>
  </si>
  <si>
    <t>R-106</t>
  </si>
  <si>
    <t>R-107</t>
  </si>
  <si>
    <t>R-108</t>
  </si>
  <si>
    <t>R-109</t>
  </si>
  <si>
    <t>R-110</t>
  </si>
  <si>
    <t>R-111</t>
  </si>
  <si>
    <t>R-112</t>
  </si>
  <si>
    <t>R-113</t>
  </si>
  <si>
    <t>R-114</t>
  </si>
  <si>
    <t>R-115</t>
  </si>
  <si>
    <t>R-116</t>
  </si>
  <si>
    <t>R-117</t>
  </si>
  <si>
    <t>R-118</t>
  </si>
  <si>
    <t>R-119</t>
  </si>
  <si>
    <t>R-120</t>
  </si>
  <si>
    <t>R-121</t>
  </si>
  <si>
    <t>R-122</t>
  </si>
  <si>
    <t>R-123</t>
  </si>
  <si>
    <t>R-124</t>
  </si>
  <si>
    <t>R-125</t>
  </si>
  <si>
    <t>R-126</t>
  </si>
  <si>
    <t>R-127</t>
  </si>
  <si>
    <t>R-128</t>
  </si>
  <si>
    <t>R-129</t>
  </si>
  <si>
    <t>R-130</t>
  </si>
  <si>
    <t>R-131</t>
  </si>
  <si>
    <t>R-132</t>
  </si>
  <si>
    <t>R-133</t>
  </si>
  <si>
    <t>R-134</t>
  </si>
  <si>
    <t>R-135</t>
  </si>
  <si>
    <t>R-136</t>
  </si>
  <si>
    <t>R-137</t>
  </si>
  <si>
    <t>R-138</t>
  </si>
  <si>
    <t>R-139</t>
  </si>
  <si>
    <t>R-140</t>
  </si>
  <si>
    <t>R-141</t>
  </si>
  <si>
    <t>R-142</t>
  </si>
  <si>
    <t>R-144</t>
  </si>
  <si>
    <t>R-145</t>
  </si>
  <si>
    <t>R-146</t>
  </si>
  <si>
    <t>R-147</t>
  </si>
  <si>
    <t>R-148</t>
  </si>
  <si>
    <t>R-149</t>
  </si>
  <si>
    <t>R-150</t>
  </si>
  <si>
    <t>R-151</t>
  </si>
  <si>
    <t>R-152</t>
  </si>
  <si>
    <t>R-153</t>
  </si>
  <si>
    <t>R-154</t>
  </si>
  <si>
    <t>R-155</t>
  </si>
  <si>
    <t>R-157</t>
  </si>
  <si>
    <t>R-158</t>
  </si>
  <si>
    <t>R-159</t>
  </si>
  <si>
    <t>R-160</t>
  </si>
  <si>
    <t>R-161</t>
  </si>
  <si>
    <t>R-162</t>
  </si>
  <si>
    <t>R-163</t>
  </si>
  <si>
    <t>R-164</t>
  </si>
  <si>
    <t>R-165</t>
  </si>
  <si>
    <t>R-166</t>
  </si>
  <si>
    <t>R-167</t>
  </si>
  <si>
    <t>R-168</t>
  </si>
  <si>
    <t>R-170</t>
  </si>
  <si>
    <t>R-171</t>
  </si>
  <si>
    <t>R-172</t>
  </si>
  <si>
    <t>R-173</t>
  </si>
  <si>
    <t>R-174</t>
  </si>
  <si>
    <t>R-175</t>
  </si>
  <si>
    <t>R-176</t>
  </si>
  <si>
    <t>R-177</t>
  </si>
  <si>
    <t>R-178</t>
  </si>
  <si>
    <t>R-179</t>
  </si>
  <si>
    <t>R-180</t>
  </si>
  <si>
    <t>R-181</t>
  </si>
  <si>
    <t>R-182</t>
  </si>
  <si>
    <t>R-183</t>
  </si>
  <si>
    <t>R-184</t>
  </si>
  <si>
    <t>R-185</t>
  </si>
  <si>
    <t>R-187</t>
  </si>
  <si>
    <t>R-188</t>
  </si>
  <si>
    <t>R-189</t>
  </si>
  <si>
    <t>R-190</t>
  </si>
  <si>
    <t>R-191</t>
  </si>
  <si>
    <t>R-192</t>
  </si>
  <si>
    <t>R-193</t>
  </si>
  <si>
    <t>R-194</t>
  </si>
  <si>
    <t>R-195</t>
  </si>
  <si>
    <t>R-196</t>
  </si>
  <si>
    <t>R-197</t>
  </si>
  <si>
    <t>R-198</t>
  </si>
  <si>
    <t>R-199</t>
  </si>
  <si>
    <t>R-200</t>
  </si>
  <si>
    <t>R-201</t>
  </si>
  <si>
    <t>R-202</t>
  </si>
  <si>
    <t>R-203</t>
  </si>
  <si>
    <t>R-204</t>
  </si>
  <si>
    <t>R-205</t>
  </si>
  <si>
    <t>R-206</t>
  </si>
  <si>
    <t>R-207</t>
  </si>
  <si>
    <t>R-208</t>
  </si>
  <si>
    <t>R-209</t>
  </si>
  <si>
    <t>R-210</t>
  </si>
  <si>
    <t>R-211</t>
  </si>
  <si>
    <t>㈜신*</t>
  </si>
  <si>
    <t>㈜원진**</t>
  </si>
  <si>
    <t>㈜디에***</t>
  </si>
  <si>
    <t>농업회사법인포******</t>
  </si>
  <si>
    <t>패션체**</t>
  </si>
  <si>
    <t>농업회사법인******</t>
  </si>
  <si>
    <t>㈜부흥***</t>
  </si>
  <si>
    <t>㈜대아**</t>
  </si>
  <si>
    <t>곽**</t>
  </si>
  <si>
    <t>아트컨***</t>
  </si>
  <si>
    <t>농가마루****</t>
  </si>
  <si>
    <t>㈜에스에이****</t>
  </si>
  <si>
    <t>㈜승화***</t>
  </si>
  <si>
    <t>농업회사법인*****</t>
  </si>
  <si>
    <t>㈜다오디****</t>
  </si>
  <si>
    <t>㈜탑플**</t>
  </si>
  <si>
    <t>한국케***</t>
  </si>
  <si>
    <t>㈜예원***</t>
  </si>
  <si>
    <t>성**</t>
  </si>
  <si>
    <t>나**</t>
  </si>
  <si>
    <t>농업회사법인 *******</t>
  </si>
  <si>
    <t>㈜제이엠***</t>
  </si>
  <si>
    <t>사회복지법인*****</t>
  </si>
  <si>
    <t>남**</t>
  </si>
  <si>
    <t>인루**</t>
  </si>
  <si>
    <t>고**</t>
  </si>
  <si>
    <t>윤*</t>
  </si>
  <si>
    <t>석**</t>
  </si>
  <si>
    <t>㈜세운정***</t>
  </si>
  <si>
    <t>주식회사슬****</t>
  </si>
  <si>
    <t>소**</t>
  </si>
  <si>
    <t>방**</t>
  </si>
  <si>
    <t>㈜원일씨***</t>
  </si>
  <si>
    <t>서*</t>
  </si>
  <si>
    <t>홍**</t>
  </si>
  <si>
    <t>우**</t>
  </si>
  <si>
    <t>설**</t>
  </si>
  <si>
    <t>H*****************</t>
  </si>
  <si>
    <t>음**</t>
  </si>
  <si>
    <t>하**</t>
  </si>
  <si>
    <t>해밀해운***</t>
  </si>
  <si>
    <t>㈜투*</t>
  </si>
  <si>
    <t>곽*</t>
  </si>
  <si>
    <t>조*</t>
  </si>
  <si>
    <t>㈜티에***</t>
  </si>
  <si>
    <t>개인</t>
    <phoneticPr fontId="4" type="noConversion"/>
  </si>
  <si>
    <t>법인</t>
    <phoneticPr fontId="4" type="noConversion"/>
  </si>
  <si>
    <t>&lt;가계&gt;일반자금대출플러스모기지론(만기일시)신보출연</t>
  </si>
  <si>
    <t>&lt;가계&gt;금리안전모기지론(분할상환)혼합형</t>
  </si>
  <si>
    <t>3**-0**-3***70</t>
  </si>
  <si>
    <t>3**-0**-7***41</t>
  </si>
  <si>
    <t>3**-0**-5***77</t>
  </si>
  <si>
    <t>연체이자율(%)
(Cut-off 기준)</t>
    <phoneticPr fontId="4" type="noConversion"/>
  </si>
  <si>
    <t>미수이자잔액
(Cut-off 기준)</t>
    <phoneticPr fontId="4" type="noConversion"/>
  </si>
  <si>
    <t xml:space="preserve">Accrued Interest
</t>
    <phoneticPr fontId="4" type="noConversion"/>
  </si>
  <si>
    <t>&lt;기시&gt;일반자금대출(분할상환)팩토리원대출</t>
  </si>
  <si>
    <t>&lt;기시&gt;일반자금대출(일시상환)신한동행중소기업</t>
  </si>
  <si>
    <t>&lt;기운&gt;기업구매자금대출(총액외기타)</t>
  </si>
  <si>
    <t>&lt;기시&gt;일반자금대출(분할상환)금리전환장기시설자금대출</t>
  </si>
  <si>
    <t>&lt;기시&gt;일반자금대출(분할상환)파워업중소(신보-보증료지원)</t>
  </si>
  <si>
    <t>&lt;기시&gt;일반자금대출(일시상환C250%이상차입)신한동행중소기업</t>
  </si>
  <si>
    <t>&lt;기시&gt;일반자금대출(분할상환)신한동행중소기업</t>
  </si>
  <si>
    <t>&lt;기운&gt;일반자금대출(일시상환C250%이상차입)신한동행중소기업</t>
  </si>
  <si>
    <t>&lt;기시&gt;일반자금대출(분할상환C250%이상차입)팩토리원대출</t>
  </si>
  <si>
    <t>&lt;기운&gt;일반자금대출(일시상환C250%이상차입)신한챌린저신설법인대출</t>
  </si>
  <si>
    <t>&lt;기운&gt;일반자금대출(일시상환)기술형창업지원대출(보증서담보,차입비율50%)</t>
  </si>
  <si>
    <t>&lt;기시&gt;중소진흥기금대출(경영정상화)</t>
  </si>
  <si>
    <t>&lt;기시&gt;일반자금대출(분할상환) 비외감법인 성장지원대출(자가사업장)</t>
  </si>
  <si>
    <t>&lt;기시&gt;일반자금대출(분할상환C250%이상차입)</t>
  </si>
  <si>
    <t>&lt;기운&gt;일반자금대출(일시상환) 기술형창업지원대출(신용,차입비율 75%)</t>
  </si>
  <si>
    <t>&lt;기운&gt;종합통장대출(일반)파워업중소(신보-보증료지원)</t>
  </si>
  <si>
    <t>&lt;기운&gt;일반자금대출(일시상환)파워업중소(신보-보증료지원)</t>
  </si>
  <si>
    <t>&lt;기운&gt;일반자금대출(일시상환)비외감법인성장지원대출(자가사업장)</t>
  </si>
  <si>
    <t>&lt;기시&gt;일반자금대출(일시상환)한국은행중소기업설비투자지원대출</t>
  </si>
  <si>
    <t>&lt;기시&gt;일반자금대출(분할상환)한국은행중소기업설비투자지원대출</t>
  </si>
  <si>
    <t>&lt;기시&gt;일반자금대출신한SOHO명품대출(분할상환)</t>
  </si>
  <si>
    <t>&lt;기시&gt;일반자금대출(분할상환)[우량]고정금리부장기시설자금대출대출</t>
  </si>
  <si>
    <t>무역어음대출(총액중소)</t>
  </si>
  <si>
    <t>&lt;기시&gt;일반자금대출(일시상환C250%이상차입)비외감법인성장지원대출(자가사업장)</t>
  </si>
  <si>
    <t>&lt;기운&gt;일반자금대출(일시상환)기술형창업지원대출(기타담보,차입비율50%)</t>
  </si>
  <si>
    <t>&lt;기시&gt;일반자금대출(일시상환C250%이상차입)</t>
  </si>
  <si>
    <t>&lt;기운&gt;일반자금대출(일시상환C250%이상차입)</t>
  </si>
  <si>
    <t>&lt;기운&gt;일반자금대출(분할상환C250%이상차입)</t>
  </si>
  <si>
    <t>&lt;기시&gt;일반자금대출(분할상환C250%이상차입)신한동행중소기업</t>
  </si>
  <si>
    <t>&lt;가계&gt;일반자금대출TOPS부동산대출(만기일시)</t>
  </si>
  <si>
    <t>&lt;기운&gt;일반자금대출(일시상환C250%이상차입)비외감법인성장지원대출(자가사업장)</t>
  </si>
  <si>
    <t>&lt;기시&gt;일반자금대출(분할상환) 기술평가(TCB) 우수기업대출</t>
  </si>
  <si>
    <t>&lt;기운&gt;일반자금대출(분할상환) 기술평가(TCB) 우수기업대출</t>
  </si>
  <si>
    <t>&lt;기시&gt;일반자금대출(분할상환)비외감법인성장지원대출(자가사업장)</t>
  </si>
  <si>
    <t>&lt;가계&gt;일반자금대출플러스모기지론(분할상환)신보출연</t>
  </si>
  <si>
    <t>&lt;기운&gt;일반자금대출(일시상환)파워업중소(신보-출연금지원)</t>
  </si>
  <si>
    <t>&lt;기시&gt;일반자금대출(분할상환) 한국은행 중소기업 설비투자지원대출</t>
  </si>
  <si>
    <t>&lt;기시&gt;일반자금대출(일시상환 C2 50%이상차입) 팩토리원대출</t>
  </si>
  <si>
    <t>&lt;기운&gt;일반자금대출(일시상환 C2 50%이상차입)</t>
  </si>
  <si>
    <t>&lt;가계&gt;일반자금대출장기모기지론</t>
  </si>
  <si>
    <t>&lt;가계&gt;일반자금대출 플러스모기지론(분할상환) 신보출연 &lt;가계&gt;집단잔금정책금리</t>
  </si>
  <si>
    <t>&lt;가계&gt;일반자금대출TopsClub신용대출(유동성한도)</t>
  </si>
  <si>
    <t>&lt;기운&gt;일반자금대출(일시상환)신한동행중소기업</t>
  </si>
  <si>
    <t>&lt;가계&gt;금리안전모기지론(분할상환,신보출연,플러스모기지론준용)혼합형</t>
  </si>
  <si>
    <t>&lt;기운&gt;중소진흥기금대출(시설개선사업)</t>
  </si>
  <si>
    <t>&lt;가계&gt;일반자금대출TOPS주택담보대출(만기일시)</t>
  </si>
  <si>
    <t>&lt;공운&gt;일반자금대출(일시상환)</t>
  </si>
  <si>
    <t>&lt;가계&gt;금리안전모기지론(분할상환,플러스모기지론준용)혼합형</t>
  </si>
  <si>
    <t>&lt;가계&gt;금리안전모기지론(분할상환,신보출연)혼합형</t>
  </si>
  <si>
    <t>&lt;가계&gt;일반자금대출플러스모기지론(분할상환)</t>
  </si>
  <si>
    <t>&lt;가계&gt;일반자금대출플러스모기지론(만기일시)</t>
  </si>
  <si>
    <t>&lt;기운&gt;소상공인시장진흥기금대출(소상공인성장기반및경영안정자금)</t>
  </si>
  <si>
    <t>&lt;가계&gt;일반자금대출Tops고정금리형장기변동대출(주택)</t>
  </si>
  <si>
    <t>&lt;가계&gt;일반자금대출장기모기지론신보출연</t>
  </si>
  <si>
    <t>&lt;가계&gt;일반자금대출(만기일시상환)신한새희망홀씨대출</t>
  </si>
  <si>
    <t>&lt;기운&gt;중소기업육성기금_강남구(2013년 이후)</t>
  </si>
  <si>
    <t>&lt;가계&gt;일반자금대출(분할상환)</t>
  </si>
  <si>
    <t>&lt;가계&gt;일반자금대출(유동성한도)_유관기관임직원대출</t>
  </si>
  <si>
    <t>&lt;가계&gt;일반자금대출TOPS부동산대출(분할상환)</t>
  </si>
  <si>
    <t>&lt;가계&gt;일반자금대출(분할상환)신한새희망홀씨대출</t>
  </si>
  <si>
    <t>&lt;가계&gt;일반자금대출TOPS주택담보대출(유동성한도)</t>
  </si>
  <si>
    <t>&lt;가계&gt;생애최초구입자금대출(기금이차보전)</t>
  </si>
  <si>
    <t>&lt;가계&gt;일반자금대출TOPS주택담보대출(분할상환)신보출연</t>
  </si>
  <si>
    <t>&lt;기운&gt;일반자금대출(일시상환)신한프랜차이즈론</t>
  </si>
  <si>
    <t>&lt;가계&gt;금리안전모기지론(분할상환,신보출연)기본형</t>
  </si>
  <si>
    <t>&lt;기운&gt;일반자금대출(일시상환) 신한 동행 중소기업</t>
  </si>
  <si>
    <t>&lt;기시&gt;에너지이용합리화자금대출(에너지이용합리화사업)</t>
  </si>
  <si>
    <t>3**-0**-5***06</t>
  </si>
  <si>
    <t>3**-0**-5***73</t>
  </si>
  <si>
    <t>3**-0**-2***20</t>
  </si>
  <si>
    <t>3**-0**-9***33</t>
  </si>
  <si>
    <t>3**-0**-0***23</t>
  </si>
  <si>
    <t>3**-0**-7***52</t>
  </si>
  <si>
    <t>3**-0**-3***03</t>
  </si>
  <si>
    <t>3**-0**-5***45</t>
  </si>
  <si>
    <t>3**-0**-4***09</t>
  </si>
  <si>
    <t>3**-0**-5***14</t>
  </si>
  <si>
    <t>3**-0**-5***35</t>
  </si>
  <si>
    <t>3**-0**-5***59</t>
  </si>
  <si>
    <t>3**-0**-4***92</t>
  </si>
  <si>
    <t>3**-0**-9***75</t>
  </si>
  <si>
    <t>3**-0**-2***52</t>
  </si>
  <si>
    <t>3**-0**-2***66</t>
  </si>
  <si>
    <t>3**-0**-0***08</t>
  </si>
  <si>
    <t>3**-1**-4***73</t>
  </si>
  <si>
    <t>1**-0**-2***52</t>
  </si>
  <si>
    <t>1**-0**-8***23</t>
  </si>
  <si>
    <t>3**-0**-5***43</t>
  </si>
  <si>
    <t>3**-0**-8***51</t>
  </si>
  <si>
    <t>3**-0**-6***54</t>
  </si>
  <si>
    <t>3**-0**-4***13</t>
  </si>
  <si>
    <t>3**-0**-9***32</t>
  </si>
  <si>
    <t>3**-0**-6***86</t>
  </si>
  <si>
    <t>3**-0**-6***20</t>
  </si>
  <si>
    <t>3**-0**-0***60</t>
  </si>
  <si>
    <t>3**-0**-1***73</t>
  </si>
  <si>
    <t>1**-3**-3***19</t>
  </si>
  <si>
    <t>3**-0**-7***60</t>
  </si>
  <si>
    <t>3**-0**-7***44</t>
  </si>
  <si>
    <t>3**-0**-2***19</t>
  </si>
  <si>
    <t>3**-0**-0***50</t>
  </si>
  <si>
    <t>3**-0**-4***89</t>
  </si>
  <si>
    <t>3**-0**-2***95</t>
  </si>
  <si>
    <t>3**-0**-7***02</t>
  </si>
  <si>
    <t>3**-0**-7***33</t>
  </si>
  <si>
    <t>3**-0**-5***75</t>
  </si>
  <si>
    <t>3**-0**-4***84</t>
  </si>
  <si>
    <t>3**-0**-1***35</t>
  </si>
  <si>
    <t>3**-1**-6***47</t>
  </si>
  <si>
    <t>3**-1**-8***61</t>
  </si>
  <si>
    <t>3**-1**-8***41</t>
  </si>
  <si>
    <t>3**-1**-0***97</t>
  </si>
  <si>
    <t>1**-0**-2***54</t>
  </si>
  <si>
    <t>3**-0**-2***30</t>
  </si>
  <si>
    <t>3**-0**-2***54</t>
  </si>
  <si>
    <t>3**-0**-2***83</t>
  </si>
  <si>
    <t>3**-1**-1***95</t>
  </si>
  <si>
    <t>3**-0**-8***73</t>
  </si>
  <si>
    <t>3**-0**-8***02</t>
  </si>
  <si>
    <t>1**-0**-1***18</t>
  </si>
  <si>
    <t>3**-0**-6***70</t>
  </si>
  <si>
    <t>3**-1**-6***79</t>
  </si>
  <si>
    <t>3**-1**-6***28</t>
  </si>
  <si>
    <t>3**-0**-8***09</t>
  </si>
  <si>
    <t>3**-0**-3***56</t>
  </si>
  <si>
    <t>3**-0**-5***55</t>
  </si>
  <si>
    <t>3**-0**-8***19</t>
  </si>
  <si>
    <t>3**-1**-0***87</t>
  </si>
  <si>
    <t>3**-0**-4***72</t>
  </si>
  <si>
    <t>3**-0**-8***68</t>
  </si>
  <si>
    <t>3**-0**-8***66</t>
  </si>
  <si>
    <t>3**-0**-8***56</t>
  </si>
  <si>
    <t>3**-0**-2***33</t>
  </si>
  <si>
    <t>3**-0**-8***50</t>
  </si>
  <si>
    <t>3**-0**-9***59</t>
  </si>
  <si>
    <t>3**-0**-9***44</t>
  </si>
  <si>
    <t>3**-0**-0***79</t>
  </si>
  <si>
    <t>3**-0**-7***69</t>
  </si>
  <si>
    <t>3**-0**-6***51</t>
  </si>
  <si>
    <t>3**-0**-3***86</t>
  </si>
  <si>
    <t>3**-0**-3***35</t>
  </si>
  <si>
    <t>3**-1**-4***67</t>
  </si>
  <si>
    <t>3**-0**-6***60</t>
  </si>
  <si>
    <t>3**-1**-2***11</t>
  </si>
  <si>
    <t>3**-0**-9***71</t>
  </si>
  <si>
    <t>1**-0**-6***36</t>
  </si>
  <si>
    <t>3**-0**-4***30</t>
  </si>
  <si>
    <t>3**-0**-8***93</t>
  </si>
  <si>
    <t>3**-0**-5***10</t>
  </si>
  <si>
    <t>3**-0**-8***52</t>
  </si>
  <si>
    <t>3**-1**-3***10</t>
  </si>
  <si>
    <t>3**-0**-2***01</t>
  </si>
  <si>
    <t>1**-3**-7***94</t>
  </si>
  <si>
    <t>3**-0**-0***40</t>
  </si>
  <si>
    <t>3**-0**-0***53</t>
  </si>
  <si>
    <t>3**-0**-0***66</t>
  </si>
  <si>
    <t>3**-1**-1***20</t>
  </si>
  <si>
    <t>3**-0**-4***91</t>
  </si>
  <si>
    <t>3**-0**-2***42</t>
  </si>
  <si>
    <t>3**-0**-8***42</t>
  </si>
  <si>
    <t>3**-0**-9***94</t>
  </si>
  <si>
    <t>3**-0**-4***14</t>
  </si>
  <si>
    <t>1**-0**-4***06</t>
  </si>
  <si>
    <t>3**-0**-1***93</t>
  </si>
  <si>
    <t>3**-0**-2***28</t>
  </si>
  <si>
    <t>3**-0**-9***81</t>
  </si>
  <si>
    <t>3**-0**-4***76</t>
  </si>
  <si>
    <t>3**-1**-4***00</t>
  </si>
  <si>
    <t>3**-0**-6***05</t>
  </si>
  <si>
    <t>3**-0**-3***96</t>
  </si>
  <si>
    <t>3**-0**-6***94</t>
  </si>
  <si>
    <t>3**-0**-1***45</t>
  </si>
  <si>
    <t>3**-0**-6***01</t>
  </si>
  <si>
    <t>3**-0**-4***44</t>
  </si>
  <si>
    <t>1**-0**-5***71</t>
  </si>
  <si>
    <t>3**-0**-3***79</t>
  </si>
  <si>
    <t>1**-3**-2***92</t>
  </si>
  <si>
    <t>3**-0**-5***02</t>
  </si>
  <si>
    <t>3**-0**-5***11</t>
  </si>
  <si>
    <t>1**-0**-7***26</t>
  </si>
  <si>
    <t>3**-0**-6***73</t>
  </si>
  <si>
    <t>3**-0**-0***75</t>
  </si>
  <si>
    <t>3**-1**-2***26</t>
  </si>
  <si>
    <t>3**-0**-6***10</t>
  </si>
  <si>
    <t>1**-2**-2***83</t>
  </si>
  <si>
    <t>3**-0**-6***69</t>
  </si>
  <si>
    <t>1**-0**-2***78</t>
  </si>
  <si>
    <t>3**-0**-2***41</t>
  </si>
  <si>
    <t>3**-0**-1***26</t>
  </si>
  <si>
    <t>1**-2**-4***59</t>
  </si>
  <si>
    <t>3**-0**-5***38</t>
  </si>
  <si>
    <t>3**-0**-8***37</t>
  </si>
  <si>
    <t>3**-0**-9***86</t>
  </si>
  <si>
    <t>3**-0**-5***64</t>
  </si>
  <si>
    <t>3**-0**-8***20</t>
  </si>
  <si>
    <t>3**-0**-0***68</t>
  </si>
  <si>
    <t>3**-0**-9***26</t>
  </si>
  <si>
    <t>3**-0**-9***80</t>
  </si>
  <si>
    <t>3**-0**-0***19</t>
  </si>
  <si>
    <t>3**-0**-0***83</t>
  </si>
  <si>
    <t>3**-1**-2***09</t>
  </si>
  <si>
    <t>3**-0**-2***21</t>
  </si>
  <si>
    <t>3**-0**-4***08</t>
  </si>
  <si>
    <t>1**-0**-5***06</t>
  </si>
  <si>
    <t>1**-0**-5***31</t>
  </si>
  <si>
    <t>3**-0**-1***60</t>
  </si>
  <si>
    <t>3**-0**-2***15</t>
  </si>
  <si>
    <t>3**-0**-3***59</t>
  </si>
  <si>
    <t>3**-0**-3***67</t>
  </si>
  <si>
    <t>3**-0**-0***13</t>
  </si>
  <si>
    <t>1**-1**-5***70</t>
  </si>
  <si>
    <t>3**-0**-7***00</t>
  </si>
  <si>
    <t>3**-0**-6***95</t>
  </si>
  <si>
    <t>3**-0**-7***24</t>
  </si>
  <si>
    <t>3**-0**-8***03</t>
  </si>
  <si>
    <t>3**-0**-8***41</t>
  </si>
  <si>
    <t>3**-0**-4***23</t>
  </si>
  <si>
    <t>3**-0**-4***37</t>
  </si>
  <si>
    <t>3**-0**-7***46</t>
  </si>
  <si>
    <t>3**-0**-0***98</t>
  </si>
  <si>
    <t>3**-0**-1***55</t>
  </si>
  <si>
    <t>3**-0**-4***70</t>
  </si>
  <si>
    <t>1**-0**-0***64</t>
  </si>
  <si>
    <t>3**-0**-3***09</t>
  </si>
  <si>
    <t>1**-3**-3***61</t>
  </si>
  <si>
    <t>3**-0**-9***60</t>
  </si>
  <si>
    <t>1**-0**-7***50</t>
  </si>
  <si>
    <t>3**-0**-0***65</t>
  </si>
  <si>
    <t>3**-1**-0***00</t>
  </si>
  <si>
    <t>3**-0**-8***26</t>
  </si>
  <si>
    <t>3**-0**-4***78</t>
  </si>
  <si>
    <t>3**-1**-2***41</t>
  </si>
  <si>
    <t>1**-2**-8***80</t>
  </si>
  <si>
    <t>3**-0**-2***57</t>
  </si>
  <si>
    <t>3**-0**-3***64</t>
  </si>
  <si>
    <t>3**-0**-5***70</t>
  </si>
  <si>
    <t>3**-0**-9***62</t>
  </si>
  <si>
    <t>1**-3**-0***37</t>
  </si>
  <si>
    <t>3**-0**-2***29</t>
  </si>
  <si>
    <t>3**-0**-3***93</t>
  </si>
  <si>
    <t>3**-0**-9***20</t>
  </si>
  <si>
    <t>3**-0**-3***83</t>
  </si>
  <si>
    <t>1**-2**-2***65</t>
  </si>
  <si>
    <t>3**-0**-4***43</t>
  </si>
  <si>
    <t>3**-0**-1***97</t>
  </si>
  <si>
    <t>3**-0**-7***13</t>
  </si>
  <si>
    <t>3**-0**-7***26</t>
  </si>
  <si>
    <t>3**-0**-5***86</t>
  </si>
  <si>
    <t>3**-0**-0***30</t>
  </si>
  <si>
    <t>3**-0**-4***83</t>
  </si>
  <si>
    <t>3**-1**-5***03</t>
  </si>
  <si>
    <t>1**-0**-6***32</t>
  </si>
  <si>
    <t>3**-0**-8***06</t>
  </si>
  <si>
    <t>3**-0**-7***91</t>
  </si>
  <si>
    <t>3**-0**-9***48</t>
  </si>
  <si>
    <t>3**-1**-1***88</t>
  </si>
  <si>
    <t>3**-0**-6***37</t>
  </si>
  <si>
    <t>3**-1**-8***23</t>
  </si>
  <si>
    <t>3**-0**-7***85</t>
  </si>
  <si>
    <t>3**-1**-6***07</t>
  </si>
  <si>
    <t>3**-0**-3***20</t>
  </si>
  <si>
    <t>3**-0**-9***05</t>
  </si>
  <si>
    <t>3**-1**-5***30</t>
  </si>
  <si>
    <t>3**-0**-9***06</t>
  </si>
  <si>
    <t>3**-1**-4***72</t>
  </si>
  <si>
    <t>1**-0**-4***79</t>
  </si>
  <si>
    <t>3**-0**-9***78</t>
  </si>
  <si>
    <t>3**-0**-1***83</t>
  </si>
  <si>
    <t>3**-0**-4***40</t>
  </si>
  <si>
    <t>3**-0**-4***56</t>
  </si>
  <si>
    <t>3**-0**-4***95</t>
  </si>
  <si>
    <t>3**-0**-6***93</t>
  </si>
  <si>
    <t>1**-0**-2***60</t>
  </si>
  <si>
    <t>3**-0**-0***88</t>
  </si>
  <si>
    <t>3**-0**-0***70</t>
  </si>
  <si>
    <t>1**-0**-0***57</t>
  </si>
  <si>
    <t>3**-0**-0***49</t>
  </si>
  <si>
    <t>1**-3**-9***11</t>
  </si>
  <si>
    <t>3**-0**-6***02</t>
  </si>
  <si>
    <t>1**-0**-4***33</t>
  </si>
  <si>
    <t>1**-1**-3***67</t>
  </si>
  <si>
    <t>3**-0**-0***96</t>
  </si>
  <si>
    <t>3**-0**-6***33</t>
  </si>
  <si>
    <t>3**-0**-9***10</t>
  </si>
  <si>
    <t>3**-1**-5***01</t>
  </si>
  <si>
    <t>3**-0**-7***47</t>
  </si>
  <si>
    <t>3**-0**-5***67</t>
  </si>
  <si>
    <t>3**-1**-9***88</t>
  </si>
  <si>
    <t>3**-0**-5***88</t>
  </si>
  <si>
    <t>3**-0**-7***20</t>
  </si>
  <si>
    <t>3**-0**-3***01</t>
  </si>
  <si>
    <t>3**-0**-5***53</t>
  </si>
  <si>
    <t>3**-0**-2***17</t>
  </si>
  <si>
    <t>3**-0**-2***06</t>
  </si>
  <si>
    <t>3**-0**-0***34</t>
  </si>
  <si>
    <t>3**-0**-5***40</t>
  </si>
  <si>
    <t>3**-0**-3***95</t>
  </si>
  <si>
    <t>3**-0**-0***90</t>
  </si>
  <si>
    <t>3**-0**-0***35</t>
  </si>
  <si>
    <t>3**-0**-0***71</t>
  </si>
  <si>
    <t>3**-0**-6***13</t>
  </si>
  <si>
    <t>1**-0**-9***42</t>
  </si>
  <si>
    <t>3**-0**-6***36</t>
  </si>
  <si>
    <t>3**-0**-7***96</t>
  </si>
  <si>
    <t>3**-0**-8***53</t>
  </si>
  <si>
    <t>3**-0**-9***28</t>
  </si>
  <si>
    <t>3**-0**-5***94</t>
  </si>
  <si>
    <t>3**-0**-6***77</t>
  </si>
  <si>
    <t>3**-1**-9***81</t>
  </si>
  <si>
    <t>3**-0**-8***90</t>
  </si>
  <si>
    <t>3**-1**-6***76</t>
  </si>
  <si>
    <t>3**-0**-9***30</t>
  </si>
  <si>
    <t>3**-0**-6***57</t>
  </si>
  <si>
    <t>3**-0**-5***85</t>
  </si>
  <si>
    <t>3**-0**-9***93</t>
  </si>
  <si>
    <t>3**-0**-9***42</t>
  </si>
  <si>
    <t>3**-0**-6***35</t>
  </si>
  <si>
    <t>1**-0**-5***12</t>
  </si>
  <si>
    <t>3**-1**-3***55</t>
  </si>
  <si>
    <t>3**-0**-4***10</t>
  </si>
  <si>
    <t>3**-0**-8***05</t>
  </si>
  <si>
    <t>3**-0**-7***09</t>
  </si>
  <si>
    <t>3**-0**-0***32</t>
  </si>
  <si>
    <t>3**-1**-3***02</t>
  </si>
  <si>
    <t>3**-0**-4***55</t>
  </si>
  <si>
    <t>3**-0**-3***91</t>
  </si>
  <si>
    <t>3**-0**-5***81</t>
  </si>
  <si>
    <t>3**-0**-3***11</t>
  </si>
  <si>
    <t>3**-0**-2***97</t>
  </si>
  <si>
    <t>3**-0**-9***23</t>
  </si>
  <si>
    <t>3**-0**-1***96</t>
  </si>
  <si>
    <t>3**-0**-0***42</t>
  </si>
  <si>
    <t>3**-0**-0***85</t>
  </si>
  <si>
    <t>3**-0**-4***47</t>
  </si>
  <si>
    <t>3**-0**-9***55</t>
  </si>
  <si>
    <t>3**-1**-7***21</t>
  </si>
  <si>
    <t>3**-0**-6***61</t>
  </si>
  <si>
    <t>3**-0**-9***01</t>
  </si>
  <si>
    <t>3**-1**-6***73</t>
  </si>
  <si>
    <t>1**-3**-6***30</t>
  </si>
  <si>
    <t>3**-0**-7***77</t>
  </si>
  <si>
    <t>1**-1**-3***08</t>
  </si>
  <si>
    <t>3**-0**-5***20</t>
  </si>
  <si>
    <t>3**-0**-3***13</t>
  </si>
  <si>
    <t>3**-0**-3***07</t>
  </si>
  <si>
    <t>3**-1**-3***58</t>
  </si>
  <si>
    <t>3**-0**-1***36</t>
  </si>
  <si>
    <t xml:space="preserve">        </t>
  </si>
  <si>
    <t>Borrower Identification Information</t>
    <phoneticPr fontId="47" type="noConversion"/>
  </si>
  <si>
    <t>Letter of Credit Guarantee Information</t>
    <phoneticPr fontId="13" type="noConversion"/>
  </si>
  <si>
    <t>보증서종류</t>
    <phoneticPr fontId="13" type="noConversion"/>
  </si>
  <si>
    <t>보증서번호</t>
    <phoneticPr fontId="13" type="noConversion"/>
  </si>
  <si>
    <t>보증기한</t>
    <phoneticPr fontId="13" type="noConversion"/>
  </si>
  <si>
    <t>보증형태</t>
    <phoneticPr fontId="13" type="noConversion"/>
  </si>
  <si>
    <t>보증비율</t>
    <phoneticPr fontId="13" type="noConversion"/>
  </si>
  <si>
    <t>사고통지일</t>
    <phoneticPr fontId="13" type="noConversion"/>
  </si>
  <si>
    <t>이행청구일</t>
    <phoneticPr fontId="13" type="noConversion"/>
  </si>
  <si>
    <t>보증금액</t>
    <phoneticPr fontId="13" type="noConversion"/>
  </si>
  <si>
    <t>보증잔액</t>
    <phoneticPr fontId="13" type="noConversion"/>
  </si>
  <si>
    <t>환산후 보증잔액</t>
    <phoneticPr fontId="13" type="noConversion"/>
  </si>
  <si>
    <t>비고</t>
    <phoneticPr fontId="13" type="noConversion"/>
  </si>
  <si>
    <t>Letter of Credit Type</t>
    <phoneticPr fontId="13" type="noConversion"/>
  </si>
  <si>
    <t>Credit Guarantee No</t>
    <phoneticPr fontId="13" type="noConversion"/>
  </si>
  <si>
    <t>신용보증기금</t>
    <phoneticPr fontId="47" type="noConversion"/>
  </si>
  <si>
    <t>TAI201400530</t>
    <phoneticPr fontId="47" type="noConversion"/>
  </si>
  <si>
    <t>개별</t>
    <phoneticPr fontId="47" type="noConversion"/>
  </si>
  <si>
    <t>KRW</t>
    <phoneticPr fontId="47" type="noConversion"/>
  </si>
  <si>
    <t>최초 보증금액 1,440백만원에서 특약내용에 따라 50%(720백만원)해지됨/</t>
    <phoneticPr fontId="47" type="noConversion"/>
  </si>
  <si>
    <t>THD201300312</t>
    <phoneticPr fontId="47" type="noConversion"/>
  </si>
  <si>
    <t>최초 보증금액 900백만원에서 특약내용에 따라 513백만원 해지됨/</t>
    <phoneticPr fontId="47" type="noConversion"/>
  </si>
  <si>
    <t>한국무역보험공사</t>
    <phoneticPr fontId="47" type="noConversion"/>
  </si>
  <si>
    <t>전자수출신용보증서(선적전)</t>
  </si>
  <si>
    <t>15-1303-3934</t>
    <phoneticPr fontId="47" type="noConversion"/>
  </si>
  <si>
    <t>THA201300592</t>
    <phoneticPr fontId="47" type="noConversion"/>
  </si>
  <si>
    <t>기술신용보증기금</t>
    <phoneticPr fontId="47" type="noConversion"/>
  </si>
  <si>
    <t>TMB201201291</t>
    <phoneticPr fontId="47" type="noConversion"/>
  </si>
  <si>
    <t>경기신용보증재단</t>
    <phoneticPr fontId="47" type="noConversion"/>
  </si>
  <si>
    <t>충북신용보증재단</t>
    <phoneticPr fontId="47" type="noConversion"/>
  </si>
  <si>
    <t>전자충북신용보증서</t>
    <phoneticPr fontId="47" type="noConversion"/>
  </si>
  <si>
    <t>CBS201104121</t>
    <phoneticPr fontId="47" type="noConversion"/>
  </si>
  <si>
    <t>TPD201600167</t>
    <phoneticPr fontId="47" type="noConversion"/>
  </si>
  <si>
    <t>구)보증서 TPD-2013-01319를 회수하기 위한 보증임/</t>
    <phoneticPr fontId="47" type="noConversion"/>
  </si>
  <si>
    <t>Borrower Identification Information</t>
    <phoneticPr fontId="47" type="noConversion"/>
  </si>
  <si>
    <t>이행청구일</t>
    <phoneticPr fontId="13" type="noConversion"/>
  </si>
  <si>
    <t>비고</t>
    <phoneticPr fontId="13" type="noConversion"/>
  </si>
  <si>
    <t>Letter of Credit Type</t>
    <phoneticPr fontId="13" type="noConversion"/>
  </si>
  <si>
    <t>Credit Guarantee No</t>
    <phoneticPr fontId="13" type="noConversion"/>
  </si>
  <si>
    <t>200000201500679561</t>
  </si>
  <si>
    <t>200000201100571801</t>
  </si>
  <si>
    <t>200000201100312598</t>
  </si>
  <si>
    <t>200000201200430624</t>
  </si>
  <si>
    <t>200000201200082418</t>
  </si>
  <si>
    <t>200000201100454236</t>
  </si>
  <si>
    <t>200000201100277860</t>
  </si>
  <si>
    <t>200000201100542143</t>
  </si>
  <si>
    <t>200000201100443856</t>
  </si>
  <si>
    <t>200000201100386321</t>
  </si>
  <si>
    <t>200000201400773300</t>
  </si>
  <si>
    <t>200000201300142661</t>
  </si>
  <si>
    <t>200000201500529290</t>
  </si>
  <si>
    <t>141231200688003678</t>
  </si>
  <si>
    <t>200000201200666536</t>
  </si>
  <si>
    <t>200000201500642244</t>
  </si>
  <si>
    <t>200000201500608049</t>
  </si>
  <si>
    <t>200000201500728294</t>
  </si>
  <si>
    <t>141231200621002819</t>
  </si>
  <si>
    <t>200000201300218464</t>
  </si>
  <si>
    <t>200000201100066028</t>
  </si>
  <si>
    <t>200000201400661617</t>
  </si>
  <si>
    <t>200000201100332680</t>
  </si>
  <si>
    <t>200000201400598678</t>
  </si>
  <si>
    <t>200000201100260204</t>
  </si>
  <si>
    <t>200000201200516305</t>
  </si>
  <si>
    <t>200000201500553193</t>
  </si>
  <si>
    <t>200000200900279203</t>
  </si>
  <si>
    <t>200000201500386072</t>
  </si>
  <si>
    <t>200000201000214704</t>
  </si>
  <si>
    <t>200000201400053697</t>
  </si>
  <si>
    <t>200000201500103715</t>
  </si>
  <si>
    <t>200000201100009756</t>
  </si>
  <si>
    <t>200000201400312585</t>
  </si>
  <si>
    <t>200000201400377797</t>
  </si>
  <si>
    <t>200000201200579698</t>
  </si>
  <si>
    <t>200000201400010554</t>
  </si>
  <si>
    <t>200000201400209556</t>
  </si>
  <si>
    <t>200000201500285322</t>
  </si>
  <si>
    <t>200000201600022379</t>
  </si>
  <si>
    <t>141231200788003867</t>
  </si>
  <si>
    <t>200000201100072080</t>
  </si>
  <si>
    <t>200000201500521717</t>
  </si>
  <si>
    <t>200000201100306907</t>
  </si>
  <si>
    <t>200000201500783432</t>
  </si>
  <si>
    <t>200000201200607333</t>
  </si>
  <si>
    <t>200000201500182360</t>
  </si>
  <si>
    <t>200000201400463134</t>
  </si>
  <si>
    <t>200000200800022819</t>
  </si>
  <si>
    <t>200000201500078260</t>
  </si>
  <si>
    <t>200000201400717370</t>
  </si>
  <si>
    <t>200000201500392581</t>
  </si>
  <si>
    <t>200000201400640477</t>
  </si>
  <si>
    <t>200000201500013553</t>
  </si>
  <si>
    <t>200000201200646053</t>
  </si>
  <si>
    <t>200000201500118488</t>
  </si>
  <si>
    <t>200000201400637934</t>
  </si>
  <si>
    <t>200000201400418134</t>
  </si>
  <si>
    <t>200000201400355140</t>
  </si>
  <si>
    <t>200000201200088884</t>
  </si>
  <si>
    <t>200000201400602276</t>
  </si>
  <si>
    <t>200000201400629827</t>
  </si>
  <si>
    <t>200000201500094117</t>
  </si>
  <si>
    <t>200000201400557747</t>
  </si>
  <si>
    <t>200000201300615559</t>
  </si>
  <si>
    <t>200000200900264486</t>
  </si>
  <si>
    <t>200000201400750793</t>
  </si>
  <si>
    <t>200000201400195138</t>
  </si>
  <si>
    <t>200000201400432957</t>
  </si>
  <si>
    <t>200000201400533024</t>
  </si>
  <si>
    <t>141231200621008075</t>
  </si>
  <si>
    <t>200000201300410421</t>
  </si>
  <si>
    <t>200000201300299663</t>
  </si>
  <si>
    <t>200000201500401997</t>
  </si>
  <si>
    <t>200000201400302657</t>
  </si>
  <si>
    <t>200000201400668239</t>
  </si>
  <si>
    <t>200000201200530717</t>
  </si>
  <si>
    <t>200000201400756803</t>
  </si>
  <si>
    <t>200000201400668939</t>
  </si>
  <si>
    <t>200000201400381833</t>
  </si>
  <si>
    <t>200000201400458575</t>
  </si>
  <si>
    <t>200000201400276919</t>
  </si>
  <si>
    <t>200000201400185615</t>
  </si>
  <si>
    <t>200000201400721873</t>
  </si>
  <si>
    <t>200000201400603527</t>
  </si>
  <si>
    <t>미수이자
(Cut-off 기준)</t>
    <phoneticPr fontId="13" type="noConversion"/>
  </si>
  <si>
    <t>Accrued Interest</t>
    <phoneticPr fontId="13" type="noConversion"/>
  </si>
  <si>
    <t>R-001</t>
    <phoneticPr fontId="4" type="noConversion"/>
  </si>
  <si>
    <t>경매비용</t>
  </si>
  <si>
    <t>담보물 보존 경비료</t>
    <phoneticPr fontId="4" type="noConversion"/>
  </si>
  <si>
    <t>경매비용</t>
    <phoneticPr fontId="4" type="noConversion"/>
  </si>
  <si>
    <t>가압류 비용 등</t>
  </si>
  <si>
    <t>가압류 비용 등</t>
    <phoneticPr fontId="4" type="noConversion"/>
  </si>
  <si>
    <t>경매비용</t>
    <phoneticPr fontId="4" type="noConversion"/>
  </si>
  <si>
    <t>담보물 보험료</t>
    <phoneticPr fontId="4" type="noConversion"/>
  </si>
  <si>
    <t>200000201200404407</t>
    <phoneticPr fontId="4" type="noConversion"/>
  </si>
  <si>
    <t>200000201400454790</t>
    <phoneticPr fontId="4" type="noConversion"/>
  </si>
  <si>
    <t>200000201400781556</t>
    <phoneticPr fontId="4" type="noConversion"/>
  </si>
  <si>
    <t>200000201400503971</t>
    <phoneticPr fontId="4" type="noConversion"/>
  </si>
  <si>
    <t>200000201400757958</t>
    <phoneticPr fontId="4" type="noConversion"/>
  </si>
  <si>
    <t>200000201400418065</t>
    <phoneticPr fontId="4" type="noConversion"/>
  </si>
  <si>
    <t>200000201400489919</t>
    <phoneticPr fontId="4" type="noConversion"/>
  </si>
  <si>
    <t>200000201500534508</t>
    <phoneticPr fontId="4" type="noConversion"/>
  </si>
  <si>
    <t>200000201400260711</t>
    <phoneticPr fontId="4" type="noConversion"/>
  </si>
  <si>
    <t>200000201400620628</t>
    <phoneticPr fontId="4" type="noConversion"/>
  </si>
  <si>
    <t>200000201100317334</t>
    <phoneticPr fontId="4" type="noConversion"/>
  </si>
  <si>
    <t>200000201600037933</t>
  </si>
  <si>
    <t>3**-0**-6***93</t>
    <phoneticPr fontId="4" type="noConversion"/>
  </si>
  <si>
    <t>200000201500367894</t>
    <phoneticPr fontId="4" type="noConversion"/>
  </si>
  <si>
    <t>Borrower Identification Information</t>
    <phoneticPr fontId="47" type="noConversion"/>
  </si>
  <si>
    <t>Property Size</t>
    <phoneticPr fontId="13" type="noConversion"/>
  </si>
  <si>
    <t>Mortgage Information</t>
    <phoneticPr fontId="13" type="noConversion"/>
  </si>
  <si>
    <t>Foreclosure Information</t>
    <phoneticPr fontId="13" type="noConversion"/>
  </si>
  <si>
    <t>일련번호</t>
    <phoneticPr fontId="25" type="noConversion"/>
  </si>
  <si>
    <t>제외/추가차주</t>
    <phoneticPr fontId="25" type="noConversion"/>
  </si>
  <si>
    <t>차주관리번호</t>
    <phoneticPr fontId="25" type="noConversion"/>
  </si>
  <si>
    <t>차주명</t>
    <phoneticPr fontId="25" type="noConversion"/>
  </si>
  <si>
    <t>Property 일련번호</t>
    <phoneticPr fontId="25" type="noConversion"/>
  </si>
  <si>
    <t>Property Address 1 (특별,광역시/도)</t>
    <phoneticPr fontId="25" type="noConversion"/>
  </si>
  <si>
    <t>Property Address 2 (시/군/구)</t>
    <phoneticPr fontId="25" type="noConversion"/>
  </si>
  <si>
    <t>Property Address 3 (동/리/읍/면)</t>
    <phoneticPr fontId="25" type="noConversion"/>
  </si>
  <si>
    <t>Property Address 4 (나머지 상세지번 /기타재산 내역)</t>
    <phoneticPr fontId="25" type="noConversion"/>
  </si>
  <si>
    <t>Property
담보물형태</t>
    <phoneticPr fontId="25" type="noConversion"/>
  </si>
  <si>
    <t>Property-대지면적</t>
    <phoneticPr fontId="25" type="noConversion"/>
  </si>
  <si>
    <t>Property-건물면적</t>
    <phoneticPr fontId="25" type="noConversion"/>
  </si>
  <si>
    <t>Property-기타(기계기구등)</t>
    <phoneticPr fontId="25" type="noConversion"/>
  </si>
  <si>
    <t>부동산외 
기타 담보 종류</t>
    <phoneticPr fontId="25" type="noConversion"/>
  </si>
  <si>
    <t xml:space="preserve">Simple /Complicated </t>
    <phoneticPr fontId="25" type="noConversion"/>
  </si>
  <si>
    <t>설정순위</t>
    <phoneticPr fontId="25" type="noConversion"/>
  </si>
  <si>
    <t>통화표시</t>
    <phoneticPr fontId="25" type="noConversion"/>
  </si>
  <si>
    <t>Property별 근저당권 설정액</t>
    <phoneticPr fontId="25" type="noConversion"/>
  </si>
  <si>
    <t>환산후 Property별 설정액</t>
    <phoneticPr fontId="25" type="noConversion"/>
  </si>
  <si>
    <t>공담 Property #</t>
    <phoneticPr fontId="25" type="noConversion"/>
  </si>
  <si>
    <t>공담 Property 순위</t>
    <phoneticPr fontId="25" type="noConversion"/>
  </si>
  <si>
    <t>공담 Property 금액</t>
    <phoneticPr fontId="25" type="noConversion"/>
  </si>
  <si>
    <t>근저당권
일부이전된 순위</t>
    <phoneticPr fontId="25" type="noConversion"/>
  </si>
  <si>
    <r>
      <t xml:space="preserve">근저당권 </t>
    </r>
    <r>
      <rPr>
        <sz val="9"/>
        <color indexed="8"/>
        <rFont val="맑은 고딕"/>
        <family val="3"/>
        <charset val="129"/>
      </rPr>
      <t>(</t>
    </r>
    <r>
      <rPr>
        <sz val="9"/>
        <color indexed="8"/>
        <rFont val="맑은 고딕"/>
        <family val="3"/>
        <charset val="129"/>
      </rPr>
      <t>일부</t>
    </r>
    <r>
      <rPr>
        <sz val="9"/>
        <color indexed="8"/>
        <rFont val="맑은 고딕"/>
        <family val="3"/>
        <charset val="129"/>
      </rPr>
      <t>)</t>
    </r>
    <r>
      <rPr>
        <sz val="9"/>
        <color indexed="8"/>
        <rFont val="맑은 고딕"/>
        <family val="3"/>
        <charset val="129"/>
      </rPr>
      <t>이전금액</t>
    </r>
    <phoneticPr fontId="25" type="noConversion"/>
  </si>
  <si>
    <r>
      <t xml:space="preserve">환산후
근저당권 </t>
    </r>
    <r>
      <rPr>
        <sz val="9"/>
        <color indexed="8"/>
        <rFont val="맑은 고딕"/>
        <family val="3"/>
        <charset val="129"/>
      </rPr>
      <t>(</t>
    </r>
    <r>
      <rPr>
        <sz val="9"/>
        <color indexed="8"/>
        <rFont val="맑은 고딕"/>
        <family val="3"/>
        <charset val="129"/>
      </rPr>
      <t>일부</t>
    </r>
    <r>
      <rPr>
        <sz val="9"/>
        <color indexed="8"/>
        <rFont val="맑은 고딕"/>
        <family val="3"/>
        <charset val="129"/>
      </rPr>
      <t>)</t>
    </r>
    <r>
      <rPr>
        <sz val="9"/>
        <color indexed="8"/>
        <rFont val="맑은 고딕"/>
        <family val="3"/>
        <charset val="129"/>
      </rPr>
      <t>이전금액</t>
    </r>
    <phoneticPr fontId="25" type="noConversion"/>
  </si>
  <si>
    <t>근저당권
(일부)이전일자</t>
    <phoneticPr fontId="25" type="noConversion"/>
  </si>
  <si>
    <t>선순위
설정순위</t>
    <phoneticPr fontId="25" type="noConversion"/>
  </si>
  <si>
    <t>Property별 선순위
근저당권 설정액</t>
    <phoneticPr fontId="25" type="noConversion"/>
  </si>
  <si>
    <r>
      <t>Property별 환산후</t>
    </r>
    <r>
      <rPr>
        <sz val="9"/>
        <color indexed="8"/>
        <rFont val="맑은 고딕"/>
        <family val="3"/>
        <charset val="129"/>
      </rPr>
      <t xml:space="preserve"> </t>
    </r>
    <r>
      <rPr>
        <sz val="9"/>
        <color indexed="8"/>
        <rFont val="맑은 고딕"/>
        <family val="3"/>
        <charset val="129"/>
      </rPr>
      <t>선순위
근저당권 설정액</t>
    </r>
    <phoneticPr fontId="25" type="noConversion"/>
  </si>
  <si>
    <t>선순위 공담 Property #</t>
    <phoneticPr fontId="25" type="noConversion"/>
  </si>
  <si>
    <t>선순위 공담 Property 순위</t>
    <phoneticPr fontId="25" type="noConversion"/>
  </si>
  <si>
    <t>선순위 공담 설정액</t>
    <phoneticPr fontId="25" type="noConversion"/>
  </si>
  <si>
    <t>선순위 및 동순위
가압류/압류/가처분</t>
    <phoneticPr fontId="47" type="noConversion"/>
  </si>
  <si>
    <t>선순위
소액임대차보증 금액</t>
    <phoneticPr fontId="25" type="noConversion"/>
  </si>
  <si>
    <t>선순위 임대차금액</t>
    <phoneticPr fontId="25" type="noConversion"/>
  </si>
  <si>
    <t>선순위 임금채권</t>
    <phoneticPr fontId="25" type="noConversion"/>
  </si>
  <si>
    <t>선순위 당해세</t>
    <phoneticPr fontId="25" type="noConversion"/>
  </si>
  <si>
    <t>선순위 조세</t>
    <phoneticPr fontId="25" type="noConversion"/>
  </si>
  <si>
    <t>법정 선순위 합계</t>
    <phoneticPr fontId="25" type="noConversion"/>
  </si>
  <si>
    <t>경매개시
여부</t>
    <phoneticPr fontId="25" type="noConversion"/>
  </si>
  <si>
    <t>경매청구금액
(신한은행)</t>
    <phoneticPr fontId="25" type="noConversion"/>
  </si>
  <si>
    <t>경매청구금액
(타채권자)</t>
    <phoneticPr fontId="25" type="noConversion"/>
  </si>
  <si>
    <t>경매 신청인 Ⅰ
(선행사건)</t>
    <phoneticPr fontId="25" type="noConversion"/>
  </si>
  <si>
    <t>경매 신청인 Ⅱ
(후행사건)</t>
    <phoneticPr fontId="25" type="noConversion"/>
  </si>
  <si>
    <t>경매관할법원</t>
    <phoneticPr fontId="25" type="noConversion"/>
  </si>
  <si>
    <t>경매(공매) 
사건번호 Ⅰ
(선행사건)</t>
    <phoneticPr fontId="25" type="noConversion"/>
  </si>
  <si>
    <t>경매(공매)
사건번호 Ⅱ
(후행사건)</t>
    <phoneticPr fontId="25" type="noConversion"/>
  </si>
  <si>
    <t>경매개시일자
(선행사건)</t>
    <phoneticPr fontId="25" type="noConversion"/>
  </si>
  <si>
    <t>배당요구종기일
(선행사건)</t>
    <phoneticPr fontId="25" type="noConversion"/>
  </si>
  <si>
    <t>경매개시일자
(후행사건)</t>
    <phoneticPr fontId="25" type="noConversion"/>
  </si>
  <si>
    <t>배당요구종기일
(후행사건)</t>
    <phoneticPr fontId="25" type="noConversion"/>
  </si>
  <si>
    <t>최초법사가</t>
    <phoneticPr fontId="25" type="noConversion"/>
  </si>
  <si>
    <t>최종경매회차</t>
    <phoneticPr fontId="25" type="noConversion"/>
  </si>
  <si>
    <t>최종경매결과</t>
    <phoneticPr fontId="25" type="noConversion"/>
  </si>
  <si>
    <t>최초경매기일</t>
    <phoneticPr fontId="25" type="noConversion"/>
  </si>
  <si>
    <t>최종경매기일</t>
    <phoneticPr fontId="25" type="noConversion"/>
  </si>
  <si>
    <t>최근경매가</t>
    <phoneticPr fontId="25" type="noConversion"/>
  </si>
  <si>
    <t>최종경매일의
최저입찰금액</t>
    <phoneticPr fontId="25" type="noConversion"/>
  </si>
  <si>
    <t>차기경매기일</t>
    <phoneticPr fontId="25" type="noConversion"/>
  </si>
  <si>
    <t>차기경매일의
최저입찰금액</t>
    <phoneticPr fontId="25" type="noConversion"/>
  </si>
  <si>
    <t>낙찰일자</t>
    <phoneticPr fontId="25" type="noConversion"/>
  </si>
  <si>
    <t>낙찰금액</t>
    <phoneticPr fontId="25" type="noConversion"/>
  </si>
  <si>
    <t>배당기일</t>
    <phoneticPr fontId="25" type="noConversion"/>
  </si>
  <si>
    <t>감정평가일자</t>
    <phoneticPr fontId="25" type="noConversion"/>
  </si>
  <si>
    <t>감정평가기관</t>
    <phoneticPr fontId="25" type="noConversion"/>
  </si>
  <si>
    <t>토지</t>
    <phoneticPr fontId="25" type="noConversion"/>
  </si>
  <si>
    <t>건물</t>
    <phoneticPr fontId="25" type="noConversion"/>
  </si>
  <si>
    <t>기계기구 등</t>
    <phoneticPr fontId="25" type="noConversion"/>
  </si>
  <si>
    <t>기타_감정평가액
(제시외건물 등)</t>
    <phoneticPr fontId="25" type="noConversion"/>
  </si>
  <si>
    <t>감정평가액 합계</t>
    <phoneticPr fontId="25" type="noConversion"/>
  </si>
  <si>
    <t>기타 담보
(공탁금)</t>
  </si>
  <si>
    <t>기타 담보금액
(공탁금)</t>
  </si>
  <si>
    <t>비고</t>
    <phoneticPr fontId="25" type="noConversion"/>
  </si>
  <si>
    <t>Serial Number</t>
    <phoneticPr fontId="25" type="noConversion"/>
  </si>
  <si>
    <t>Excluded/Additional Borrower</t>
    <phoneticPr fontId="25" type="noConversion"/>
  </si>
  <si>
    <t>Borrower Control Number</t>
    <phoneticPr fontId="25" type="noConversion"/>
  </si>
  <si>
    <t>Name of Borrower</t>
    <phoneticPr fontId="25" type="noConversion"/>
  </si>
  <si>
    <t>Property Serial Number</t>
    <phoneticPr fontId="25" type="noConversion"/>
  </si>
  <si>
    <t>Property Address 1 (Province)</t>
    <phoneticPr fontId="25" type="noConversion"/>
  </si>
  <si>
    <t>Property Address 2 (City)</t>
    <phoneticPr fontId="25" type="noConversion"/>
  </si>
  <si>
    <t>Property Address 3 (Dong)</t>
    <phoneticPr fontId="25" type="noConversion"/>
  </si>
  <si>
    <t>Property Address 4 (Detail)</t>
    <phoneticPr fontId="25" type="noConversion"/>
  </si>
  <si>
    <t>Property Type</t>
    <phoneticPr fontId="25" type="noConversion"/>
  </si>
  <si>
    <t>Property Size- Land</t>
    <phoneticPr fontId="25" type="noConversion"/>
  </si>
  <si>
    <t>Property Size- Improvement</t>
    <phoneticPr fontId="25" type="noConversion"/>
  </si>
  <si>
    <t>Property Size- Others</t>
    <phoneticPr fontId="25" type="noConversion"/>
  </si>
  <si>
    <t>Other Property Type</t>
    <phoneticPr fontId="25" type="noConversion"/>
  </si>
  <si>
    <t xml:space="preserve"> Mortgage
Claim</t>
    <phoneticPr fontId="25" type="noConversion"/>
  </si>
  <si>
    <t>Original Currency of Property Mortgage Amount</t>
    <phoneticPr fontId="25" type="noConversion"/>
  </si>
  <si>
    <t>Property Mortgage Amount</t>
    <phoneticPr fontId="25" type="noConversion"/>
  </si>
  <si>
    <t>Converted Property Mortgage Amount</t>
    <phoneticPr fontId="25" type="noConversion"/>
  </si>
  <si>
    <t>Property Mortgage Cross- Collateralized</t>
    <phoneticPr fontId="25" type="noConversion"/>
  </si>
  <si>
    <t>Property Mortgage Cross- Collateralized Position</t>
    <phoneticPr fontId="25" type="noConversion"/>
  </si>
  <si>
    <t>Property Mortgage Cross- Collateralized Amount</t>
    <phoneticPr fontId="25" type="noConversion"/>
  </si>
  <si>
    <t>Partial Transfer Position of Mortgage</t>
    <phoneticPr fontId="25" type="noConversion"/>
  </si>
  <si>
    <t>Original Currency of Mortgage Amount</t>
    <phoneticPr fontId="25" type="noConversion"/>
  </si>
  <si>
    <t>Partial Transfer Amount of Mortgage</t>
    <phoneticPr fontId="25" type="noConversion"/>
  </si>
  <si>
    <t>Converted Partial Transfer Amount of Mortgage</t>
    <phoneticPr fontId="25" type="noConversion"/>
  </si>
  <si>
    <t>Partial Transfer Date of Mortgage</t>
    <phoneticPr fontId="25" type="noConversion"/>
  </si>
  <si>
    <t>Senior Mortgage
Claim</t>
    <phoneticPr fontId="25" type="noConversion"/>
  </si>
  <si>
    <t>Senior Property Claims- Senior Mortgage Amount</t>
    <phoneticPr fontId="25" type="noConversion"/>
  </si>
  <si>
    <t>Converted Senior Property Claims- Senior Mortgage Amount</t>
    <phoneticPr fontId="25" type="noConversion"/>
  </si>
  <si>
    <t>Senior Property Mortgage Cross- Collateralized Property #</t>
    <phoneticPr fontId="25" type="noConversion"/>
  </si>
  <si>
    <t>Senior Property Mortgage Cross- Collateralized Position</t>
    <phoneticPr fontId="25" type="noConversion"/>
  </si>
  <si>
    <t>Senior Property Mortgage Cross- Collateralized Amount</t>
    <phoneticPr fontId="25" type="noConversion"/>
  </si>
  <si>
    <t>Senior Property Claims-Tenant Protection Claims</t>
    <phoneticPr fontId="25" type="noConversion"/>
  </si>
  <si>
    <t>Senior Property Claims- Tenant Claims</t>
    <phoneticPr fontId="25" type="noConversion"/>
  </si>
  <si>
    <t>Senior Property Claims- Employee Benefits</t>
    <phoneticPr fontId="25" type="noConversion"/>
  </si>
  <si>
    <t>Senior Property Claims- Tax due on Property</t>
    <phoneticPr fontId="25" type="noConversion"/>
  </si>
  <si>
    <t>Senior Property Claims- Taxes</t>
    <phoneticPr fontId="25" type="noConversion"/>
  </si>
  <si>
    <t>Senior Property Claims- Total</t>
    <phoneticPr fontId="25" type="noConversion"/>
  </si>
  <si>
    <t xml:space="preserve"> Foreclosure - Status</t>
    <phoneticPr fontId="25" type="noConversion"/>
  </si>
  <si>
    <r>
      <t>Foreclosure - Claim(S</t>
    </r>
    <r>
      <rPr>
        <sz val="9"/>
        <color indexed="8"/>
        <rFont val="맑은 고딕"/>
        <family val="3"/>
        <charset val="129"/>
      </rPr>
      <t>HB)</t>
    </r>
    <phoneticPr fontId="25" type="noConversion"/>
  </si>
  <si>
    <t>Foreclosure - Claim(Other)</t>
    <phoneticPr fontId="25" type="noConversion"/>
  </si>
  <si>
    <t>Foreclosure Applicant</t>
    <phoneticPr fontId="47" type="noConversion"/>
  </si>
  <si>
    <t xml:space="preserve"> Foreclosure - Court</t>
    <phoneticPr fontId="25" type="noConversion"/>
  </si>
  <si>
    <t>Foreclosure - Case Number</t>
    <phoneticPr fontId="47" type="noConversion"/>
  </si>
  <si>
    <t>Court Deposit</t>
    <phoneticPr fontId="47" type="noConversion"/>
  </si>
  <si>
    <t>Amount of Court Deposit</t>
    <phoneticPr fontId="47" type="noConversion"/>
  </si>
  <si>
    <t>충청남도</t>
  </si>
  <si>
    <t>추후제공</t>
    <phoneticPr fontId="47" type="noConversion"/>
  </si>
  <si>
    <t>㈜삼창감정평가법인</t>
  </si>
  <si>
    <t xml:space="preserve">Complicated </t>
  </si>
  <si>
    <t>1~5</t>
  </si>
  <si>
    <t>대일감정원</t>
  </si>
  <si>
    <t>함안군</t>
  </si>
  <si>
    <t>풍무동</t>
  </si>
  <si>
    <t>Filed</t>
    <phoneticPr fontId="47" type="noConversion"/>
  </si>
  <si>
    <t>담보현황표</t>
  </si>
  <si>
    <t>신정동</t>
  </si>
  <si>
    <t>318 울산신정푸르지오 제105동 제27층 제2701호</t>
  </si>
  <si>
    <t>보전처분 및 회생절차개시 등기됨(2015-03-11 울산지방법원 2015회단502)/</t>
  </si>
  <si>
    <t>강**</t>
    <phoneticPr fontId="47" type="noConversion"/>
  </si>
  <si>
    <t>김**</t>
    <phoneticPr fontId="47" type="noConversion"/>
  </si>
  <si>
    <t>㈜미래새한감정평가법인</t>
  </si>
  <si>
    <t>정왕동</t>
  </si>
  <si>
    <t>1940-2 신동아아파트 제209동 제6층 제602호</t>
  </si>
  <si>
    <t>보전처분 및 회생절차개시 등기됨(2015-01-21, 2015-01-27 수원지방법원 2015회단10004)/</t>
  </si>
  <si>
    <t>정남면 제기리</t>
  </si>
  <si>
    <t>2012-05-01, 2014-04-28</t>
  </si>
  <si>
    <t>승민감정평가사사무소, 담보현황표(기계기구)</t>
  </si>
  <si>
    <t>산28-7(토지) 2014-04-30 신한은행 지상권 설정/</t>
  </si>
  <si>
    <t>송산면 쌍정리</t>
  </si>
  <si>
    <t>1001-1,1001-6(2토지),1001-1,1001-2,1004-6(위삼지상 에이동,비동,씨동-3건물)</t>
  </si>
  <si>
    <t>2013-06-07, 2016-04-28</t>
    <phoneticPr fontId="47" type="noConversion"/>
  </si>
  <si>
    <t>중앙감정평가법인(토지), 담보현황표</t>
  </si>
  <si>
    <t>3건물 1~2순위설정 각각 2014-07-17 추가설정계약임/</t>
  </si>
  <si>
    <t>울진군</t>
  </si>
  <si>
    <t>평해읍 평해리</t>
  </si>
  <si>
    <t>1465-1(토지, 에이동 건물)</t>
  </si>
  <si>
    <t>박**</t>
    <phoneticPr fontId="47" type="noConversion"/>
  </si>
  <si>
    <t>대구지방법원 영덕지원</t>
  </si>
  <si>
    <t>2016타경163</t>
  </si>
  <si>
    <t>2016타경422</t>
  </si>
  <si>
    <t>2013-12-20, 2014-07-15</t>
  </si>
  <si>
    <t>제일감정평가법인</t>
  </si>
  <si>
    <t xml:space="preserve">채무자 및 소유자 상호변경(㈜동성**→㈜디에***→일성**㈜)/
2순위 근저당권 일부이전(2016-03-31 신용보증기금 1,052,672,646원)/
부동산임의경매 모사건(2016타경163) 수수료부족으로 진행정지됨/
최초설정 기계기구 12점중 소재불명 기계기구(감정서기호 9호 제품자동결속기 1Set중 일부(2.수동조리게 1Set, 3.수동집게 1Set)및 감정서기호 11호 STS 4인치 Tube Mill Line 1식중 일부(1. 3. 4. 7. 8. 14. 15))가  형사고소장(2016-03-22) 및 경비용역계약서상 확인되었으나 기계 중 일부로 확인되어 기계기구 수량 및 감정금액 차감하지 아니함/ </t>
  </si>
  <si>
    <t xml:space="preserve">김천시 </t>
  </si>
  <si>
    <t>남면 송곡리</t>
  </si>
  <si>
    <t>261,261-4,261-5(3토지, 위삼지상 1동,2동,3동-3건물),261-3,264,265,산62-3,산63-2(5토지)</t>
  </si>
  <si>
    <t>삼창감정평가법인</t>
  </si>
  <si>
    <t>3건물 1순위설정 2014-02-05 추가설정계약임/
261-3,264,265,산62-3(4토지)및 산63-2(1토지)에 대하여 각각 2013-10-02및 2014-04-30 신한은행 지상권 설정/</t>
  </si>
  <si>
    <t>수성구</t>
  </si>
  <si>
    <t>만촌동</t>
  </si>
  <si>
    <t>1356-44외 1필지 매트로월드 제4층 제401호,제402호(2개호)</t>
  </si>
  <si>
    <t>1~6</t>
  </si>
  <si>
    <t>압류 대구수성구청(교통과)</t>
    <phoneticPr fontId="47" type="noConversion"/>
  </si>
  <si>
    <t>금액 미상</t>
    <phoneticPr fontId="47" type="noConversion"/>
  </si>
  <si>
    <t>이**</t>
    <phoneticPr fontId="47" type="noConversion"/>
  </si>
  <si>
    <t>대구지방법원</t>
  </si>
  <si>
    <t>2015타경11762</t>
  </si>
  <si>
    <t>낙찰</t>
  </si>
  <si>
    <t>달성감정평가사사무소</t>
  </si>
  <si>
    <t>경매 낙찰(낙찰일자:2016-02-17, 낙찰금액:591,000,000원, 매수인:이**, 배당기일:2016-05-26))로 소유권이전(이전일자:2016-04-15, 소유자:이**) 및 근저당권 말소(말소일자:2016-04-15)됨/
2개호 건물에 대하여 2011-03-28 대구광역시 수성구청(교통과)의 선순위 압류 존재함/</t>
  </si>
  <si>
    <t>익산시</t>
  </si>
  <si>
    <t>낭산면 구평리</t>
  </si>
  <si>
    <t>1534(토지)</t>
  </si>
  <si>
    <t>가온감정평가법인</t>
  </si>
  <si>
    <t>3순위 설정(600백만원)은 공장근저당권 설정임/
3순위 근저당권 일부이전됨(2016-04-22, 기술신용보증기금, 136,690,609원)/</t>
  </si>
  <si>
    <t>1534(위 지상 제1동,제2동-2건물)</t>
  </si>
  <si>
    <t>1순위설정 2014-06-30 추가설정계약임/
2순위 설정(600백만원)은 공장근저당권 설정임/
2순위 근저당권 일부이전됨(2016-04-22, 기술신용보증기금, 136,690,609원)/</t>
  </si>
  <si>
    <t>1534(위 지상 제3동 건물)</t>
  </si>
  <si>
    <t>1(3순위)~2(2순위)</t>
  </si>
  <si>
    <t xml:space="preserve">담보현황표 </t>
  </si>
  <si>
    <t>1순위 근저당권 일부이전됨(2016-04-22, 기술신용보증기금, 136,690,609원)/</t>
  </si>
  <si>
    <t>아산시</t>
  </si>
  <si>
    <t>선장면 채신언리</t>
  </si>
  <si>
    <t>168(토지)</t>
  </si>
  <si>
    <t xml:space="preserve">  </t>
  </si>
  <si>
    <t>프라임감정평가법인</t>
  </si>
  <si>
    <t>채무자 및 소유자 상호 변경함(농업회사****㈜→농업회사법인******)/
공동담보인 건물과 설정순위 상이(토지 1~2순위, 건물 2~1순위)로 물건을 분리함/</t>
  </si>
  <si>
    <t>168(위지상 제1동,제2동,제3동-3건물)</t>
  </si>
  <si>
    <t>공동담보인 토지와 설정순위 상이(토지 1~2순위, 건물 2~1순위)로 물건을 분리함/</t>
  </si>
  <si>
    <t>170(토지)</t>
  </si>
  <si>
    <t>공담 아님</t>
  </si>
  <si>
    <t>시가추정표</t>
  </si>
  <si>
    <t>2014-05-02 신한은행 지상권설정/</t>
  </si>
  <si>
    <t>청북면 백봉리</t>
  </si>
  <si>
    <t>534-171,541-1,541-4,542-2,542-5(5토지, 위오지상 건물)</t>
  </si>
  <si>
    <t>에이원감정평가법인</t>
  </si>
  <si>
    <t>신한은행 2순위 근저당권 일부이전됨(2016-04-26, 신용보증기금, 100,000,000원)/
기계기구 감정평가서 없음/</t>
  </si>
  <si>
    <t>칠원읍 용산리</t>
  </si>
  <si>
    <t>588(토지, 위지상 제1동호,제2동호-2건물),562-1,563-1(2토지)</t>
  </si>
  <si>
    <t>구**</t>
    <phoneticPr fontId="47" type="noConversion"/>
  </si>
  <si>
    <t>창원지방법원 마산지원</t>
  </si>
  <si>
    <t>2015타경8366</t>
  </si>
  <si>
    <t>2016타경1034</t>
  </si>
  <si>
    <t>2014-12-04, 2015-01-26</t>
  </si>
  <si>
    <t>대한감정평가법인</t>
  </si>
  <si>
    <t xml:space="preserve">2순위 근저당권 일부이전됨(2016-03-23 기술신용보증기금 237,927,803원)/
신한은행신청 임의경매사건(2016타경1034)이 중복 경매의 모사건임/ </t>
  </si>
  <si>
    <t>중앙동4가</t>
  </si>
  <si>
    <t>2-9(토지,건물)</t>
  </si>
  <si>
    <t>1~2순위 설정 계약인수에 따른 채무자 변경됨(2012-08-08, 박**에서 곽**)/</t>
  </si>
  <si>
    <t>신흥동3가</t>
  </si>
  <si>
    <t>7-9 한별프라이빌 101동 제3층 제301호</t>
  </si>
  <si>
    <t>담보물 소유자(김**)에 대하여 파산선고(2016-03-31, 인천지방법원 2016하단100025 파산선고, 2016하면100025 면책) 결정됨/</t>
  </si>
  <si>
    <t>문화동</t>
  </si>
  <si>
    <t>1-9 문화동센트럴스타클래스 제1층 제102호,제103호,제104호,제105호,제3층 제305호,제308호,제309호,제비1층 제비102호(8개호)</t>
  </si>
  <si>
    <t>2016타경4600</t>
  </si>
  <si>
    <t>가람감정평가법인</t>
  </si>
  <si>
    <t>채무자 및 소유자 상호 변경함(아트**㈜→아트컨***)/
신한은행의 부동산가압류 존재함(서울중앙지방법원 2015카단54854, 채무자:박**, 청구금액:100,000,000원, 대상부동산:대전광역시 유성구 용산동 경남아너스빌1단지아파트 제101동 제6층 제602호)/
신한은행의 채권가압류 존재함(서울중앙지방법원 2015카단55255, 채무자:아트컨***, 제3채무자:대한민국(대전지방국토관리청),한국수자원공사,한국토지주택공사,한국도로공사,한국철도시설공단, 청구금액:400,000,000원, 대상채권:공사대금채권)/
신한은행의 주식가압류 존재함(서울중앙지방법원 2016카단30135, 채무자:아트컨***, 제3채무자:(주)선진계***, 청구금액:21,000,000원, 대상주식:(주)선진계*** 기명식 보통주식 4,200주)/</t>
  </si>
  <si>
    <t>문백면 계산리</t>
  </si>
  <si>
    <t>331,331-4,331-6,331-7,591-1(5토지, 위오지상 주2동-건물),331-6 주1동(건물)</t>
  </si>
  <si>
    <t>유**</t>
    <phoneticPr fontId="47" type="noConversion"/>
  </si>
  <si>
    <t>2016타경3495</t>
  </si>
  <si>
    <t>경일감정평가법인</t>
  </si>
  <si>
    <t>대법원 경매사건검색 당사자내역상 소유자 상호변경 확인됨(농가마루****에서 모모플***)/</t>
  </si>
  <si>
    <t>옥천군</t>
  </si>
  <si>
    <t>이원면 미동리</t>
  </si>
  <si>
    <t>240-2(토지,건물),240-28(토지,건물),240-29(토지)</t>
  </si>
  <si>
    <t>탄방동</t>
  </si>
  <si>
    <t>746 제202호</t>
  </si>
  <si>
    <t>746 제203호</t>
  </si>
  <si>
    <t>장안면 어은리</t>
  </si>
  <si>
    <t>555-1,555-3,566-4,566-5,566-13(5토지)</t>
  </si>
  <si>
    <t>2016타경8298</t>
  </si>
  <si>
    <t>555-1,566-4,566-5,566-13(4토지) 2014-10-02 신한은행 지상권설정/
555-3(토지) 2011-02-10 한국전력공사 구분지상권설정/</t>
  </si>
  <si>
    <t>석우동</t>
  </si>
  <si>
    <t>41-1 제1층 제102호</t>
  </si>
  <si>
    <t>신한은행의 채권가압류 존재함(서울중앙지방법원 2015카단31781, 채무자:김**, 제3채무자:박**,이**, 청구금액:700,000,000원, 대상채권:채무자와 제3채무자사이에 체결한 임대차계약의 임대차보증금 반환채권)/</t>
  </si>
  <si>
    <t>법수면 윤외리</t>
  </si>
  <si>
    <t>1550(토지,건물)</t>
  </si>
  <si>
    <t>창원시 마산합포구</t>
  </si>
  <si>
    <t>신포동2가</t>
  </si>
  <si>
    <t>54 삼익맨션 제1동 제6층 제609호</t>
  </si>
  <si>
    <t>R-125 김** 차주와 동일 담보임/
2015-09-10 추가설정계약임/</t>
  </si>
  <si>
    <t>천안시 서북구</t>
  </si>
  <si>
    <t>신당동</t>
  </si>
  <si>
    <t>329-1,329-3,329-4,329-5,330-1(5토지),330-1,331-1(양지상 제1동호,제2동호,제3동호,제4동호-4건물)</t>
  </si>
  <si>
    <t>2012-10-19, 2016-04-28</t>
  </si>
  <si>
    <t>가온감정평가법인, 담보현황표</t>
  </si>
  <si>
    <t>채무자 및 소유자 상호변경(㈜세화**→농업회사법인*****→농업회사법인㈜동명****→농업회사법인*****/
제3동 건물 1순위설정 2012-12-07 추가설정계약임/
제4동 건물 1~2순위설정 각각 2013-12-04 추가설정계약임/
기계기구 설정목록상 6점으로 론파일에 첨부된 경비용역계약서상 기호6호(1층 포장실, 작업장 시설및 소품류 일체)의 기계기구 중 일부(칼열수 소독기 1EA, 골발기 1EA, 지방걸이대 6EA)가 소재불명인 것으로 확인되었으나 기계기구 6호의 일부로서 수량 및 감정금액 차감하지 아니함/</t>
  </si>
  <si>
    <t>염리동</t>
  </si>
  <si>
    <t>173-3(토지,건물)</t>
  </si>
  <si>
    <t xml:space="preserve">1~2순위 설정은 국민은행으로부터 근저당권 이전됨(2011-01-04)/
2순위 설정 2014-10-10 감액변경됨(221,000,000원에서 220,000,000원)/
사해행위 취소에 기한 소유권이전등기말소청구권 가처분등기 존재함(2015-06-08, 전주지방법원 정읍지원 2015카합33, 채권자:경**)/
</t>
  </si>
  <si>
    <t>장안면 수촌리</t>
  </si>
  <si>
    <t>647-7(토지,건물)</t>
  </si>
  <si>
    <t>신한은행</t>
    <phoneticPr fontId="47" type="noConversion"/>
  </si>
  <si>
    <t>2016타경7417</t>
  </si>
  <si>
    <t>2016타경11270</t>
  </si>
  <si>
    <t>중앙감정평가법인</t>
  </si>
  <si>
    <t>중복 경매사건 다수 존재함(①2016-03-14, 수원지방법원2016타경7417, 채권자:유**,청구금액:8,359,697원 ②2016-03-28, 수원지방법원2016타경8960, 채권자:심**, 청구금액:4,397,250원 ③2016-04-19, 수원지방법원2016타경11171, 채권자:남**, 청구금액:7,500,000원 ④2016-04-19, 수원지방법원2016타경11270, 채권자:신한은행, 청구금액:1,068,511,191원)/</t>
  </si>
  <si>
    <t>일동면 수입리</t>
  </si>
  <si>
    <t>619-9,624,624-1,625(4토지)</t>
  </si>
  <si>
    <t>대화감정평가법인</t>
  </si>
  <si>
    <t>624-3(토지)</t>
  </si>
  <si>
    <t>평가외</t>
  </si>
  <si>
    <t>선순위 설정은 전체지분 중 605분의 580에 대한 설정임/</t>
  </si>
  <si>
    <t>양감면 요당리</t>
  </si>
  <si>
    <t>3-6(토지,건물),3-23(토지)</t>
  </si>
  <si>
    <t>반송동</t>
  </si>
  <si>
    <t>96 메타폴리스 제에이동 제59층 제5902호</t>
  </si>
  <si>
    <t>가덕면 계산리</t>
  </si>
  <si>
    <t>289-6(토지,위지상 2건물)</t>
  </si>
  <si>
    <t>2016타경1406</t>
  </si>
  <si>
    <t>토지에 대하여 한국전력공사 구분지상권설정(1987-12-22)/</t>
  </si>
  <si>
    <t>289-8(토지-한국케*** 소유지분)</t>
  </si>
  <si>
    <t>선순위 설정은 토지 전체에 대한 설정임/
한국전력공사 구분지상권설정(1987-12-22)/</t>
  </si>
  <si>
    <t>월롱면 도내리</t>
  </si>
  <si>
    <t>218-10,218-15(2토지),218-9(토지-㈜예원*** 소유지분),218-10,218-16(양지상 건물)</t>
  </si>
  <si>
    <t>정**</t>
    <phoneticPr fontId="47" type="noConversion"/>
  </si>
  <si>
    <t>2016타경888</t>
  </si>
  <si>
    <t>2014-06-03, 2014-09-17</t>
  </si>
  <si>
    <t>건물 2014-11-06 추가설정계약임/</t>
  </si>
  <si>
    <t>고양동</t>
  </si>
  <si>
    <t>11-27 신성타운 제113동 제2층 제201호</t>
  </si>
  <si>
    <t>2014-06-16 추가설정계약임/</t>
  </si>
  <si>
    <t>1135-1외 1필지 청진네오스빌 제1층 제109호,제110호,제111호,제113호,제114호(5개호)</t>
  </si>
  <si>
    <t>프라임감정평가법인(탁상감정)</t>
  </si>
  <si>
    <t xml:space="preserve">계약인수됨(2005-09-15, 박**에서 윤**)/
채권최고액 변경됨(2009-01-14, 2,314,000,000원에서 966,000,000원)/
</t>
  </si>
  <si>
    <t>방화동</t>
  </si>
  <si>
    <t>483-5 제지하1층 제비01호,제1층 제101호(2개호)</t>
  </si>
  <si>
    <t>채권최고액 변경됨(2013-04-09, 2,012,400,000원에서 1,181,700,000원)/</t>
  </si>
  <si>
    <t>1101 후곡마을아파트 제1407동 제3층 제301호</t>
  </si>
  <si>
    <t>762 성동마을수지자이2차 제207동 제2층 제203호</t>
  </si>
  <si>
    <t>2016타경11379</t>
  </si>
  <si>
    <t>2,3순위 추가설정계약임(2010-12-15)/
3순위 근저당권 일부이전됨(2016-04-01, 55,000,000원, 신용보증기금)/
2,3순위 공동담보인 경기도 수원시 영통구 영통동 969-1 태영아파트 제936동 제13층 제1305호는 설정등기말소됨(2010-12-16)/</t>
  </si>
  <si>
    <t>봉담읍 수기리</t>
  </si>
  <si>
    <t>10-34(토지,건물),10-40(토지)</t>
  </si>
  <si>
    <t>남성레***</t>
    <phoneticPr fontId="47" type="noConversion"/>
  </si>
  <si>
    <t>2016타경8359</t>
  </si>
  <si>
    <t>2016타경11027</t>
  </si>
  <si>
    <t>태평양감정평가법인(온라인감정)</t>
  </si>
  <si>
    <t>수기리 10-34(건물) 1순위 추가설정계약임(2006-09-07)/
후행사건인 중소기업은행의 경매개시일자는 2016-04-01임/
타채권자의 경매청구액은 남성레***의 28,037,820원과 중소기업은행의 90,000,000원으로 확인됨/</t>
  </si>
  <si>
    <t>단양군</t>
  </si>
  <si>
    <t>매포읍 평동리</t>
  </si>
  <si>
    <t>436,436-13(2토지,양지상 제가동,제나동,제다동,제라동-4건물)</t>
  </si>
  <si>
    <t>감정평가법인대일감정원</t>
  </si>
  <si>
    <t>상호 변경함(변경전 : ㈜전원***)/
감정평가서에 담보 기계기구 19점 모두 "감정평가외"로 감정평가금액으로 반영되지 않음/</t>
  </si>
  <si>
    <t>제천시</t>
  </si>
  <si>
    <t>신월동</t>
  </si>
  <si>
    <t>934-1(토지)</t>
  </si>
  <si>
    <t>과수원</t>
  </si>
  <si>
    <t>2014-07-09 제천북부신용협동조합 지상권설정/</t>
  </si>
  <si>
    <t>1144-5 굿모닝타워 제11층 제1102호</t>
  </si>
  <si>
    <t>2016타경4121</t>
  </si>
  <si>
    <t>재평가표</t>
  </si>
  <si>
    <t>1144-5 굿모닝타워 제지하2층 제비201호</t>
  </si>
  <si>
    <t>㈜가람감정평가법인</t>
  </si>
  <si>
    <t>채권최고액 변경됨(2015-07-22, 180,00,000원에서 120,000,000원)/</t>
  </si>
  <si>
    <t>941외 2필지 목동대원칸타빌2단지아파트 제203동 제12층 제1205호</t>
  </si>
  <si>
    <t>중소기업은행</t>
    <phoneticPr fontId="47" type="noConversion"/>
  </si>
  <si>
    <t>2016타경101027</t>
  </si>
  <si>
    <t>2016타경3932</t>
  </si>
  <si>
    <t>화곡동</t>
  </si>
  <si>
    <t>1145 우장산롯데캐슬 제305동 제1층 제103호</t>
  </si>
  <si>
    <t>여의도동</t>
  </si>
  <si>
    <t>36 롯데캐슬엠파이어 제34층 제102-3402호</t>
  </si>
  <si>
    <t>현대라이프****</t>
    <phoneticPr fontId="47" type="noConversion"/>
  </si>
  <si>
    <t>2015타경19534</t>
  </si>
  <si>
    <t>구정감정평가사사무소</t>
  </si>
  <si>
    <t>1487 위시티일산자이1단지 제104동 제21층 제2102호</t>
  </si>
  <si>
    <t>2016타경2860</t>
  </si>
  <si>
    <t>부산진구</t>
  </si>
  <si>
    <t>부전동</t>
  </si>
  <si>
    <t>537-9 더샵 센트럴스타 제디동 제18층 제1801호</t>
  </si>
  <si>
    <t>반포동</t>
  </si>
  <si>
    <t>986외 3필지 에이아이디차관주택 제32동 제4층 제401호</t>
  </si>
  <si>
    <t>2015타경100304</t>
  </si>
  <si>
    <t>2015타경20309</t>
  </si>
  <si>
    <t>2015-12-10에서 변경중</t>
  </si>
  <si>
    <t>㈜감정평가법인 이산</t>
  </si>
  <si>
    <t>서울중앙지방법원 2015회단51 회생사건(2015-12-01)은 회생절차 폐지결정됨(2016-02-29)/
2015타경100304(중복 2015타경20309) 부동산경매사건은 집행정지됨/
1~4순위 구)조흥은행 설정 건임/</t>
  </si>
  <si>
    <t>1151 한화꿈에그린아파트 제103동 제12층 제1204호</t>
  </si>
  <si>
    <t>512 부개역푸르지오 제101동 제18층 제1802호</t>
  </si>
  <si>
    <t>2016타경16056</t>
  </si>
  <si>
    <t>771 버들치마을성복힐스테이트1차 제112동 제11층 제1101호</t>
  </si>
  <si>
    <t>2016타경8700</t>
  </si>
  <si>
    <t>537-9 더샵 센트럴스타 제디동 제41층 제4101호</t>
  </si>
  <si>
    <t>최근 경매 취소됨(2016-01-27 기각, 부산지방법원 2015타경20918 강제경매사건, 채권자:㈜디도***)/</t>
  </si>
  <si>
    <t>구의동</t>
  </si>
  <si>
    <t xml:space="preserve">80-22 정도빌딩(토지,건물) </t>
  </si>
  <si>
    <t>㈜태평양감정평가법인</t>
  </si>
  <si>
    <t>채권최고액 변경됨(2015-10-28, 819,000,000원에서 650,000,000원)/</t>
  </si>
  <si>
    <t>30-102 진주아파트 제503동 제6층 제606호</t>
  </si>
  <si>
    <t>교동</t>
  </si>
  <si>
    <t>134-53,134-55,134-69(3토지,위삼지상 건물)</t>
  </si>
  <si>
    <t>점포</t>
  </si>
  <si>
    <t>2016타경30394</t>
  </si>
  <si>
    <t>1~2순위 구)조흥은행 설정 건임/</t>
  </si>
  <si>
    <t>1498 위시티일산자이2단지 제209동 제18층 제1803호</t>
  </si>
  <si>
    <t>2016타경5173</t>
  </si>
  <si>
    <t>세종특별자치시</t>
  </si>
  <si>
    <t>장군면</t>
  </si>
  <si>
    <t>금암리</t>
  </si>
  <si>
    <t>261-13(토지,건물)</t>
  </si>
  <si>
    <t>261-14(토지,건물)</t>
  </si>
  <si>
    <t>261-15(토지,건물)</t>
  </si>
  <si>
    <t>760 버들치마을성복힐스테이트3차 제308동 제14층 제1404호</t>
  </si>
  <si>
    <t>와부읍 덕소리</t>
  </si>
  <si>
    <t>600-15 덕소강변현대홈타운 제104동 제3층 제304호</t>
  </si>
  <si>
    <t>2016타경5507</t>
  </si>
  <si>
    <t>1487 위시티일산자이1단지 제108동 제15층 제1502호</t>
  </si>
  <si>
    <t>2016타경3627</t>
  </si>
  <si>
    <t>의정부지방법원 2016개회12224 개인회생사건(2016-03-11) 접수됨/
2016타경3627 부동산임의경매사건은 집행정지됨/</t>
  </si>
  <si>
    <t>영월군</t>
  </si>
  <si>
    <t>영월읍 연하리</t>
  </si>
  <si>
    <t>947-1(토지,건물)</t>
  </si>
  <si>
    <t>의료시설</t>
  </si>
  <si>
    <t>758 버들치마을성복자이1차 제101동 제6층 제601호</t>
  </si>
  <si>
    <t>1498 위시티일산자이2단지 제202동 제25층 제2504호</t>
  </si>
  <si>
    <t>2016타경4897</t>
  </si>
  <si>
    <t>572외 3필지 비산한화꿈에그린아파트 제110동 제19층 제1901호</t>
  </si>
  <si>
    <t>2016타경753</t>
  </si>
  <si>
    <t>오포읍 능평리</t>
  </si>
  <si>
    <t>916 오포 우림필유 골드 135 제101동 제8층 제801호</t>
  </si>
  <si>
    <t>월포동</t>
  </si>
  <si>
    <t>1-1외 4필지 월포벽산블루밍아파트 제105동 제16층 제1601호</t>
  </si>
  <si>
    <t>2016타경1881</t>
  </si>
  <si>
    <t>화도읍 창현리</t>
  </si>
  <si>
    <t>503-9외 3필지 마석프라자 제2층 제201호</t>
  </si>
  <si>
    <t>2016타경9752</t>
  </si>
  <si>
    <t>계약인수됨(2013-10-08, 이**에서 장**)/</t>
  </si>
  <si>
    <t>주안동</t>
  </si>
  <si>
    <t>150-4외 1필지 제3층 제301호</t>
  </si>
  <si>
    <t>1순위 계약인수됨(2003-04-25, 정**-&gt;김**, 2006-04-25, 김**-&gt;조**, 2009-01-28, 조**-&gt;신**)/
2순위 계약인수됨(2006-04-25, 김**-&gt;조**, 2009-01-28, 조**-&gt;신**)/</t>
  </si>
  <si>
    <t>군포시</t>
  </si>
  <si>
    <t>금정동</t>
  </si>
  <si>
    <t>847-2 동영센트럴타워 제4층 제410호</t>
  </si>
  <si>
    <t>2016타경2193</t>
  </si>
  <si>
    <t>3379 신영지웰시티1차 제104동 제4층 제402호</t>
  </si>
  <si>
    <t>하남시</t>
  </si>
  <si>
    <t>덕풍동</t>
  </si>
  <si>
    <t>728 우남퍼스트빌리젠트 제103동 제1층 제106호</t>
  </si>
  <si>
    <t>2016타경2941</t>
  </si>
  <si>
    <t>계약인수됨(2008-07-24, 최**에서 김**)/</t>
  </si>
  <si>
    <t>1498 위시티일산자이2단지 제211동 제12층 제1205호</t>
  </si>
  <si>
    <t>2016타경5586</t>
  </si>
  <si>
    <t>중동</t>
  </si>
  <si>
    <t>1037 은하마을 제510동 제1층 제101호</t>
  </si>
  <si>
    <t>2016타경4872</t>
  </si>
  <si>
    <t>이동면 장암리</t>
  </si>
  <si>
    <t>278(토지,건물)</t>
  </si>
  <si>
    <t>1순위 근저당권만 공장저당법이며, 2순위는 일반근저당권임/</t>
  </si>
  <si>
    <t>1498 위시티일산자이2단지 제211동 제21층 제2103호</t>
  </si>
  <si>
    <t>2016타경4194</t>
  </si>
  <si>
    <t>서천동</t>
  </si>
  <si>
    <t>700 서그내마을에스케이아파트 제103동 제2층 제202호</t>
  </si>
  <si>
    <t>상현동</t>
  </si>
  <si>
    <t>257-32외 2필지 제2층 제201호,제6층 제601호,제602호(3개호)</t>
  </si>
  <si>
    <t>센터감정평가서</t>
  </si>
  <si>
    <t>홍제동</t>
  </si>
  <si>
    <t>312-223 제6층 제601호</t>
  </si>
  <si>
    <t>선순위인 1순위 근저당권설정은 구)조흥은행 설정 건이며, 타채무자겸 담보제공자임(2004-01-06, 채무자:김**)/
2순위 구)조흥은행 설정 건임/
3순위 근저당권설정계약서(2007-09-17, 제38337호, 130,000,000원) 없음(여신문서 부존재 현황서 존재함)/
4순위 공동담보인 경기도 성남시 수정구 신흥동 2463-4 한신프라자 제15층 제1513호는 설정등기 말소됨(2008-01-02)/</t>
  </si>
  <si>
    <t>312-223 제1층 제102호</t>
  </si>
  <si>
    <t>장흥면 일영리</t>
  </si>
  <si>
    <t>114-32번지 스카이빌 제에이동 제1층 제102호</t>
  </si>
  <si>
    <t>2016타경4825</t>
  </si>
  <si>
    <t>114-32번지 스카이빌 제에이동 제3층 제302호</t>
  </si>
  <si>
    <t>114-32번지 스카이빌 제에이동 제4층 제401호</t>
  </si>
  <si>
    <t>114-32번지 스카이빌 제비동 제4층 제402호</t>
  </si>
  <si>
    <t>탄현면 금승리</t>
  </si>
  <si>
    <t>11-53(토지)</t>
  </si>
  <si>
    <t>2016타경1843</t>
  </si>
  <si>
    <t>죽전동</t>
  </si>
  <si>
    <t>1198 새터마을푸르지오 제401동 제18층 제1802호</t>
  </si>
  <si>
    <t>2016타경501049</t>
  </si>
  <si>
    <t>2016타경11836</t>
  </si>
  <si>
    <t>869 일산방송컴플렉스방송관련시설 제14층 제103-1402호</t>
  </si>
  <si>
    <t>목동동</t>
  </si>
  <si>
    <t>667 해솔마을4단지 벽산우남연리지 제411동 제16층 제1601호</t>
  </si>
  <si>
    <t>2016타경6701</t>
  </si>
  <si>
    <t>하갈동</t>
  </si>
  <si>
    <t>631 청명호수마을신안인스빌1단지 제103동 제1층 제101호</t>
  </si>
  <si>
    <t>2016타경5084</t>
  </si>
  <si>
    <t>3379 신영지웰시티1차 제102동 제9층 제906호</t>
  </si>
  <si>
    <t>대전지방법원 2015개회49066 개인회생(접수일:2015-09-11, 개시결정일:2016-01-20) 결정된 차주임/</t>
  </si>
  <si>
    <t>동백동</t>
  </si>
  <si>
    <t>654 호수마을동보노빌리티 제1207동 제15층 제1501호</t>
  </si>
  <si>
    <t>2016타경6780</t>
  </si>
  <si>
    <t>채무자 김**에서 계약인수됨(2006-05-11)/</t>
  </si>
  <si>
    <t>1634 일산임광,진흥아파트 제108동 제2층 제201호</t>
  </si>
  <si>
    <t>의정부지방법원 2016개회20102 개인회생(접수일:2016-01-06) 신청한 차주임/
채권최고액 변경됨(2015-06-15, 342,000,000원에서 333,000,000원)/</t>
  </si>
  <si>
    <t>별내동</t>
  </si>
  <si>
    <t>1060 동익미라벨 제3903동 제5층 제503호</t>
  </si>
  <si>
    <t>덕이동</t>
  </si>
  <si>
    <t>1540 하이파크시티일산아이파크5단지 제506동 제20층 제2003호</t>
  </si>
  <si>
    <t>정발산동</t>
  </si>
  <si>
    <t>785외 2필지 일산현대아이스페이스 제5층 제610호</t>
  </si>
  <si>
    <t>갈산동</t>
  </si>
  <si>
    <t>782 이천갈산현진에버빌 제308동 제7층 제702호</t>
  </si>
  <si>
    <t>2016타경2715</t>
  </si>
  <si>
    <t>채무자 소유에서 박**외 2명에게 상속됨(2016-04-18, 대위자 신한은행, 경매 실행을 위한 대위 상속 등기)/</t>
  </si>
  <si>
    <t>오산시</t>
  </si>
  <si>
    <t>수청동</t>
  </si>
  <si>
    <t>581 물향기마을휴먼시아꿈에그린 제1307동 제14층 제1404호</t>
  </si>
  <si>
    <t>공세동</t>
  </si>
  <si>
    <t>714 탑실마을대주피오레2단지 제207동 제7층 제702호</t>
  </si>
  <si>
    <t>2015타경506979</t>
  </si>
  <si>
    <t>수원시 권선구</t>
  </si>
  <si>
    <t>금곡동</t>
  </si>
  <si>
    <t>66외 8필지 강남아파트 제107동 제13층 제1302호</t>
  </si>
  <si>
    <t>2016타경4098</t>
  </si>
  <si>
    <t>서울중앙지방법원 2015간회단100019 간이회생(접수일:2015-09-09, 2015-12-15 폐지)신청 후 폐지된 차주임/</t>
  </si>
  <si>
    <t>창원시 마산회원구</t>
  </si>
  <si>
    <t>양덕동</t>
  </si>
  <si>
    <t>74-1외 2필지 마산한일타운아파트 제104동 제18층 제1803호</t>
  </si>
  <si>
    <t>1286 다울숲아파트 제102동 제7층 제702호</t>
  </si>
  <si>
    <t>화도읍 차산리</t>
  </si>
  <si>
    <t>875 신창현풍림아이원1차 제102동 제2층 제203호</t>
  </si>
  <si>
    <t>2016타경10325</t>
  </si>
  <si>
    <t>사하구</t>
  </si>
  <si>
    <t>다대동</t>
  </si>
  <si>
    <t>382-3 다대자유아파트 제112동 제10층 제1002호</t>
  </si>
  <si>
    <t>전주시 덕진구</t>
  </si>
  <si>
    <t>송천동1가</t>
  </si>
  <si>
    <t>12-10 진흥더블파크 제110동 제6층 제602호</t>
  </si>
  <si>
    <t>2016타경3909</t>
  </si>
  <si>
    <t>갈월동</t>
  </si>
  <si>
    <t>14-14외 1필지 갈월동하나빌 제3층 제301호</t>
  </si>
  <si>
    <t>㈜빙**</t>
    <phoneticPr fontId="47" type="noConversion"/>
  </si>
  <si>
    <t>2015타경13900</t>
  </si>
  <si>
    <t>2016타경2792</t>
  </si>
  <si>
    <t>499-2 푸른마을한신아파트 제109동 제1층 제104호</t>
  </si>
  <si>
    <t>우리은행</t>
  </si>
  <si>
    <t>2015타경52819</t>
  </si>
  <si>
    <t>서울중앙지방법원 2015회단100237 회생사건(2015-10-16)은 회생절차 폐지결정됨(2016-03-11)/
보전처분등기됨(2015-11-12)/
2015타경52819 부동산임의경매사건은 집행정지됨/</t>
  </si>
  <si>
    <t>오학동</t>
  </si>
  <si>
    <t>401 성일우리미아파트 제104동 제10층 제1001호</t>
  </si>
  <si>
    <t>최**</t>
    <phoneticPr fontId="47" type="noConversion"/>
  </si>
  <si>
    <t>2015타경13787</t>
  </si>
  <si>
    <t>2016타경1231</t>
  </si>
  <si>
    <t>2016-03-30에서 변경중</t>
  </si>
  <si>
    <t>동현감정평가사사무소</t>
  </si>
  <si>
    <t>현암동</t>
  </si>
  <si>
    <t>195 이안여주강변아파트 제107동 제15층 제1501호</t>
  </si>
  <si>
    <t>현대캐피탈</t>
  </si>
  <si>
    <t>2016타경30161</t>
  </si>
  <si>
    <t>2016타경3190</t>
  </si>
  <si>
    <t>중복경매사건 중 선행경매사건인 수원지방법원 여주지원 2016타경30161 부동산강제경매사건(채권자:현대캐**㈜)은 소유자 조**,황**(지분 각 2분의 1) 중 조**지분에 대한 경매신청임/</t>
  </si>
  <si>
    <t>청량리동</t>
  </si>
  <si>
    <t>205-50,205-118(2토지)</t>
  </si>
  <si>
    <t>2016타경3881</t>
  </si>
  <si>
    <t>2005-01-04 지상권설정/
구)조흥은행 설정 건임/</t>
  </si>
  <si>
    <t>김해시</t>
  </si>
  <si>
    <t>율하동</t>
  </si>
  <si>
    <t>1405 율현마을율하이-편한세상 제1104동 제10층 제1002호</t>
  </si>
  <si>
    <t>마산세무서</t>
  </si>
  <si>
    <t>한국자산관리공사</t>
  </si>
  <si>
    <t>2015-14476-001</t>
  </si>
  <si>
    <t>미지정</t>
  </si>
  <si>
    <t>㈜가람감정평가법인 경남지사</t>
  </si>
  <si>
    <t>2015-12-23 공매 공고(한국자산관리공사 2015-14476-001)/</t>
  </si>
  <si>
    <t>논현동</t>
  </si>
  <si>
    <t>604-1 냇마을신영지웰 제901동 제11층 제1102호</t>
  </si>
  <si>
    <t>㈜황금***</t>
    <phoneticPr fontId="47" type="noConversion"/>
  </si>
  <si>
    <t>2016타경2514</t>
  </si>
  <si>
    <t>2016타경11501</t>
  </si>
  <si>
    <t>계약인수됨(2008-01-10, 박**에서 윤**)/
채권최고액 변경됨(2014-04-11, 273,600,000원에서 228,000,000원)/</t>
  </si>
  <si>
    <t xml:space="preserve"> 파주시</t>
  </si>
  <si>
    <t>검산동</t>
  </si>
  <si>
    <t>130-8외 2필지 성원포레스타운 제105동 제2층 제202호</t>
  </si>
  <si>
    <t>2016타경4316</t>
  </si>
  <si>
    <t>하상동</t>
  </si>
  <si>
    <t>369 연꽃마을금호타운 제308 제16층 제1601호</t>
  </si>
  <si>
    <t xml:space="preserve">수원지방법원 2015개회1000681 개인회생(접수일:2015-01-28, 개시결정일:2015-10-07) 신청 후 변제계획인가(2016-03-30)받은 차주임/
</t>
  </si>
  <si>
    <t>96 메타폴리스 제에이동 제9층 제905호</t>
  </si>
  <si>
    <t>2015타경509336</t>
  </si>
  <si>
    <t>채권최고액 변경됨(2013-12-17, 360,000,000원에서 192,000,000원)/</t>
  </si>
  <si>
    <t>죽율동</t>
  </si>
  <si>
    <t>752 시흥6차푸르지오2단지 제211동 제2층 제203호</t>
  </si>
  <si>
    <t>2016타경4672</t>
  </si>
  <si>
    <t>상계동</t>
  </si>
  <si>
    <t>751-1 상계주공아파트 제413동 제10층 제1001호</t>
  </si>
  <si>
    <t>현대저축은행</t>
  </si>
  <si>
    <t>2016타경3843</t>
  </si>
  <si>
    <t>북아현동</t>
  </si>
  <si>
    <t>1-444(토지,건물)</t>
  </si>
  <si>
    <t>송화새마을금고</t>
  </si>
  <si>
    <t>2016타경2723</t>
  </si>
  <si>
    <t>2016타경2822</t>
  </si>
  <si>
    <t>원종동</t>
  </si>
  <si>
    <t>129-8 영화아파트 제102동 제1층 제104호</t>
  </si>
  <si>
    <t>금암동</t>
  </si>
  <si>
    <t>757-5(토지,건물)</t>
  </si>
  <si>
    <t>완도금일수산업협동조합</t>
  </si>
  <si>
    <t>2015타경14605</t>
  </si>
  <si>
    <t>감정가는 대법원에 등재된 법사가이며 제시외 건물 및 조경수를 포함한 일괄 경매로 확인됨/</t>
  </si>
  <si>
    <t>성남시 분당구</t>
  </si>
  <si>
    <t>수내동</t>
  </si>
  <si>
    <t>27 양지마을 제301동 제5층 제503호</t>
  </si>
  <si>
    <t>상호 변경함(변경전 : ㈜삼흥**)/</t>
  </si>
  <si>
    <t>달서구</t>
  </si>
  <si>
    <t>용산동</t>
  </si>
  <si>
    <t>230-10 용산롯데캐슬그랜드 제110동 제15층 제1505호</t>
  </si>
  <si>
    <t>2015타경6125</t>
  </si>
  <si>
    <t>2016타경971</t>
  </si>
  <si>
    <t>2016-04-05에서 변경중</t>
  </si>
  <si>
    <t>덕일감정평가사사무소</t>
  </si>
  <si>
    <t>도봉구</t>
  </si>
  <si>
    <t>방학동</t>
  </si>
  <si>
    <t>662-23(토지,건물)</t>
  </si>
  <si>
    <t>도화동</t>
  </si>
  <si>
    <t>544 제10층 제1005호</t>
  </si>
  <si>
    <t>창원세무서</t>
  </si>
  <si>
    <t>2015-17746-001</t>
  </si>
  <si>
    <t>고읍동</t>
  </si>
  <si>
    <t>455 산내들마을우남퍼스트빌 제104동 제8층 제804호</t>
  </si>
  <si>
    <t>수원시 영통구</t>
  </si>
  <si>
    <t>매탄동</t>
  </si>
  <si>
    <t>176 현대힐스테이트아파트 제112동 제18층 제1802호</t>
  </si>
  <si>
    <t>채권최고액 변경됨(2008-06-04, 183,600,000원에서 168,000,000원)/</t>
  </si>
  <si>
    <t>진접읍 금곡리</t>
  </si>
  <si>
    <t>971 해밀마을5단지반도유보라메이플타운 제1503동 제2층 제204호</t>
  </si>
  <si>
    <t>쌍문동</t>
  </si>
  <si>
    <t>485-33 현대시티 제비동 제5층 제502호</t>
  </si>
  <si>
    <t>센터 시가추정표</t>
  </si>
  <si>
    <t>안성시</t>
  </si>
  <si>
    <t>대덕면 건지리</t>
  </si>
  <si>
    <t>465-2(토지),465-2,464-2(양지상 건물)</t>
  </si>
  <si>
    <t>수원지방법원 평택지원</t>
  </si>
  <si>
    <t>2016타경1807</t>
  </si>
  <si>
    <t>건지리 464-2번지 83m2 본 담보물 토지인 건지리 465-2번지로 합병됨(2006-01-02)/</t>
  </si>
  <si>
    <t>내서읍 삼계리</t>
  </si>
  <si>
    <t>507-1 숲속마을주공5단지아파트 제505동 제12층 제1206호</t>
  </si>
  <si>
    <t>하나캐피탈</t>
  </si>
  <si>
    <t>2016타경1041</t>
  </si>
  <si>
    <t>2016타경1997</t>
  </si>
  <si>
    <t>선행 경매사건(하나캐피탈, 2016타경1041)은 이**지분(2분의 1)에 대한 경매 진행임/</t>
  </si>
  <si>
    <t>양촌읍 양곡리</t>
  </si>
  <si>
    <t>1316 양곡휴먼시아고다니마을 제705동 제12층 제1201호</t>
  </si>
  <si>
    <t>2015타경20099</t>
  </si>
  <si>
    <t>2016타경467</t>
  </si>
  <si>
    <t>건물만 설정임/
경매 관련사건(인천지방법원 부천지원 2015가단21211, 사건명 : 임대차보증금반환금, 원고 : 박**, 피고 : 서**, 원고 소가 : 80,000,000원, 2015-11-05 원고승) 존재함/</t>
  </si>
  <si>
    <t>삼산동</t>
  </si>
  <si>
    <t>389-8 삼산주공미래타운아파트 제404동 제9층 제901호</t>
  </si>
  <si>
    <t>채무자겸 소유자 임** 사망으로 2016-01-04 상속 대위등기/</t>
  </si>
  <si>
    <t>1085 광혜원코아루아파트 제103동 제4층 제402호</t>
  </si>
  <si>
    <t>궁동</t>
  </si>
  <si>
    <t>290 궁동 우남푸르미아아파트 제101동 제2층 제205호</t>
  </si>
  <si>
    <t>2015타경19237</t>
  </si>
  <si>
    <t>R-130 ㈜원일씨*** 차주와 동일 담보임/</t>
  </si>
  <si>
    <t>방축동</t>
  </si>
  <si>
    <t>117-3외 8필지 계양산대창센시티아파트 제101동 제7층 제706호</t>
  </si>
  <si>
    <t>2016타경12047</t>
  </si>
  <si>
    <t xml:space="preserve">2013-03-11 채무자 개명함(개명전 : 서**)/
토지면적 45.83m2는 9필지 중 방축동 117-4번지(550m2)에 대한 대지권 환산 면적임/ </t>
  </si>
  <si>
    <t>1144-10외 2필지 룩소르주상복합아파트 제14층 제1402호</t>
  </si>
  <si>
    <t>2015타경58497</t>
  </si>
  <si>
    <t>가람감정평가법인(감평평가서 심사표)</t>
  </si>
  <si>
    <t>7-235 신흥아이파크 제107동 제1층 제104호</t>
  </si>
  <si>
    <t>유성구</t>
  </si>
  <si>
    <t>송강동</t>
  </si>
  <si>
    <t>199 송강그린아파트 제315동 제2층 제203호</t>
  </si>
  <si>
    <t>소유자 정** 사망으로 2015-11-30 상속 대위등기/</t>
  </si>
  <si>
    <t>백석읍 복지리</t>
  </si>
  <si>
    <t>322-4외 2필지 동화은하수큰마을제2지구초록마을아파트 제202동 제14층 제1404호</t>
  </si>
  <si>
    <t>수원시 장안구</t>
  </si>
  <si>
    <t>파장동</t>
  </si>
  <si>
    <t>212-5 삼익아파트 제2동 제7층 제710호</t>
  </si>
  <si>
    <t>강화군</t>
  </si>
  <si>
    <t>불은면 두운리</t>
  </si>
  <si>
    <t>927-6(토지,건물)</t>
  </si>
  <si>
    <t>신**</t>
    <phoneticPr fontId="47" type="noConversion"/>
  </si>
  <si>
    <t>2015타경506903</t>
  </si>
  <si>
    <t>2016타경6868</t>
  </si>
  <si>
    <t>R-016 ㈜승화*** 차주와 동일 담보임/</t>
  </si>
  <si>
    <t>화도읍 녹촌리</t>
  </si>
  <si>
    <t>235-2 삼신아파트 제103동 제2층 제201호</t>
  </si>
  <si>
    <t>범어동</t>
  </si>
  <si>
    <t>2017 청구성조타운 제101동 제8층 제808호</t>
  </si>
  <si>
    <t>2016타경257</t>
  </si>
  <si>
    <t>채무자겸 소유자 김** 사망으로 2016-01-18 상속 대위등기/</t>
  </si>
  <si>
    <t>1624외 7필지 다대동롯데캐슬몰운대아파트 제218동 제13층 제1304호</t>
  </si>
  <si>
    <t>부산은행</t>
  </si>
  <si>
    <t>2016타경3965</t>
  </si>
  <si>
    <t>440-1 삼산타운주공아파트 제101동 제17층 제1702호</t>
  </si>
  <si>
    <t>R-117 이** 차주와 동일 담보임/</t>
  </si>
  <si>
    <t>길음동</t>
  </si>
  <si>
    <t>1278 동부센트레빌아파트 제101동 제1층 제101호</t>
  </si>
  <si>
    <t>2,4</t>
  </si>
  <si>
    <t>태전동</t>
  </si>
  <si>
    <t>244-86 제4층 제401호</t>
  </si>
  <si>
    <t>대화감정평가법인(약식감정평가서)</t>
  </si>
  <si>
    <t>북구</t>
  </si>
  <si>
    <t>산격동</t>
  </si>
  <si>
    <t>505-7 소프트웨어벤처타워 제8층 제803호</t>
  </si>
  <si>
    <t>오피스텔(비주거)</t>
  </si>
  <si>
    <t>㈜제일감정평가법인</t>
  </si>
  <si>
    <t>청주시 서원구</t>
  </si>
  <si>
    <t>수곡동</t>
  </si>
  <si>
    <t>1002 두진백로아파트 제106동 제4층 제401호</t>
  </si>
  <si>
    <t>안양동</t>
  </si>
  <si>
    <t>1088-68 휴타운숲 제201호</t>
  </si>
  <si>
    <t>2016타경1855</t>
  </si>
  <si>
    <t>감정평가법인대일감정원(약식감정평가서)</t>
  </si>
  <si>
    <t xml:space="preserve">R-177 ㈜투* 차주와 동일 담보임/ </t>
  </si>
  <si>
    <t>177-5(토지,건물)</t>
  </si>
  <si>
    <t>2016타경5095</t>
  </si>
  <si>
    <t>담보현황표(시가추정)</t>
  </si>
  <si>
    <t>234-16외 1필지 그린캐슬 제2층 제201호</t>
  </si>
  <si>
    <t>태평양감정평가법인(가격자문서)</t>
  </si>
  <si>
    <t>234-16외 1필지 그린캐슬 제3층 제304호</t>
  </si>
  <si>
    <t>금천동</t>
  </si>
  <si>
    <t>106-1외 5필지 풍림아파트 제101동 제9층 제902호</t>
  </si>
  <si>
    <t>2016타경3891</t>
  </si>
  <si>
    <t>쌍령동</t>
  </si>
  <si>
    <t>52-41 양지마을샤인빌 제4층 제401호</t>
  </si>
  <si>
    <t>2016타경1955</t>
  </si>
  <si>
    <t>마천동</t>
  </si>
  <si>
    <t>186-18(토지,건물)</t>
  </si>
  <si>
    <t>2016타경2868</t>
  </si>
  <si>
    <t>영업점시가추정표</t>
  </si>
  <si>
    <t>1992-12-26 지하철도 시설의 소유를 목적으로한 서울특별시도시철도공사의 지상권설정(범위 : 지적 53m2 중 편입, 면적 21m2에 대하여 평균 해수면 기준 지하 30.895m2로 부터 10.795m2사이, 지료 : 3,606,750원(일시금)/</t>
  </si>
  <si>
    <t>도봉동</t>
  </si>
  <si>
    <t>87외 2필지 삼환도봉아파트 제2동 제12층 제1205호</t>
  </si>
  <si>
    <t>위드에셋자*****</t>
    <phoneticPr fontId="47" type="noConversion"/>
  </si>
  <si>
    <t>2016타경325</t>
  </si>
  <si>
    <t>1순위 근저당권 2006-12-20 계약인수(채무자 유** -&gt; 서*)/</t>
  </si>
  <si>
    <t>안산시 상록구</t>
  </si>
  <si>
    <t>본오동</t>
  </si>
  <si>
    <t>905-2 수정하이츠빌 제4층 제402호</t>
  </si>
  <si>
    <t>내유동</t>
  </si>
  <si>
    <t>444-17외 5필지 동진타운 제103동 제3층 제301호</t>
  </si>
  <si>
    <t>2016타경5890</t>
  </si>
  <si>
    <t>477-1 화인타운 제비동 제2층 제201호</t>
  </si>
  <si>
    <t>1613-24 팜스빌 제2층 제202호</t>
  </si>
  <si>
    <t>오릭스캐피****</t>
    <phoneticPr fontId="47" type="noConversion"/>
  </si>
  <si>
    <t>2015타경20866</t>
  </si>
  <si>
    <t>2016타경4793</t>
  </si>
  <si>
    <t xml:space="preserve">근저당권설정금액 2014-06-03 변경계약으로 감액됨(최초설정금액 288,000,000원)/
경매 병합사건(2015타경21043, 채권자 : 조**, 병합 물건 : 서울특별시 강남구 언주로 103길 18, 1동 5층501호)/ </t>
  </si>
  <si>
    <t>598-8 당곡마을아파트 제103동 제14층 제1401호</t>
  </si>
  <si>
    <t>호원동</t>
  </si>
  <si>
    <t>318-1 미도아파트 제101동 제18층 제1802호</t>
  </si>
  <si>
    <t>599-10 현일빌라 제3층 제301호</t>
  </si>
  <si>
    <t>창원시 성산구</t>
  </si>
  <si>
    <t>내동</t>
  </si>
  <si>
    <t>452-2 한국화약(주)사원아파트 제3층 제308호</t>
  </si>
  <si>
    <t>에스앤티저축은행</t>
  </si>
  <si>
    <t>창원지방법원</t>
  </si>
  <si>
    <t>2016타경2921</t>
  </si>
  <si>
    <t>2016타경3641</t>
  </si>
  <si>
    <t>부평동</t>
  </si>
  <si>
    <t>149-31 부흥아트빌 제4층 제401호</t>
  </si>
  <si>
    <t>2016타경14630</t>
  </si>
  <si>
    <t>㈜통일감정평가법인</t>
  </si>
  <si>
    <t>504-64 제2층 제202호</t>
  </si>
  <si>
    <t>124-4외 1필지 신일드림빌아파트 제102동 제13층 제1302호</t>
  </si>
  <si>
    <t>경기신용보증재단</t>
  </si>
  <si>
    <t>2016타경51363</t>
  </si>
  <si>
    <t>2016타경5278</t>
  </si>
  <si>
    <t>중화동</t>
  </si>
  <si>
    <t>19외 13필지 극동아파트 제12층 제1207호</t>
  </si>
  <si>
    <t>2015타경102118</t>
  </si>
  <si>
    <t>206-2 동남아파트 제2동 제1층 제104호</t>
  </si>
  <si>
    <t>채무자겸 소유자 윤** 사망으로 2010-11-24 상속등기/
2006-04-26 1~2순위 근저당권 계약인수(채무자 김**에서 윤**)/</t>
  </si>
  <si>
    <t>446 제1동 제4층 제406호</t>
  </si>
  <si>
    <t>(선정당사자)정**</t>
    <phoneticPr fontId="47" type="noConversion"/>
  </si>
  <si>
    <t>2016타경11822</t>
  </si>
  <si>
    <t>1182 그린타운 제1301동 제5층 제501호</t>
  </si>
  <si>
    <t>2016타경4278</t>
  </si>
  <si>
    <t>1순위 근저당권설정금액 2014-11-06 변경계약으로 감액됨(최초설정금액 96,000,000원)/</t>
  </si>
  <si>
    <t>가수원동</t>
  </si>
  <si>
    <t>762 은아아파트3단지 제304동 제12층 제1204호</t>
  </si>
  <si>
    <t>2016타경3003</t>
  </si>
  <si>
    <t>306-89 제1층 제101호</t>
  </si>
  <si>
    <t>2016타경10515</t>
  </si>
  <si>
    <t>456-126 로얄하이츠빌라 제다동 제4층 제402호</t>
  </si>
  <si>
    <t>대한감정평가법인(약식감정평가서)</t>
  </si>
  <si>
    <t>연제구</t>
  </si>
  <si>
    <t>거제동</t>
  </si>
  <si>
    <t>917-1 대우아파트 제105동 제4층 제401호</t>
  </si>
  <si>
    <t>청주시 청원구</t>
  </si>
  <si>
    <t>오창읍 장대리</t>
  </si>
  <si>
    <t>324-31 보탑아트빌 제3층 제302호</t>
  </si>
  <si>
    <t>해운대구</t>
  </si>
  <si>
    <t>180-1 늘해랑 제3층 제302호</t>
  </si>
  <si>
    <t>산46외 1필지 제102동 제3층 제303호</t>
  </si>
  <si>
    <t>정릉동</t>
  </si>
  <si>
    <t>266-55 제3층 제301호</t>
  </si>
  <si>
    <t>2016타경5429</t>
  </si>
  <si>
    <t>2034-8 수림빌라트 제3층 제302호</t>
  </si>
  <si>
    <t>정읍시</t>
  </si>
  <si>
    <t>농소동</t>
  </si>
  <si>
    <t>230-75(토지)</t>
  </si>
  <si>
    <t>전주지방법원 정읍지원</t>
  </si>
  <si>
    <t>2016타경1206</t>
  </si>
  <si>
    <t>2011-1-17 신한은행 지상권 설정됨/</t>
  </si>
  <si>
    <t>265-18 대광빌라 제가동 제1층 제101호</t>
  </si>
  <si>
    <t>안양세무서</t>
  </si>
  <si>
    <t>2015-15461-001</t>
  </si>
  <si>
    <t>보류</t>
  </si>
  <si>
    <t>㈜에이원감정평가법인</t>
  </si>
  <si>
    <t>회생신청후(2015개회88657) 기각(2016-04-21)된 차주임/
2015-10-21 한국자산관리공사 공매(2015-15461-001) 진행중 보류 상태임/</t>
  </si>
  <si>
    <t>382-1 한신아파트 제3동 제11층 제1108호</t>
  </si>
  <si>
    <t>569-28 제2층 제301호</t>
  </si>
  <si>
    <t>인카금융****</t>
    <phoneticPr fontId="47" type="noConversion"/>
  </si>
  <si>
    <t>2015타경48995</t>
  </si>
  <si>
    <t>양산시</t>
  </si>
  <si>
    <t>소주동</t>
  </si>
  <si>
    <t>147-1외 26필지 천성리버타운 제119동 제2층 제203호</t>
  </si>
  <si>
    <t>보증서관련 대위변제 확인됨(2016-03-18 부산신용보증재단 보증서번호:BSS201209325 보증금액:15,000,000원)/</t>
  </si>
  <si>
    <t>불은면 넙성리</t>
  </si>
  <si>
    <t>580(토지,건물)</t>
  </si>
  <si>
    <t>대일에셋감정평가법인</t>
  </si>
  <si>
    <t>337 수곡동주공아파트 제302동 제15층 제1509호</t>
  </si>
  <si>
    <t>심곡동</t>
  </si>
  <si>
    <t>336-1 태강탑스빌 제1동 제2층 제204호</t>
  </si>
  <si>
    <t>2016타경1392</t>
  </si>
  <si>
    <t>양도담보계약으로 취득한 기계기구</t>
  </si>
  <si>
    <t>기계기구</t>
  </si>
  <si>
    <t>창동</t>
  </si>
  <si>
    <t>45 삼성아파트 제104동 제18층 제1802호</t>
  </si>
  <si>
    <t>USD</t>
  </si>
  <si>
    <t>감정평가법인 대일감정원</t>
  </si>
  <si>
    <t>R-135 이** 차주와 동일 담보임/
신한은행 임의경매 사건은 1순위 설정 타채무자에 대한 임의경매 사건임(청구금액 105,384,035원)/</t>
  </si>
  <si>
    <t>계산동</t>
  </si>
  <si>
    <t>904-13 제지하층 제2호</t>
  </si>
  <si>
    <t>2016타경10508</t>
  </si>
  <si>
    <t>하나감정평가법인</t>
  </si>
  <si>
    <t>349-499외 1필지 제지층 제02호</t>
  </si>
  <si>
    <t>768-95 동방빌리지 제1동 제3층 제302호</t>
  </si>
  <si>
    <t>2016타경13453</t>
  </si>
  <si>
    <t>삼일감정평가법인</t>
  </si>
  <si>
    <t>구갈동</t>
  </si>
  <si>
    <t>344 가현마을신안아파트 제602동 제15동 제1503호</t>
  </si>
  <si>
    <t>2016타경10468</t>
  </si>
  <si>
    <t>2016타경11010</t>
  </si>
  <si>
    <t>617-22 신원아침도시 제에이동 제15층 제102-1506호</t>
  </si>
  <si>
    <t>금오동</t>
  </si>
  <si>
    <t>221-11 양주빌라 제3층 제302호</t>
  </si>
  <si>
    <t>㈜경일감정평가법인</t>
  </si>
  <si>
    <t>보증서관련 대위변제 확인됨(2016-02-29 경기신용보증재단 보증서번호:120201400517 보증금액:10,800,000원)/</t>
  </si>
  <si>
    <t>335-67 제4층 제402호</t>
  </si>
  <si>
    <t>2016타경3349</t>
  </si>
  <si>
    <t>동인감정평가법인㈜</t>
  </si>
  <si>
    <t>2016-04-12 한국자산관리공사 공매(2015-19728-001) 진행중(공유자 조**지분) 존재함/
감정가는 공매 감정가격(조**지분 1/2)을 환산하여 반영함/</t>
  </si>
  <si>
    <t>갈마동</t>
  </si>
  <si>
    <t>912 좋은하루 제1동 제5층 제501호</t>
  </si>
  <si>
    <t>한국자산관리공사 공매(2016-02203-001)통지서 존재하나 취소된 것으로 확인됨/</t>
  </si>
  <si>
    <t>115-1외 1필지 주안웰가 제4층 제405호</t>
  </si>
  <si>
    <t>724-5 중앙그린빌라 제가동 제3층 제301호</t>
  </si>
  <si>
    <t>2016타경8123</t>
  </si>
  <si>
    <t>태평양감정평가법인</t>
  </si>
  <si>
    <t>화천군</t>
  </si>
  <si>
    <t>사내면 광덕리</t>
  </si>
  <si>
    <t>430-3,430-4(2토지)</t>
  </si>
  <si>
    <t>나라감정평가법인</t>
  </si>
  <si>
    <t>2007-03-14 신한은행 지상권/
2008-01-10 소유권이전등기등 말소등기청구권 가처분(춘천지방법원 2008카단36) 존재함/
등본상 김** 토지 전체 담보제공 및 근저당설정(2007-03-14)후, 확정판결에 의한 소유권 분할등기(2011-04-22, 공유자:김**,정**,한**)된 것으로 확인되고, 동 공유자들에 대하여 담보제공 동의를 요청하였으나 거절된 내용 확인됨/</t>
  </si>
  <si>
    <t>1304-15 제4층 제401호</t>
  </si>
  <si>
    <t>2016타경10829</t>
  </si>
  <si>
    <t>가정동</t>
  </si>
  <si>
    <t>560-30 제9동 제2층 제202호</t>
  </si>
  <si>
    <t>2016타경15626</t>
  </si>
  <si>
    <t>논공읍 남리</t>
  </si>
  <si>
    <t>224 삼주 제106동 제3층 제313호</t>
  </si>
  <si>
    <t>502-1 제에이동 제3층 제302호</t>
  </si>
  <si>
    <t>2016-03-21 개인회생(청주지방법원 2016개회4148) 개시결정 존재함/</t>
  </si>
  <si>
    <t>71 마석그랜드힐아파트 제101동 제1층 제107호</t>
  </si>
  <si>
    <t>2011-07-14 근저당권 변경계약(104,400,000원에서 45,000,000원) 존재함/</t>
  </si>
  <si>
    <t>숭의동</t>
  </si>
  <si>
    <t>248-166 제3층 제303호</t>
  </si>
  <si>
    <t>2016타경11143</t>
  </si>
  <si>
    <t>장곡동</t>
  </si>
  <si>
    <t>806 숲속마을아파트 제223동 제4층 제403호</t>
  </si>
  <si>
    <t>서광주농업협동조합</t>
  </si>
  <si>
    <t>2016타경861</t>
  </si>
  <si>
    <t>회생(2015-01-15 수원지방법원 2013개회138169, 2015-12-14 수원지방법원 2015개회24660 - 2건)신청후 폐지 확인됨/</t>
  </si>
  <si>
    <t>349-680 제4층 제402호</t>
  </si>
  <si>
    <t>2016타경11150</t>
  </si>
  <si>
    <t>67-3 제지층 제103호</t>
  </si>
  <si>
    <t>1순위 구)조흥은행 설정 건임/
2011-03-24 근저당권 변경계약(72,000,000원에서 44,400,000원) 존재함/</t>
  </si>
  <si>
    <t>달성동</t>
  </si>
  <si>
    <t>29-9(토지,건물)</t>
  </si>
  <si>
    <t>농협은행</t>
  </si>
  <si>
    <t>2015타경17562</t>
  </si>
  <si>
    <t>2015타경16644</t>
  </si>
  <si>
    <t>456-58 영화빌라 제에이동 제4층 제402호</t>
  </si>
  <si>
    <t>연희동</t>
  </si>
  <si>
    <t>519-68 제3층 제301호</t>
  </si>
  <si>
    <t>우**</t>
    <phoneticPr fontId="47" type="noConversion"/>
  </si>
  <si>
    <t>2016타경62</t>
  </si>
  <si>
    <t>2016타경2839</t>
  </si>
  <si>
    <t>경주시</t>
  </si>
  <si>
    <t>강동면 유금리</t>
  </si>
  <si>
    <t>378외 2필지 위덕삼성타운 제108동 제1층 제107호</t>
  </si>
  <si>
    <t>대구지방법원 경주지원</t>
  </si>
  <si>
    <t>2016타경1072</t>
  </si>
  <si>
    <t>768-98외 1필지 원앙빌리지 제5동 제지하층 제비01호</t>
  </si>
  <si>
    <t>2016타경13446</t>
  </si>
  <si>
    <t>306-101 팬더빌라 제2동 제지하층 제01호</t>
  </si>
  <si>
    <t>2016타경10836</t>
  </si>
  <si>
    <t>광주광역시</t>
  </si>
  <si>
    <t>광산구</t>
  </si>
  <si>
    <t>우산동</t>
  </si>
  <si>
    <t>1039-5 제202동 제7층 제808호</t>
  </si>
  <si>
    <t>광주지방법원</t>
  </si>
  <si>
    <t>2016타경4790</t>
  </si>
  <si>
    <t>1048-43외 1필지 제4층 제402호</t>
  </si>
  <si>
    <t>2015-05-29 근저당권 변경계약(44,400,000원에서 15,600,000원)/
2015-06-18 근저당권 변경계약(15,600,000원에서 12,000,000원)/
담보물에 대한 신한은행 가압류(2016-03-15 서울중앙지방법원, 2016카단34496, 청구금액 10,473,981원) 확인됨/</t>
  </si>
  <si>
    <t>거여동</t>
  </si>
  <si>
    <t>293 거여4단지아파트 제405동 제10층 제1002호</t>
  </si>
  <si>
    <t>1순위 설정 신한은행 타채무자 전**임/</t>
  </si>
  <si>
    <t>초평면 용기리</t>
  </si>
  <si>
    <t>658-3(토지,건물),659-1(토지)</t>
  </si>
  <si>
    <t>2016타경4092</t>
  </si>
  <si>
    <t>2013-05-16,2013-05-23</t>
  </si>
  <si>
    <t>의정부동</t>
  </si>
  <si>
    <t>220-110 한라비발디루트 제103동 제10층 제1004호</t>
  </si>
  <si>
    <t>2016타경8483</t>
  </si>
  <si>
    <t>1순위 구)조흥은행 설정 건임/
2008-07-03 개명함(김**에서 김**)/
2014-10-08 근저당권 변경계약(144,000,000원에서 24,000,000원) 존재함/</t>
  </si>
  <si>
    <t>260-1외 1필지 상아아파트 제디동 제5층 제509호</t>
  </si>
  <si>
    <t>청우**㈜</t>
    <phoneticPr fontId="47" type="noConversion"/>
  </si>
  <si>
    <t>2015타경60285</t>
  </si>
  <si>
    <t>진천읍 읍내리</t>
  </si>
  <si>
    <t>471-240 제가동 제3층 제3호</t>
  </si>
  <si>
    <t>칠곡군</t>
  </si>
  <si>
    <t>약목면 교리</t>
  </si>
  <si>
    <t>513-9(토지,위지상 제에이동호,제비동호,제디동호-3건물),513-14(토지)</t>
  </si>
  <si>
    <t>2013-10-08,2014-04-23</t>
  </si>
  <si>
    <t>삼창감정평가법인㈜,㈜가온감정평가법인</t>
  </si>
  <si>
    <t xml:space="preserve">상호 변경함(변경전 : ㈜태산**)/
2013-10-14 최초 근저당권 설정시 기계기구 12점(기호 1~7번 UV Auto. Spray System 2점외)을 담보 취득하였으며, 2014-04-24 추가설정계약으로 기계기구 1점(Air compressor) 목록추가하여 설정목록상 기계기구는 13점임/ </t>
  </si>
  <si>
    <t>SHB 2016-2 Program</t>
    <phoneticPr fontId="47" type="noConversion"/>
  </si>
  <si>
    <t>Lien Basic Information</t>
    <phoneticPr fontId="13" type="noConversion"/>
  </si>
  <si>
    <t>Lien Size</t>
    <phoneticPr fontId="13" type="noConversion"/>
  </si>
  <si>
    <t>Owner Information</t>
    <phoneticPr fontId="13" type="noConversion"/>
  </si>
  <si>
    <t>Mortgage Information</t>
    <phoneticPr fontId="13" type="noConversion"/>
  </si>
  <si>
    <t>차주관리번호</t>
    <phoneticPr fontId="13" type="noConversion"/>
  </si>
  <si>
    <t>Property 일련번호</t>
    <phoneticPr fontId="13" type="noConversion"/>
  </si>
  <si>
    <t>등기부등본 일련번호</t>
    <phoneticPr fontId="13" type="noConversion"/>
  </si>
  <si>
    <t>등기부등본-담보물형태</t>
    <phoneticPr fontId="13" type="noConversion"/>
  </si>
  <si>
    <t>등기부등본-대지면적</t>
    <phoneticPr fontId="13" type="noConversion"/>
  </si>
  <si>
    <t>등기부등본-건물면적</t>
    <phoneticPr fontId="13" type="noConversion"/>
  </si>
  <si>
    <t>등기부등본-기타 (기계기구 등)</t>
    <phoneticPr fontId="13" type="noConversion"/>
  </si>
  <si>
    <t>현소유자</t>
    <phoneticPr fontId="13" type="noConversion"/>
  </si>
  <si>
    <t>통화표시</t>
    <phoneticPr fontId="13" type="noConversion"/>
  </si>
  <si>
    <r>
      <t xml:space="preserve">근저당권 
</t>
    </r>
    <r>
      <rPr>
        <sz val="9"/>
        <color indexed="8"/>
        <rFont val="맑은 고딕"/>
        <family val="3"/>
        <charset val="129"/>
      </rPr>
      <t>(</t>
    </r>
    <r>
      <rPr>
        <sz val="9"/>
        <color indexed="8"/>
        <rFont val="맑은 고딕"/>
        <family val="3"/>
        <charset val="129"/>
      </rPr>
      <t>일부</t>
    </r>
    <r>
      <rPr>
        <sz val="9"/>
        <color indexed="8"/>
        <rFont val="맑은 고딕"/>
        <family val="3"/>
        <charset val="129"/>
      </rPr>
      <t>)</t>
    </r>
    <r>
      <rPr>
        <sz val="9"/>
        <color indexed="8"/>
        <rFont val="맑은 고딕"/>
        <family val="3"/>
        <charset val="129"/>
      </rPr>
      <t>이전금액</t>
    </r>
    <phoneticPr fontId="13" type="noConversion"/>
  </si>
  <si>
    <r>
      <t>환산후</t>
    </r>
    <r>
      <rPr>
        <sz val="9"/>
        <color indexed="8"/>
        <rFont val="맑은 고딕"/>
        <family val="3"/>
        <charset val="129"/>
      </rPr>
      <t xml:space="preserve"> </t>
    </r>
    <r>
      <rPr>
        <sz val="9"/>
        <color indexed="8"/>
        <rFont val="맑은 고딕"/>
        <family val="3"/>
        <charset val="129"/>
      </rPr>
      <t xml:space="preserve">근저당권
</t>
    </r>
    <r>
      <rPr>
        <sz val="9"/>
        <color indexed="8"/>
        <rFont val="맑은 고딕"/>
        <family val="3"/>
        <charset val="129"/>
      </rPr>
      <t>(</t>
    </r>
    <r>
      <rPr>
        <sz val="9"/>
        <color indexed="8"/>
        <rFont val="맑은 고딕"/>
        <family val="3"/>
        <charset val="129"/>
      </rPr>
      <t>일부</t>
    </r>
    <r>
      <rPr>
        <sz val="9"/>
        <color indexed="8"/>
        <rFont val="맑은 고딕"/>
        <family val="3"/>
        <charset val="129"/>
      </rPr>
      <t>)</t>
    </r>
    <r>
      <rPr>
        <sz val="9"/>
        <color indexed="8"/>
        <rFont val="맑은 고딕"/>
        <family val="3"/>
        <charset val="129"/>
      </rPr>
      <t>이전금액</t>
    </r>
    <phoneticPr fontId="13" type="noConversion"/>
  </si>
  <si>
    <t>선순위 및 동순위
가압류/압류/가처분</t>
    <phoneticPr fontId="47" type="noConversion"/>
  </si>
  <si>
    <t>Name of Borrower</t>
    <phoneticPr fontId="13" type="noConversion"/>
  </si>
  <si>
    <t>Original Currency of Mortgage Amount</t>
    <phoneticPr fontId="13" type="noConversion"/>
  </si>
  <si>
    <t>Partial Transfer Amount of Mortgage</t>
    <phoneticPr fontId="13" type="noConversion"/>
  </si>
  <si>
    <t>Converted Partial Transfer Amount of Mortgage</t>
    <phoneticPr fontId="13" type="noConversion"/>
  </si>
  <si>
    <t>충청남도</t>
    <phoneticPr fontId="47" type="noConversion"/>
  </si>
  <si>
    <t>공장용지</t>
    <phoneticPr fontId="47" type="noConversion"/>
  </si>
  <si>
    <t>경기도</t>
    <phoneticPr fontId="47" type="noConversion"/>
  </si>
  <si>
    <t>파주시</t>
    <phoneticPr fontId="47" type="noConversion"/>
  </si>
  <si>
    <t>도로</t>
    <phoneticPr fontId="47" type="noConversion"/>
  </si>
  <si>
    <t>기계기구</t>
    <phoneticPr fontId="47" type="noConversion"/>
  </si>
  <si>
    <t>1~4</t>
    <phoneticPr fontId="47" type="noConversion"/>
  </si>
  <si>
    <t>1~5</t>
    <phoneticPr fontId="47" type="noConversion"/>
  </si>
  <si>
    <t>전</t>
    <phoneticPr fontId="47" type="noConversion"/>
  </si>
  <si>
    <t>경상북도</t>
    <phoneticPr fontId="47" type="noConversion"/>
  </si>
  <si>
    <t>임야</t>
    <phoneticPr fontId="47" type="noConversion"/>
  </si>
  <si>
    <t>김포시</t>
    <phoneticPr fontId="47" type="noConversion"/>
  </si>
  <si>
    <t>2~4</t>
    <phoneticPr fontId="47" type="noConversion"/>
  </si>
  <si>
    <t>1~3</t>
    <phoneticPr fontId="47" type="noConversion"/>
  </si>
  <si>
    <t>경상남도</t>
    <phoneticPr fontId="47" type="noConversion"/>
  </si>
  <si>
    <t>함안군</t>
    <phoneticPr fontId="47" type="noConversion"/>
  </si>
  <si>
    <t>풍무동</t>
    <phoneticPr fontId="47" type="noConversion"/>
  </si>
  <si>
    <t>대지</t>
    <phoneticPr fontId="47" type="noConversion"/>
  </si>
  <si>
    <t>1~2</t>
    <phoneticPr fontId="47" type="noConversion"/>
  </si>
  <si>
    <t>화성시</t>
    <phoneticPr fontId="47" type="noConversion"/>
  </si>
  <si>
    <t>답</t>
    <phoneticPr fontId="47" type="noConversion"/>
  </si>
  <si>
    <t>고양시 일산동구</t>
    <phoneticPr fontId="47" type="noConversion"/>
  </si>
  <si>
    <t>식사동</t>
    <phoneticPr fontId="47" type="noConversion"/>
  </si>
  <si>
    <t>30층 아파트</t>
    <phoneticPr fontId="47" type="noConversion"/>
  </si>
  <si>
    <t>대지권 미등기</t>
    <phoneticPr fontId="47" type="noConversion"/>
  </si>
  <si>
    <t>각 2분의 1</t>
    <phoneticPr fontId="47" type="noConversion"/>
  </si>
  <si>
    <t>울산광역시</t>
    <phoneticPr fontId="47" type="noConversion"/>
  </si>
  <si>
    <t>남구</t>
    <phoneticPr fontId="47" type="noConversion"/>
  </si>
  <si>
    <t>신정동</t>
    <phoneticPr fontId="47" type="noConversion"/>
  </si>
  <si>
    <t>318 울산신정푸르지오 제105동 제27층 제2701호</t>
    <phoneticPr fontId="47" type="noConversion"/>
  </si>
  <si>
    <t>33층 공동주택(아파트)</t>
    <phoneticPr fontId="47" type="noConversion"/>
  </si>
  <si>
    <t>61080분의 53.4474</t>
    <phoneticPr fontId="47" type="noConversion"/>
  </si>
  <si>
    <t>단층 제2종근린생활시설</t>
    <phoneticPr fontId="47" type="noConversion"/>
  </si>
  <si>
    <t>서울특별시</t>
    <phoneticPr fontId="47" type="noConversion"/>
  </si>
  <si>
    <t>양천구</t>
    <phoneticPr fontId="47" type="noConversion"/>
  </si>
  <si>
    <t>목동</t>
    <phoneticPr fontId="47" type="noConversion"/>
  </si>
  <si>
    <t>시흥시</t>
    <phoneticPr fontId="47" type="noConversion"/>
  </si>
  <si>
    <t>정왕동</t>
    <phoneticPr fontId="47" type="noConversion"/>
  </si>
  <si>
    <t>1940-2 신동아아파트 제209동 제6층 제602호</t>
    <phoneticPr fontId="47" type="noConversion"/>
  </si>
  <si>
    <t>10층 아파트</t>
    <phoneticPr fontId="47" type="noConversion"/>
  </si>
  <si>
    <t>35217.4분의 77.698</t>
    <phoneticPr fontId="47" type="noConversion"/>
  </si>
  <si>
    <t>정남면 제기리</t>
    <phoneticPr fontId="47" type="noConversion"/>
  </si>
  <si>
    <t>351(토지)</t>
    <phoneticPr fontId="47" type="noConversion"/>
  </si>
  <si>
    <t>351-1(토지)</t>
    <phoneticPr fontId="47" type="noConversion"/>
  </si>
  <si>
    <t>351-2(토지)</t>
    <phoneticPr fontId="47" type="noConversion"/>
  </si>
  <si>
    <t>351,351-1,351-2(위삼지상 건물)</t>
    <phoneticPr fontId="47" type="noConversion"/>
  </si>
  <si>
    <t>단층공장,3층공장,단층사무실,기숙사,창고탈의실,휴게실</t>
    <phoneticPr fontId="47" type="noConversion"/>
  </si>
  <si>
    <t>351-3(토지)</t>
    <phoneticPr fontId="47" type="noConversion"/>
  </si>
  <si>
    <t>351-4(토지)</t>
    <phoneticPr fontId="47" type="noConversion"/>
  </si>
  <si>
    <t>산28-7(토지)</t>
    <phoneticPr fontId="47" type="noConversion"/>
  </si>
  <si>
    <t>2014-04-30 신한은행 지상권설정/</t>
    <phoneticPr fontId="47" type="noConversion"/>
  </si>
  <si>
    <t>송산면 쌍정리</t>
    <phoneticPr fontId="47" type="noConversion"/>
  </si>
  <si>
    <t>1001-1(토지)</t>
    <phoneticPr fontId="47" type="noConversion"/>
  </si>
  <si>
    <t>1001-6(토지)</t>
    <phoneticPr fontId="47" type="noConversion"/>
  </si>
  <si>
    <t>1001-1,1001-2,1004-6 에이동(위삼지상 건물)</t>
    <phoneticPr fontId="47" type="noConversion"/>
  </si>
  <si>
    <t>단층공장</t>
    <phoneticPr fontId="47" type="noConversion"/>
  </si>
  <si>
    <t>1~2순위설정 각각 2014-07-17 추가설정계약임/</t>
    <phoneticPr fontId="47" type="noConversion"/>
  </si>
  <si>
    <t>1001-1,1001-2,1004-6 비동(위삼지상 건물)</t>
    <phoneticPr fontId="47" type="noConversion"/>
  </si>
  <si>
    <t>1001-1,1001-2,1004-6 씨동(위삼지상 건물)</t>
    <phoneticPr fontId="47" type="noConversion"/>
  </si>
  <si>
    <t>2층공장</t>
    <phoneticPr fontId="47" type="noConversion"/>
  </si>
  <si>
    <t>울진군</t>
    <phoneticPr fontId="47" type="noConversion"/>
  </si>
  <si>
    <t>평해읍 평해리</t>
    <phoneticPr fontId="47" type="noConversion"/>
  </si>
  <si>
    <t>1465-1(토지)</t>
    <phoneticPr fontId="47" type="noConversion"/>
  </si>
  <si>
    <t>2순위 근저당권 일부이전됨(2016-03-31 신용보증기금 1,052,672,646원)/</t>
    <phoneticPr fontId="47" type="noConversion"/>
  </si>
  <si>
    <t>1465-1 에이동(건물)</t>
    <phoneticPr fontId="47" type="noConversion"/>
  </si>
  <si>
    <t>단층공장,단층사무소</t>
    <phoneticPr fontId="47" type="noConversion"/>
  </si>
  <si>
    <t xml:space="preserve">김천시 </t>
    <phoneticPr fontId="47" type="noConversion"/>
  </si>
  <si>
    <t>남면 송곡리</t>
    <phoneticPr fontId="47" type="noConversion"/>
  </si>
  <si>
    <t>261(토지)</t>
    <phoneticPr fontId="47" type="noConversion"/>
  </si>
  <si>
    <t>농업회사법인민******</t>
    <phoneticPr fontId="47" type="noConversion"/>
  </si>
  <si>
    <t>261-4(토지)</t>
    <phoneticPr fontId="47" type="noConversion"/>
  </si>
  <si>
    <t>261-5(토지)</t>
    <phoneticPr fontId="47" type="noConversion"/>
  </si>
  <si>
    <t>261,261-4,261-5 제1동(위삼지상 건물)</t>
    <phoneticPr fontId="47" type="noConversion"/>
  </si>
  <si>
    <t>1순위설정 2014-02-05 추가설정계약임/</t>
    <phoneticPr fontId="47" type="noConversion"/>
  </si>
  <si>
    <t>261,261-4,261-5 제2동(위삼지상 건물)</t>
    <phoneticPr fontId="47" type="noConversion"/>
  </si>
  <si>
    <t>261,261-4,261-5 제3동(위삼지상 건물)</t>
    <phoneticPr fontId="47" type="noConversion"/>
  </si>
  <si>
    <t>261-3(토지)</t>
    <phoneticPr fontId="47" type="noConversion"/>
  </si>
  <si>
    <t>2013-10-02 신한은행 지상권설정/</t>
    <phoneticPr fontId="47" type="noConversion"/>
  </si>
  <si>
    <t>264(토지)</t>
    <phoneticPr fontId="47" type="noConversion"/>
  </si>
  <si>
    <t>265(토지)</t>
    <phoneticPr fontId="47" type="noConversion"/>
  </si>
  <si>
    <t>산62-3(토지)</t>
    <phoneticPr fontId="47" type="noConversion"/>
  </si>
  <si>
    <t>산63-2(토지)</t>
    <phoneticPr fontId="47" type="noConversion"/>
  </si>
  <si>
    <t>2014-02-05 신한은행 지상권설정/</t>
    <phoneticPr fontId="47" type="noConversion"/>
  </si>
  <si>
    <t>대구광역시</t>
    <phoneticPr fontId="47" type="noConversion"/>
  </si>
  <si>
    <t>수성구</t>
    <phoneticPr fontId="47" type="noConversion"/>
  </si>
  <si>
    <t>만촌동</t>
    <phoneticPr fontId="47" type="noConversion"/>
  </si>
  <si>
    <t>1356-44외 1필지 매트로월드 제4층 제401호</t>
    <phoneticPr fontId="47" type="noConversion"/>
  </si>
  <si>
    <t>지하1층,지상9층 제1종 근린생활시설</t>
    <phoneticPr fontId="47" type="noConversion"/>
  </si>
  <si>
    <t>952분의 86.1494</t>
    <phoneticPr fontId="47" type="noConversion"/>
  </si>
  <si>
    <t>포시즌***</t>
    <phoneticPr fontId="47" type="noConversion"/>
  </si>
  <si>
    <t>1~6</t>
    <phoneticPr fontId="47" type="noConversion"/>
  </si>
  <si>
    <t>대구수성구청(교통과)</t>
    <phoneticPr fontId="47" type="noConversion"/>
  </si>
  <si>
    <t>금액 미상</t>
    <phoneticPr fontId="47" type="noConversion"/>
  </si>
  <si>
    <t>1356-44외 1필지 매트로월드 제4층 제402호</t>
    <phoneticPr fontId="47" type="noConversion"/>
  </si>
  <si>
    <t>952분의 39.7869</t>
    <phoneticPr fontId="47" type="noConversion"/>
  </si>
  <si>
    <t>전라북도</t>
    <phoneticPr fontId="47" type="noConversion"/>
  </si>
  <si>
    <t>익산시</t>
    <phoneticPr fontId="47" type="noConversion"/>
  </si>
  <si>
    <t>낭산면 구평리</t>
    <phoneticPr fontId="47" type="noConversion"/>
  </si>
  <si>
    <t>1534(토지)</t>
    <phoneticPr fontId="47" type="noConversion"/>
  </si>
  <si>
    <t>2~3</t>
    <phoneticPr fontId="47" type="noConversion"/>
  </si>
  <si>
    <t>3순위 근저당권 일부이전됨(2016-04-22, 기술신용보증기금, 136,690,609원)/</t>
    <phoneticPr fontId="47" type="noConversion"/>
  </si>
  <si>
    <t>1534 제1동(건물)</t>
    <phoneticPr fontId="47" type="noConversion"/>
  </si>
  <si>
    <t>1순위설정 2014-06-30 추가설정계약임/
2순위 근저당권 일부이전됨(2016-04-22, 기술신용보증기금, 136,690,609원)/</t>
    <phoneticPr fontId="47" type="noConversion"/>
  </si>
  <si>
    <t>1534 제2동(건물)</t>
    <phoneticPr fontId="47" type="noConversion"/>
  </si>
  <si>
    <t>2층기숙사</t>
    <phoneticPr fontId="47" type="noConversion"/>
  </si>
  <si>
    <t>1534 제3동(건물)</t>
    <phoneticPr fontId="47" type="noConversion"/>
  </si>
  <si>
    <t>1순위 근저당권 일부이전됨(2016-04-22, 기술신용보증기금, 136,690,609원)/</t>
    <phoneticPr fontId="47" type="noConversion"/>
  </si>
  <si>
    <t>아산시</t>
    <phoneticPr fontId="47" type="noConversion"/>
  </si>
  <si>
    <t>선장면 채신언리</t>
    <phoneticPr fontId="47" type="noConversion"/>
  </si>
  <si>
    <t>168(토지)</t>
    <phoneticPr fontId="47" type="noConversion"/>
  </si>
  <si>
    <t>168 제1동(건물)</t>
    <phoneticPr fontId="47" type="noConversion"/>
  </si>
  <si>
    <t>1~2순위설정 각각 2014-11-05 추가설정계약임/</t>
    <phoneticPr fontId="47" type="noConversion"/>
  </si>
  <si>
    <t>168 제2동(건물)</t>
    <phoneticPr fontId="47" type="noConversion"/>
  </si>
  <si>
    <t>168 제3동(건물)</t>
    <phoneticPr fontId="47" type="noConversion"/>
  </si>
  <si>
    <t>170(토지)</t>
    <phoneticPr fontId="47" type="noConversion"/>
  </si>
  <si>
    <t>2014-05-02 신한은행 지상권설정/</t>
    <phoneticPr fontId="47" type="noConversion"/>
  </si>
  <si>
    <t>평택시</t>
    <phoneticPr fontId="47" type="noConversion"/>
  </si>
  <si>
    <t>청북면 백봉리</t>
    <phoneticPr fontId="47" type="noConversion"/>
  </si>
  <si>
    <t>534-171(토지)</t>
    <phoneticPr fontId="47" type="noConversion"/>
  </si>
  <si>
    <t>2순위 근저당권 일부이전됨(2016-04-26, 신용보증기금, 100,000,000원)/</t>
    <phoneticPr fontId="47" type="noConversion"/>
  </si>
  <si>
    <t>541-1(토지)</t>
    <phoneticPr fontId="47" type="noConversion"/>
  </si>
  <si>
    <t>541-4(토지)</t>
    <phoneticPr fontId="47" type="noConversion"/>
  </si>
  <si>
    <t>542-2(토지)</t>
    <phoneticPr fontId="47" type="noConversion"/>
  </si>
  <si>
    <t>542-5(토지)</t>
    <phoneticPr fontId="47" type="noConversion"/>
  </si>
  <si>
    <t>534-171,541-1,541-4,542-2,542-5(위오지상 건물)</t>
    <phoneticPr fontId="47" type="noConversion"/>
  </si>
  <si>
    <t>2층공장,단층공장</t>
    <phoneticPr fontId="47" type="noConversion"/>
  </si>
  <si>
    <t>칠원읍 용산리</t>
    <phoneticPr fontId="47" type="noConversion"/>
  </si>
  <si>
    <t>588(토지)</t>
    <phoneticPr fontId="47" type="noConversion"/>
  </si>
  <si>
    <t>2순위 근저당권 일부이전됨(2016-03-23 기술신용보증기금 237,927,803원)/</t>
    <phoneticPr fontId="47" type="noConversion"/>
  </si>
  <si>
    <t>588 제1동호(건물)</t>
    <phoneticPr fontId="47" type="noConversion"/>
  </si>
  <si>
    <t>단층공장,단층사무실</t>
    <phoneticPr fontId="47" type="noConversion"/>
  </si>
  <si>
    <t>588 제2동호(건물)</t>
    <phoneticPr fontId="47" type="noConversion"/>
  </si>
  <si>
    <t>562-1(토지)</t>
    <phoneticPr fontId="47" type="noConversion"/>
  </si>
  <si>
    <t>563-1(토지)</t>
    <phoneticPr fontId="47" type="noConversion"/>
  </si>
  <si>
    <t>인천광역시</t>
    <phoneticPr fontId="47" type="noConversion"/>
  </si>
  <si>
    <t>중구</t>
    <phoneticPr fontId="47" type="noConversion"/>
  </si>
  <si>
    <t>중앙동4가</t>
    <phoneticPr fontId="47" type="noConversion"/>
  </si>
  <si>
    <t>2-9(토지)</t>
    <phoneticPr fontId="47" type="noConversion"/>
  </si>
  <si>
    <t>1~2순위 설정 계약인수에 따른 채무자 변경됨(2012-08-08, 박**에서 곽**)/</t>
    <phoneticPr fontId="47" type="noConversion"/>
  </si>
  <si>
    <t>2-9(건물)</t>
    <phoneticPr fontId="47" type="noConversion"/>
  </si>
  <si>
    <t>6층 관광숙박시설</t>
    <phoneticPr fontId="47" type="noConversion"/>
  </si>
  <si>
    <t>신흥동3가</t>
    <phoneticPr fontId="47" type="noConversion"/>
  </si>
  <si>
    <t>7-9 한별프라이빌 101동 제3층 제301호</t>
    <phoneticPr fontId="47" type="noConversion"/>
  </si>
  <si>
    <t>15층 공동주택(아파트)및오피스텔, 제1종근린생활시설</t>
    <phoneticPr fontId="47" type="noConversion"/>
  </si>
  <si>
    <t>7094.2분의 54.63</t>
    <phoneticPr fontId="47" type="noConversion"/>
  </si>
  <si>
    <t>김성미</t>
    <phoneticPr fontId="47" type="noConversion"/>
  </si>
  <si>
    <t>향남읍 동오리</t>
    <phoneticPr fontId="47" type="noConversion"/>
  </si>
  <si>
    <t>32-7(토지)</t>
    <phoneticPr fontId="47" type="noConversion"/>
  </si>
  <si>
    <t>32-7 에이동(건물)</t>
    <phoneticPr fontId="47" type="noConversion"/>
  </si>
  <si>
    <t>32-7 비동(건물)</t>
    <phoneticPr fontId="47" type="noConversion"/>
  </si>
  <si>
    <t>32-10(토지-차** 소유지분)</t>
    <phoneticPr fontId="47" type="noConversion"/>
  </si>
  <si>
    <t>869분의 300</t>
    <phoneticPr fontId="47" type="noConversion"/>
  </si>
  <si>
    <t>32-11(토지-차** 소유지분)</t>
    <phoneticPr fontId="47" type="noConversion"/>
  </si>
  <si>
    <t>32-15(토지-차** 소유지분)</t>
    <phoneticPr fontId="47" type="noConversion"/>
  </si>
  <si>
    <t>32-16(토지-차** 소유지분)</t>
    <phoneticPr fontId="47" type="noConversion"/>
  </si>
  <si>
    <t>대전광역시</t>
    <phoneticPr fontId="47" type="noConversion"/>
  </si>
  <si>
    <t>문화동</t>
    <phoneticPr fontId="47" type="noConversion"/>
  </si>
  <si>
    <t>1-9 문화동센트럴스타클래스 제1층 제102호</t>
    <phoneticPr fontId="47" type="noConversion"/>
  </si>
  <si>
    <t>지하4층 지상26층 공동주택 외2</t>
    <phoneticPr fontId="47" type="noConversion"/>
  </si>
  <si>
    <t>3264분의 11.5530</t>
    <phoneticPr fontId="47" type="noConversion"/>
  </si>
  <si>
    <t>1-9 문화동센트럴스타클래스 제1층 제103호</t>
    <phoneticPr fontId="47" type="noConversion"/>
  </si>
  <si>
    <t>3264분의 11.9559</t>
    <phoneticPr fontId="47" type="noConversion"/>
  </si>
  <si>
    <t>1-9 문화동센트럴스타클래스 제1층 제104호</t>
    <phoneticPr fontId="47" type="noConversion"/>
  </si>
  <si>
    <t>3264분의 8.6791</t>
    <phoneticPr fontId="47" type="noConversion"/>
  </si>
  <si>
    <t>1-9 문화동센트럴스타클래스 제1층 제105호</t>
    <phoneticPr fontId="47" type="noConversion"/>
  </si>
  <si>
    <t>3264분의 8.6662</t>
    <phoneticPr fontId="47" type="noConversion"/>
  </si>
  <si>
    <t>1-9 문화동센트럴스타클래스 제3층 제305호</t>
    <phoneticPr fontId="47" type="noConversion"/>
  </si>
  <si>
    <t>1-9 문화동센트럴스타클래스 제3층 제308호</t>
    <phoneticPr fontId="47" type="noConversion"/>
  </si>
  <si>
    <t>3264분의 12.4831</t>
    <phoneticPr fontId="47" type="noConversion"/>
  </si>
  <si>
    <t>1-9 문화동센트럴스타클래스 제3층 제309호</t>
    <phoneticPr fontId="47" type="noConversion"/>
  </si>
  <si>
    <t>3264분의 18.4628</t>
    <phoneticPr fontId="47" type="noConversion"/>
  </si>
  <si>
    <t>1-9 문화동센트럴스타클래스 제비1층 제비102호</t>
    <phoneticPr fontId="47" type="noConversion"/>
  </si>
  <si>
    <t>.</t>
    <phoneticPr fontId="47" type="noConversion"/>
  </si>
  <si>
    <t>3264분의 36.1060</t>
    <phoneticPr fontId="47" type="noConversion"/>
  </si>
  <si>
    <t>충청북도</t>
    <phoneticPr fontId="47" type="noConversion"/>
  </si>
  <si>
    <t>진천군</t>
    <phoneticPr fontId="47" type="noConversion"/>
  </si>
  <si>
    <t>문백면 계산리</t>
    <phoneticPr fontId="47" type="noConversion"/>
  </si>
  <si>
    <t>331(토지)</t>
    <phoneticPr fontId="47" type="noConversion"/>
  </si>
  <si>
    <t>진배**</t>
    <phoneticPr fontId="47" type="noConversion"/>
  </si>
  <si>
    <t>331-4(토지)</t>
    <phoneticPr fontId="47" type="noConversion"/>
  </si>
  <si>
    <t>331-6(토지)</t>
    <phoneticPr fontId="47" type="noConversion"/>
  </si>
  <si>
    <t>331-7(토지)</t>
    <phoneticPr fontId="47" type="noConversion"/>
  </si>
  <si>
    <t>591-1(토지)</t>
    <phoneticPr fontId="47" type="noConversion"/>
  </si>
  <si>
    <t>331,331-4,331-6,331-7,591-1 주2동(위오지상 건물)</t>
    <phoneticPr fontId="47" type="noConversion"/>
  </si>
  <si>
    <t>3층공장</t>
    <phoneticPr fontId="47" type="noConversion"/>
  </si>
  <si>
    <t>331-6 주1동(건물)</t>
    <phoneticPr fontId="47" type="noConversion"/>
  </si>
  <si>
    <t>옥천군</t>
    <phoneticPr fontId="47" type="noConversion"/>
  </si>
  <si>
    <t>이원면 미동리</t>
    <phoneticPr fontId="47" type="noConversion"/>
  </si>
  <si>
    <t>240-2(토지)</t>
    <phoneticPr fontId="47" type="noConversion"/>
  </si>
  <si>
    <t>㈜에스에이****</t>
    <phoneticPr fontId="47" type="noConversion"/>
  </si>
  <si>
    <t>240-2(건물)</t>
    <phoneticPr fontId="47" type="noConversion"/>
  </si>
  <si>
    <t>240-28(토지)</t>
    <phoneticPr fontId="47" type="noConversion"/>
  </si>
  <si>
    <t>240-28(건물)</t>
    <phoneticPr fontId="47" type="noConversion"/>
  </si>
  <si>
    <t>240-29(토지)</t>
    <phoneticPr fontId="47" type="noConversion"/>
  </si>
  <si>
    <t>서구</t>
    <phoneticPr fontId="47" type="noConversion"/>
  </si>
  <si>
    <t>탄방동</t>
    <phoneticPr fontId="47" type="noConversion"/>
  </si>
  <si>
    <t>746 제202호</t>
    <phoneticPr fontId="47" type="noConversion"/>
  </si>
  <si>
    <t>지하2층 지상5층 판매및 영업시설, 제1종근린생활시설 문화및집회시설</t>
    <phoneticPr fontId="47" type="noConversion"/>
  </si>
  <si>
    <t>6324.9분의 27.81 / 178.6분의 0.79</t>
    <phoneticPr fontId="47" type="noConversion"/>
  </si>
  <si>
    <t>양**</t>
    <phoneticPr fontId="47" type="noConversion"/>
  </si>
  <si>
    <t>746 제203호</t>
    <phoneticPr fontId="47" type="noConversion"/>
  </si>
  <si>
    <t>장안면 어은리</t>
    <phoneticPr fontId="47" type="noConversion"/>
  </si>
  <si>
    <t>555-1(토지)</t>
    <phoneticPr fontId="47" type="noConversion"/>
  </si>
  <si>
    <t>김**,유**</t>
    <phoneticPr fontId="47" type="noConversion"/>
  </si>
  <si>
    <t>2014-10-02 신한은행 지상권설정/</t>
    <phoneticPr fontId="47" type="noConversion"/>
  </si>
  <si>
    <t>555-3(토지)</t>
    <phoneticPr fontId="47" type="noConversion"/>
  </si>
  <si>
    <t>2011-02-10 한국전력공사 구분지상권설정/</t>
    <phoneticPr fontId="47" type="noConversion"/>
  </si>
  <si>
    <t>566-4(토지)</t>
    <phoneticPr fontId="47" type="noConversion"/>
  </si>
  <si>
    <t>2014-10-02 신한은행 지상권설정/</t>
  </si>
  <si>
    <t>566-5(토지)</t>
    <phoneticPr fontId="47" type="noConversion"/>
  </si>
  <si>
    <t>566-13(토지)</t>
    <phoneticPr fontId="47" type="noConversion"/>
  </si>
  <si>
    <t>석우동</t>
    <phoneticPr fontId="47" type="noConversion"/>
  </si>
  <si>
    <t>41-1 제1층 제102호</t>
    <phoneticPr fontId="47" type="noConversion"/>
  </si>
  <si>
    <t>6층 제1,2종 근린생활시설</t>
    <phoneticPr fontId="47" type="noConversion"/>
  </si>
  <si>
    <t>646.5분의 31.06</t>
    <phoneticPr fontId="47" type="noConversion"/>
  </si>
  <si>
    <t>김**</t>
    <phoneticPr fontId="47" type="noConversion"/>
  </si>
  <si>
    <t>법수면 윤외리</t>
    <phoneticPr fontId="47" type="noConversion"/>
  </si>
  <si>
    <t>1550(토지)</t>
    <phoneticPr fontId="47" type="noConversion"/>
  </si>
  <si>
    <t>㈜승화***</t>
    <phoneticPr fontId="47" type="noConversion"/>
  </si>
  <si>
    <t>1550(건물)</t>
    <phoneticPr fontId="47" type="noConversion"/>
  </si>
  <si>
    <t>단층공장,사무실</t>
    <phoneticPr fontId="47" type="noConversion"/>
  </si>
  <si>
    <t>창원시 마산합포구</t>
    <phoneticPr fontId="47" type="noConversion"/>
  </si>
  <si>
    <t>신포동2가</t>
    <phoneticPr fontId="47" type="noConversion"/>
  </si>
  <si>
    <t>54 삼익맨션 제1동 제6층 제609호</t>
    <phoneticPr fontId="47" type="noConversion"/>
  </si>
  <si>
    <t>12층 아파트,사무실,점포</t>
    <phoneticPr fontId="47" type="noConversion"/>
  </si>
  <si>
    <t>1685320분의 4303</t>
    <phoneticPr fontId="47" type="noConversion"/>
  </si>
  <si>
    <t>2015-09-10 추가설정계약임/</t>
    <phoneticPr fontId="47" type="noConversion"/>
  </si>
  <si>
    <t>천안시 서북구</t>
    <phoneticPr fontId="47" type="noConversion"/>
  </si>
  <si>
    <t>신당동</t>
    <phoneticPr fontId="47" type="noConversion"/>
  </si>
  <si>
    <t>329-1(토지)</t>
    <phoneticPr fontId="47" type="noConversion"/>
  </si>
  <si>
    <t>1841분의 1441, 1841분의 200, 1841분의 200</t>
    <phoneticPr fontId="47" type="noConversion"/>
  </si>
  <si>
    <t>농업회사법인*****,최**,양**</t>
    <phoneticPr fontId="47" type="noConversion"/>
  </si>
  <si>
    <t>330-1(토지)</t>
    <phoneticPr fontId="47" type="noConversion"/>
  </si>
  <si>
    <t>330-1,331-1 제1동호(양지상 건물)</t>
    <phoneticPr fontId="47" type="noConversion"/>
  </si>
  <si>
    <t>330-1,331-1 제2동호(양지상 건물)</t>
    <phoneticPr fontId="47" type="noConversion"/>
  </si>
  <si>
    <t>330-1,331-1 제3동호(양지상 건물)</t>
    <phoneticPr fontId="47" type="noConversion"/>
  </si>
  <si>
    <t>제1종근린생활시설</t>
    <phoneticPr fontId="47" type="noConversion"/>
  </si>
  <si>
    <t>1순위설정 2012-12-07 추가설정계약임/</t>
    <phoneticPr fontId="47" type="noConversion"/>
  </si>
  <si>
    <t>330-1,331-1 제4동호(양지상 건물)</t>
    <phoneticPr fontId="47" type="noConversion"/>
  </si>
  <si>
    <t>최**,양**</t>
    <phoneticPr fontId="47" type="noConversion"/>
  </si>
  <si>
    <t>1~2순위설정 각각 2013-12-04 추가설정계약임/</t>
    <phoneticPr fontId="47" type="noConversion"/>
  </si>
  <si>
    <t>329-3(토지)</t>
    <phoneticPr fontId="47" type="noConversion"/>
  </si>
  <si>
    <t>329-4(토지)</t>
    <phoneticPr fontId="47" type="noConversion"/>
  </si>
  <si>
    <t>329-5(토지)</t>
    <phoneticPr fontId="47" type="noConversion"/>
  </si>
  <si>
    <t>마포구</t>
    <phoneticPr fontId="47" type="noConversion"/>
  </si>
  <si>
    <t>염리동</t>
    <phoneticPr fontId="47" type="noConversion"/>
  </si>
  <si>
    <t>173-3(토지)</t>
    <phoneticPr fontId="47" type="noConversion"/>
  </si>
  <si>
    <t>재단법인엘*****</t>
    <phoneticPr fontId="47" type="noConversion"/>
  </si>
  <si>
    <t>1~2순위 설정 2011-01-04 국민은행으로부터 근저당권이전됨/
2순위 설정 2014-10-10 감액변경됨(221,000,000원에서 220,000,000원)/</t>
    <phoneticPr fontId="47" type="noConversion"/>
  </si>
  <si>
    <t>173-3(건물)</t>
    <phoneticPr fontId="47" type="noConversion"/>
  </si>
  <si>
    <t>4층점포및주택</t>
    <phoneticPr fontId="47" type="noConversion"/>
  </si>
  <si>
    <t>장안면 수촌리</t>
    <phoneticPr fontId="47" type="noConversion"/>
  </si>
  <si>
    <t>647-7(토지)</t>
    <phoneticPr fontId="47" type="noConversion"/>
  </si>
  <si>
    <t>647-7(건물)</t>
    <phoneticPr fontId="47" type="noConversion"/>
  </si>
  <si>
    <t>포천시</t>
    <phoneticPr fontId="47" type="noConversion"/>
  </si>
  <si>
    <t>일동면 수입리</t>
    <phoneticPr fontId="47" type="noConversion"/>
  </si>
  <si>
    <t>619-9(토지)</t>
    <phoneticPr fontId="47" type="noConversion"/>
  </si>
  <si>
    <t>㈜미*</t>
    <phoneticPr fontId="47" type="noConversion"/>
  </si>
  <si>
    <t>624(토지-㈜미* 소유지분)</t>
    <phoneticPr fontId="47" type="noConversion"/>
  </si>
  <si>
    <t>605분의 25</t>
    <phoneticPr fontId="47" type="noConversion"/>
  </si>
  <si>
    <t>624-1(토지)</t>
    <phoneticPr fontId="47" type="noConversion"/>
  </si>
  <si>
    <t>목장용지</t>
    <phoneticPr fontId="47" type="noConversion"/>
  </si>
  <si>
    <t>625(토지)</t>
    <phoneticPr fontId="47" type="noConversion"/>
  </si>
  <si>
    <t>624-3(토지)</t>
    <phoneticPr fontId="47" type="noConversion"/>
  </si>
  <si>
    <t>선순위 설정은 전체 지분 중 605분의 580에 대한 설정임/</t>
    <phoneticPr fontId="47" type="noConversion"/>
  </si>
  <si>
    <t>양감면 요당리</t>
    <phoneticPr fontId="47" type="noConversion"/>
  </si>
  <si>
    <t>3-6(토지)</t>
    <phoneticPr fontId="47" type="noConversion"/>
  </si>
  <si>
    <t>3-6(건물)</t>
    <phoneticPr fontId="47" type="noConversion"/>
  </si>
  <si>
    <t>3-23(토지)</t>
    <phoneticPr fontId="47" type="noConversion"/>
  </si>
  <si>
    <t>반송동</t>
    <phoneticPr fontId="47" type="noConversion"/>
  </si>
  <si>
    <t>66층 아파트</t>
    <phoneticPr fontId="47" type="noConversion"/>
  </si>
  <si>
    <t>27196.1분의 46.3496</t>
    <phoneticPr fontId="47" type="noConversion"/>
  </si>
  <si>
    <t>이**,김**</t>
    <phoneticPr fontId="47" type="noConversion"/>
  </si>
  <si>
    <t>청주시 상당구</t>
    <phoneticPr fontId="47" type="noConversion"/>
  </si>
  <si>
    <t>가덕면 계산리</t>
    <phoneticPr fontId="47" type="noConversion"/>
  </si>
  <si>
    <t>289-6(토지)</t>
    <phoneticPr fontId="47" type="noConversion"/>
  </si>
  <si>
    <t>1987-12-22 한국전력공사 구분지상권설정/</t>
    <phoneticPr fontId="47" type="noConversion"/>
  </si>
  <si>
    <t>289-6(건물)</t>
    <phoneticPr fontId="47" type="noConversion"/>
  </si>
  <si>
    <t>289-8(토지-한국케*** 소유지분)</t>
    <phoneticPr fontId="47" type="noConversion"/>
  </si>
  <si>
    <t>2143분의 1143</t>
    <phoneticPr fontId="47" type="noConversion"/>
  </si>
  <si>
    <t>선순위 설정은 토지 전체에 대한 설정임/
1987-12-22 한국전력공사 구분지상권설정/</t>
    <phoneticPr fontId="47" type="noConversion"/>
  </si>
  <si>
    <t>월롱면 도내리</t>
    <phoneticPr fontId="47" type="noConversion"/>
  </si>
  <si>
    <t>218-10(토지)</t>
    <phoneticPr fontId="47" type="noConversion"/>
  </si>
  <si>
    <t>218-10,218-16(양 지상 건물)</t>
    <phoneticPr fontId="47" type="noConversion"/>
  </si>
  <si>
    <t>2014-11-06 추가설정계약임/</t>
    <phoneticPr fontId="47" type="noConversion"/>
  </si>
  <si>
    <t>218-9(토지-㈜예원*** 소유지분)</t>
    <phoneticPr fontId="47" type="noConversion"/>
  </si>
  <si>
    <t>1791분의 145</t>
    <phoneticPr fontId="47" type="noConversion"/>
  </si>
  <si>
    <t>218-15(토지)</t>
    <phoneticPr fontId="47" type="noConversion"/>
  </si>
  <si>
    <t>11-27 신성타운 제113동 제2층 제201호</t>
    <phoneticPr fontId="47" type="noConversion"/>
  </si>
  <si>
    <t>4층 다세대주택</t>
    <phoneticPr fontId="47" type="noConversion"/>
  </si>
  <si>
    <t>201분의 53.25</t>
    <phoneticPr fontId="47" type="noConversion"/>
  </si>
  <si>
    <t>변**</t>
    <phoneticPr fontId="47" type="noConversion"/>
  </si>
  <si>
    <t>남동구</t>
    <phoneticPr fontId="47" type="noConversion"/>
  </si>
  <si>
    <t>구월동</t>
    <phoneticPr fontId="47" type="noConversion"/>
  </si>
  <si>
    <t>1135-1외 1필지 청진네오스빌 제1층 제109호</t>
    <phoneticPr fontId="47" type="noConversion"/>
  </si>
  <si>
    <t>7층 업무시설 및 근린생활시설</t>
    <phoneticPr fontId="47" type="noConversion"/>
  </si>
  <si>
    <t>20265.9분의 14.422</t>
    <phoneticPr fontId="47" type="noConversion"/>
  </si>
  <si>
    <t>1135-1외 1필지 청진네오스빌 제1층 제110호</t>
    <phoneticPr fontId="47" type="noConversion"/>
  </si>
  <si>
    <t>20265.9분의 17.338</t>
    <phoneticPr fontId="47" type="noConversion"/>
  </si>
  <si>
    <t>1135-1외 1필지 청진네오스빌 제1층 제111호</t>
    <phoneticPr fontId="47" type="noConversion"/>
  </si>
  <si>
    <t>20265.9분의 14.404</t>
    <phoneticPr fontId="47" type="noConversion"/>
  </si>
  <si>
    <t>1135-1외 1필지 청진네오스빌 제1층 제113호</t>
    <phoneticPr fontId="47" type="noConversion"/>
  </si>
  <si>
    <t>20265.9분의 18.068</t>
    <phoneticPr fontId="47" type="noConversion"/>
  </si>
  <si>
    <t>1135-1외 1필지 청진네오스빌 제1층 제114호</t>
    <phoneticPr fontId="47" type="noConversion"/>
  </si>
  <si>
    <t>20265.9분의 16.265</t>
    <phoneticPr fontId="47" type="noConversion"/>
  </si>
  <si>
    <t>강서구</t>
    <phoneticPr fontId="47" type="noConversion"/>
  </si>
  <si>
    <t>방화동</t>
    <phoneticPr fontId="47" type="noConversion"/>
  </si>
  <si>
    <t>483-5 제지하1층 제비01호</t>
    <phoneticPr fontId="47" type="noConversion"/>
  </si>
  <si>
    <t>6층 제2종 근린생활시설</t>
    <phoneticPr fontId="47" type="noConversion"/>
  </si>
  <si>
    <t>995분의 93.667</t>
    <phoneticPr fontId="47" type="noConversion"/>
  </si>
  <si>
    <t>483-5 제1층 제101호</t>
    <phoneticPr fontId="47" type="noConversion"/>
  </si>
  <si>
    <t>995분의 15.298</t>
    <phoneticPr fontId="47" type="noConversion"/>
  </si>
  <si>
    <t>고양시 일산서구</t>
    <phoneticPr fontId="47" type="noConversion"/>
  </si>
  <si>
    <t>일산동</t>
    <phoneticPr fontId="47" type="noConversion"/>
  </si>
  <si>
    <t>1101 후곡마을아파트 제1407동 제3층 제301호</t>
    <phoneticPr fontId="47" type="noConversion"/>
  </si>
  <si>
    <t>18층 아파트</t>
    <phoneticPr fontId="47" type="noConversion"/>
  </si>
  <si>
    <t>32703.2분의 79.982</t>
    <phoneticPr fontId="47" type="noConversion"/>
  </si>
  <si>
    <t>용인시 수지구</t>
    <phoneticPr fontId="47" type="noConversion"/>
  </si>
  <si>
    <t>성복동</t>
    <phoneticPr fontId="47" type="noConversion"/>
  </si>
  <si>
    <t>762 성동마을수지자이2차 제207동 제2층 제203호</t>
    <phoneticPr fontId="47" type="noConversion"/>
  </si>
  <si>
    <t>19층 공동주택(아파트)</t>
    <phoneticPr fontId="47" type="noConversion"/>
  </si>
  <si>
    <t>42227.5분의 82.6613</t>
    <phoneticPr fontId="47" type="noConversion"/>
  </si>
  <si>
    <t>봉담읍 수기리</t>
    <phoneticPr fontId="47" type="noConversion"/>
  </si>
  <si>
    <t>10-34(토지)</t>
    <phoneticPr fontId="47" type="noConversion"/>
  </si>
  <si>
    <t>1~2,4</t>
    <phoneticPr fontId="47" type="noConversion"/>
  </si>
  <si>
    <t>10-34(건물)</t>
    <phoneticPr fontId="47" type="noConversion"/>
  </si>
  <si>
    <t>3층 근린생활시설</t>
    <phoneticPr fontId="47" type="noConversion"/>
  </si>
  <si>
    <t>10-40(토지)</t>
    <phoneticPr fontId="47" type="noConversion"/>
  </si>
  <si>
    <t>단양군</t>
    <phoneticPr fontId="47" type="noConversion"/>
  </si>
  <si>
    <t>매포읍 평동리</t>
    <phoneticPr fontId="47" type="noConversion"/>
  </si>
  <si>
    <t>436(토지)</t>
    <phoneticPr fontId="47" type="noConversion"/>
  </si>
  <si>
    <t>436-13(토지)</t>
    <phoneticPr fontId="47" type="noConversion"/>
  </si>
  <si>
    <t>436,436-13 제가동호(양지상 건물)</t>
    <phoneticPr fontId="47" type="noConversion"/>
  </si>
  <si>
    <t>단층 사무실</t>
    <phoneticPr fontId="47" type="noConversion"/>
  </si>
  <si>
    <t>436,436-13 제나동호(양지상 건물)</t>
    <phoneticPr fontId="47" type="noConversion"/>
  </si>
  <si>
    <t>단층 공장(제품창고)</t>
    <phoneticPr fontId="47" type="noConversion"/>
  </si>
  <si>
    <t>436,436-13 제다동호(양지상 건물)</t>
    <phoneticPr fontId="47" type="noConversion"/>
  </si>
  <si>
    <t>단층 공장(제작실)</t>
    <phoneticPr fontId="47" type="noConversion"/>
  </si>
  <si>
    <t>436,436-13 제라동호(양지상 건물)</t>
    <phoneticPr fontId="47" type="noConversion"/>
  </si>
  <si>
    <t>단층 재배실</t>
    <phoneticPr fontId="47" type="noConversion"/>
  </si>
  <si>
    <t>제천시</t>
    <phoneticPr fontId="47" type="noConversion"/>
  </si>
  <si>
    <t>신월동</t>
    <phoneticPr fontId="47" type="noConversion"/>
  </si>
  <si>
    <t>934-1(토지)</t>
    <phoneticPr fontId="47" type="noConversion"/>
  </si>
  <si>
    <t>과수원</t>
    <phoneticPr fontId="47" type="noConversion"/>
  </si>
  <si>
    <t>전**</t>
    <phoneticPr fontId="47" type="noConversion"/>
  </si>
  <si>
    <t>1144-5 굿모닝타워 제11층 제1102호</t>
    <phoneticPr fontId="47" type="noConversion"/>
  </si>
  <si>
    <t>11층 제1,2종 근린생활시설</t>
    <phoneticPr fontId="47" type="noConversion"/>
  </si>
  <si>
    <t>1538.3분의 89.03</t>
    <phoneticPr fontId="47" type="noConversion"/>
  </si>
  <si>
    <t>1144-5 굿모닝타워 제지하2층 제비201호</t>
    <phoneticPr fontId="47" type="noConversion"/>
  </si>
  <si>
    <t>1538.3분의 105.95</t>
    <phoneticPr fontId="47" type="noConversion"/>
  </si>
  <si>
    <t>941외 2필지 목동대원칸타빌2단지아파트 제203동 제12층 제1205호</t>
    <phoneticPr fontId="47" type="noConversion"/>
  </si>
  <si>
    <t>15층 공동주택(아파트)</t>
    <phoneticPr fontId="47" type="noConversion"/>
  </si>
  <si>
    <t>15367.6분의 35.258</t>
    <phoneticPr fontId="47" type="noConversion"/>
  </si>
  <si>
    <t>화곡동</t>
    <phoneticPr fontId="47" type="noConversion"/>
  </si>
  <si>
    <t>1145 우장산롯데캐슬 제305동 제1층 제103호</t>
    <phoneticPr fontId="47" type="noConversion"/>
  </si>
  <si>
    <t>14층 아파트</t>
    <phoneticPr fontId="47" type="noConversion"/>
  </si>
  <si>
    <t>66508.5분의 87.48</t>
    <phoneticPr fontId="47" type="noConversion"/>
  </si>
  <si>
    <t>영등포구</t>
    <phoneticPr fontId="47" type="noConversion"/>
  </si>
  <si>
    <t>여의도동</t>
    <phoneticPr fontId="47" type="noConversion"/>
  </si>
  <si>
    <t>36 롯데캐슬엠파이어 제34층 제102-3402호</t>
    <phoneticPr fontId="47" type="noConversion"/>
  </si>
  <si>
    <t>39층 공동주택,판매 및 영업시설</t>
    <phoneticPr fontId="47" type="noConversion"/>
  </si>
  <si>
    <t>8783분의 26.44</t>
    <phoneticPr fontId="47" type="noConversion"/>
  </si>
  <si>
    <t>1487 위시티일산자이1단지 제104동 제21층 제2102호</t>
    <phoneticPr fontId="47" type="noConversion"/>
  </si>
  <si>
    <t>29층 아파트</t>
    <phoneticPr fontId="47" type="noConversion"/>
  </si>
  <si>
    <t>부산광역시</t>
    <phoneticPr fontId="47" type="noConversion"/>
  </si>
  <si>
    <t>부산진구</t>
    <phoneticPr fontId="47" type="noConversion"/>
  </si>
  <si>
    <t>부전동</t>
    <phoneticPr fontId="47" type="noConversion"/>
  </si>
  <si>
    <t>537-9 더샵 센트럴스타 제디동 제18층 제1801호</t>
    <phoneticPr fontId="47" type="noConversion"/>
  </si>
  <si>
    <t>48층 아파트</t>
    <phoneticPr fontId="47" type="noConversion"/>
  </si>
  <si>
    <t>29642800분의 19273</t>
    <phoneticPr fontId="47" type="noConversion"/>
  </si>
  <si>
    <t>서초구</t>
    <phoneticPr fontId="47" type="noConversion"/>
  </si>
  <si>
    <t>반포동</t>
    <phoneticPr fontId="47" type="noConversion"/>
  </si>
  <si>
    <t>986외 3필지 에이아이디차관주택 제32동 제4층 제401호</t>
    <phoneticPr fontId="47" type="noConversion"/>
  </si>
  <si>
    <t>5층 아파트</t>
    <phoneticPr fontId="47" type="noConversion"/>
  </si>
  <si>
    <t>835분의 16.7</t>
    <phoneticPr fontId="47" type="noConversion"/>
  </si>
  <si>
    <t>1151 한화꿈에그린아파트 제103동 제12층 제1204호</t>
    <phoneticPr fontId="47" type="noConversion"/>
  </si>
  <si>
    <t>15층 아파트</t>
    <phoneticPr fontId="47" type="noConversion"/>
  </si>
  <si>
    <t>10404.8분의 65.421</t>
    <phoneticPr fontId="47" type="noConversion"/>
  </si>
  <si>
    <t>권**,윤**</t>
    <phoneticPr fontId="47" type="noConversion"/>
  </si>
  <si>
    <t>부평구</t>
    <phoneticPr fontId="47" type="noConversion"/>
  </si>
  <si>
    <t>부개동</t>
    <phoneticPr fontId="47" type="noConversion"/>
  </si>
  <si>
    <t>512 부개역푸르지오 제101동 제18층 제1802호</t>
    <phoneticPr fontId="47" type="noConversion"/>
  </si>
  <si>
    <t>22층 공동주택(아파트)</t>
    <phoneticPr fontId="47" type="noConversion"/>
  </si>
  <si>
    <t>56905.6분의 82.918</t>
    <phoneticPr fontId="47" type="noConversion"/>
  </si>
  <si>
    <t>771 버들치마을성복힐스테이트1차 제112동 제11층 제1101호</t>
    <phoneticPr fontId="47" type="noConversion"/>
  </si>
  <si>
    <t>16층 아파트</t>
    <phoneticPr fontId="47" type="noConversion"/>
  </si>
  <si>
    <t>53639.5분의 79.892</t>
    <phoneticPr fontId="47" type="noConversion"/>
  </si>
  <si>
    <t>537-9 더샵 센트럴스타 제디동 제41층 제4101호</t>
    <phoneticPr fontId="47" type="noConversion"/>
  </si>
  <si>
    <t>29642800분의 15861</t>
    <phoneticPr fontId="47" type="noConversion"/>
  </si>
  <si>
    <t>광진구</t>
    <phoneticPr fontId="47" type="noConversion"/>
  </si>
  <si>
    <t>구의동</t>
    <phoneticPr fontId="47" type="noConversion"/>
  </si>
  <si>
    <t>80-22(토지)</t>
    <phoneticPr fontId="47" type="noConversion"/>
  </si>
  <si>
    <t>80-22 정도빌딩(건물)</t>
    <phoneticPr fontId="47" type="noConversion"/>
  </si>
  <si>
    <t>4층 근린생활시설</t>
    <phoneticPr fontId="47" type="noConversion"/>
  </si>
  <si>
    <t>가좌동</t>
    <phoneticPr fontId="47" type="noConversion"/>
  </si>
  <si>
    <t>30-102 진주아파트 제503동 제6층 제606호</t>
    <phoneticPr fontId="47" type="noConversion"/>
  </si>
  <si>
    <t>14813분의 77.95</t>
    <phoneticPr fontId="47" type="noConversion"/>
  </si>
  <si>
    <t>강원도</t>
    <phoneticPr fontId="47" type="noConversion"/>
  </si>
  <si>
    <t>강릉시</t>
    <phoneticPr fontId="47" type="noConversion"/>
  </si>
  <si>
    <t>교동</t>
    <phoneticPr fontId="47" type="noConversion"/>
  </si>
  <si>
    <t>134-53(토지)</t>
    <phoneticPr fontId="47" type="noConversion"/>
  </si>
  <si>
    <t>134-55(토지)</t>
    <phoneticPr fontId="47" type="noConversion"/>
  </si>
  <si>
    <t>134-69(토지)</t>
    <phoneticPr fontId="47" type="noConversion"/>
  </si>
  <si>
    <t>134-53,134-55,134-69(위삼지상 건물)</t>
    <phoneticPr fontId="47" type="noConversion"/>
  </si>
  <si>
    <t>2층 가내공업센타 및 근린생활시설</t>
    <phoneticPr fontId="47" type="noConversion"/>
  </si>
  <si>
    <t>1498 위시티일산자이2단지 제209동 제18층 제1803호</t>
    <phoneticPr fontId="47" type="noConversion"/>
  </si>
  <si>
    <t>7분의 3, 7분의 2, 7분의 2</t>
    <phoneticPr fontId="47" type="noConversion"/>
  </si>
  <si>
    <t>박**,최**,최**</t>
    <phoneticPr fontId="47" type="noConversion"/>
  </si>
  <si>
    <t>세종특별자치시</t>
    <phoneticPr fontId="47" type="noConversion"/>
  </si>
  <si>
    <t>장군면</t>
    <phoneticPr fontId="47" type="noConversion"/>
  </si>
  <si>
    <t>금암리</t>
    <phoneticPr fontId="47" type="noConversion"/>
  </si>
  <si>
    <t>261-13(토지)</t>
    <phoneticPr fontId="47" type="noConversion"/>
  </si>
  <si>
    <t>이**</t>
    <phoneticPr fontId="47" type="noConversion"/>
  </si>
  <si>
    <t>261-13(건물)</t>
    <phoneticPr fontId="47" type="noConversion"/>
  </si>
  <si>
    <t>2층 단독주택</t>
    <phoneticPr fontId="47" type="noConversion"/>
  </si>
  <si>
    <t>261-14(토지)</t>
    <phoneticPr fontId="47" type="noConversion"/>
  </si>
  <si>
    <t>261-14(건물)</t>
    <phoneticPr fontId="47" type="noConversion"/>
  </si>
  <si>
    <t>261-15(토지)</t>
    <phoneticPr fontId="47" type="noConversion"/>
  </si>
  <si>
    <t>261-15(건물)</t>
    <phoneticPr fontId="47" type="noConversion"/>
  </si>
  <si>
    <t>760 버들치마을성복힐스테이트3차 제308동 제14층 제1404호</t>
    <phoneticPr fontId="47" type="noConversion"/>
  </si>
  <si>
    <t>20층 아파트</t>
    <phoneticPr fontId="47" type="noConversion"/>
  </si>
  <si>
    <t>67289.6분의 72.962</t>
    <phoneticPr fontId="47" type="noConversion"/>
  </si>
  <si>
    <t>현**</t>
    <phoneticPr fontId="47" type="noConversion"/>
  </si>
  <si>
    <t>남양주시</t>
    <phoneticPr fontId="47" type="noConversion"/>
  </si>
  <si>
    <t>와부읍 덕소리</t>
    <phoneticPr fontId="47" type="noConversion"/>
  </si>
  <si>
    <t>600-15 덕소강변현대홈타운 제104동 제3층 제304호</t>
    <phoneticPr fontId="47" type="noConversion"/>
  </si>
  <si>
    <t>20층 공동주택(아파트)</t>
    <phoneticPr fontId="47" type="noConversion"/>
  </si>
  <si>
    <t>19016분의 54.803</t>
    <phoneticPr fontId="47" type="noConversion"/>
  </si>
  <si>
    <t>1487 위시티일산자이1단지 제108동 제15층 제1502호</t>
    <phoneticPr fontId="47" type="noConversion"/>
  </si>
  <si>
    <t>영월군</t>
    <phoneticPr fontId="47" type="noConversion"/>
  </si>
  <si>
    <t>영월읍 연하리</t>
    <phoneticPr fontId="47" type="noConversion"/>
  </si>
  <si>
    <t>947-1(토지)</t>
    <phoneticPr fontId="47" type="noConversion"/>
  </si>
  <si>
    <t>947-1(건물)</t>
    <phoneticPr fontId="47" type="noConversion"/>
  </si>
  <si>
    <t>4층 기도원</t>
    <phoneticPr fontId="47" type="noConversion"/>
  </si>
  <si>
    <t>758 버들치마을성복자이1차 제101동 제6층 제601호</t>
    <phoneticPr fontId="47" type="noConversion"/>
  </si>
  <si>
    <t>19층 아파트</t>
    <phoneticPr fontId="47" type="noConversion"/>
  </si>
  <si>
    <t>56002.2분의 77.938</t>
    <phoneticPr fontId="47" type="noConversion"/>
  </si>
  <si>
    <t>1498 위시티일산자이2단지 제202동 제25층 제2504호</t>
    <phoneticPr fontId="47" type="noConversion"/>
  </si>
  <si>
    <t>안양시 동안구</t>
    <phoneticPr fontId="47" type="noConversion"/>
  </si>
  <si>
    <t>비산동</t>
    <phoneticPr fontId="47" type="noConversion"/>
  </si>
  <si>
    <t>572외 3필지 비산한화꿈에그린아파트 제110동 제19층 제1901호</t>
    <phoneticPr fontId="47" type="noConversion"/>
  </si>
  <si>
    <t>25층 공동주택(아파트)</t>
    <phoneticPr fontId="47" type="noConversion"/>
  </si>
  <si>
    <t>23885.5분의 44.9408</t>
    <phoneticPr fontId="47" type="noConversion"/>
  </si>
  <si>
    <t>광주시</t>
    <phoneticPr fontId="47" type="noConversion"/>
  </si>
  <si>
    <t>오포읍 능평리</t>
    <phoneticPr fontId="47" type="noConversion"/>
  </si>
  <si>
    <t>916 오포 우림필유 골드 135 제101동 제8층 제801호</t>
    <phoneticPr fontId="47" type="noConversion"/>
  </si>
  <si>
    <t>22695.6분의 158.5949</t>
    <phoneticPr fontId="47" type="noConversion"/>
  </si>
  <si>
    <t>월포동</t>
    <phoneticPr fontId="47" type="noConversion"/>
  </si>
  <si>
    <t>1-1외 4필지 월포벽산블루밍아파트 제105동 제16층 제1601호</t>
    <phoneticPr fontId="47" type="noConversion"/>
  </si>
  <si>
    <t>21층 공동주택</t>
    <phoneticPr fontId="47" type="noConversion"/>
  </si>
  <si>
    <t>28231.3분의 58.514</t>
    <phoneticPr fontId="47" type="noConversion"/>
  </si>
  <si>
    <t>옥**,배**,배**</t>
    <phoneticPr fontId="47" type="noConversion"/>
  </si>
  <si>
    <t>화도읍 창현리</t>
    <phoneticPr fontId="47" type="noConversion"/>
  </si>
  <si>
    <t>503-9외 3필지 마석프라자 제2층 제201호</t>
    <phoneticPr fontId="47" type="noConversion"/>
  </si>
  <si>
    <t>4층 제1종 근린행활시설</t>
    <phoneticPr fontId="47" type="noConversion"/>
  </si>
  <si>
    <t>3489분의 76.54</t>
    <phoneticPr fontId="47" type="noConversion"/>
  </si>
  <si>
    <t>주안동</t>
    <phoneticPr fontId="47" type="noConversion"/>
  </si>
  <si>
    <t>150-4외 1필지 제3층 제301호</t>
    <phoneticPr fontId="47" type="noConversion"/>
  </si>
  <si>
    <t>6층 근린생활시설</t>
    <phoneticPr fontId="47" type="noConversion"/>
  </si>
  <si>
    <t>712.7분의 110.647</t>
    <phoneticPr fontId="47" type="noConversion"/>
  </si>
  <si>
    <t>김**,신**,신**</t>
    <phoneticPr fontId="47" type="noConversion"/>
  </si>
  <si>
    <t>군포시</t>
    <phoneticPr fontId="47" type="noConversion"/>
  </si>
  <si>
    <t>금정동</t>
    <phoneticPr fontId="47" type="noConversion"/>
  </si>
  <si>
    <t>847-2 동영센트럴타워 제4층 제410호</t>
    <phoneticPr fontId="47" type="noConversion"/>
  </si>
  <si>
    <t>5층 업무시설</t>
    <phoneticPr fontId="47" type="noConversion"/>
  </si>
  <si>
    <t>2585.4분의 77.20</t>
    <phoneticPr fontId="47" type="noConversion"/>
  </si>
  <si>
    <t>청주시 흥덕구</t>
    <phoneticPr fontId="47" type="noConversion"/>
  </si>
  <si>
    <t>복대동</t>
    <phoneticPr fontId="47" type="noConversion"/>
  </si>
  <si>
    <t>3379 신영지웰시티1차 제104동 제4층 제402호</t>
    <phoneticPr fontId="47" type="noConversion"/>
  </si>
  <si>
    <t>45층 아파트</t>
    <phoneticPr fontId="47" type="noConversion"/>
  </si>
  <si>
    <t>67991.4분의 21.708</t>
    <phoneticPr fontId="47" type="noConversion"/>
  </si>
  <si>
    <t>하남시</t>
    <phoneticPr fontId="47" type="noConversion"/>
  </si>
  <si>
    <t>덕풍동</t>
    <phoneticPr fontId="47" type="noConversion"/>
  </si>
  <si>
    <t>728 우남퍼스트빌리젠트 제103동 제1층 제106호</t>
    <phoneticPr fontId="47" type="noConversion"/>
  </si>
  <si>
    <t>4층 공동주택</t>
    <phoneticPr fontId="47" type="noConversion"/>
  </si>
  <si>
    <t>14742.2분의 161.8232</t>
    <phoneticPr fontId="47" type="noConversion"/>
  </si>
  <si>
    <t>1498 위시티일산자이2단지 제211동 제12층 제1205호</t>
    <phoneticPr fontId="47" type="noConversion"/>
  </si>
  <si>
    <t>부천시 원미구</t>
    <phoneticPr fontId="47" type="noConversion"/>
  </si>
  <si>
    <t>중동</t>
    <phoneticPr fontId="47" type="noConversion"/>
  </si>
  <si>
    <t>1037 은하마을 제510동 제1층 제101호</t>
    <phoneticPr fontId="47" type="noConversion"/>
  </si>
  <si>
    <t>4863.4분의 66.458</t>
    <phoneticPr fontId="47" type="noConversion"/>
  </si>
  <si>
    <t>이동면 장암리</t>
    <phoneticPr fontId="47" type="noConversion"/>
  </si>
  <si>
    <t>278(토지)</t>
    <phoneticPr fontId="47" type="noConversion"/>
  </si>
  <si>
    <t>주유소용지</t>
    <phoneticPr fontId="47" type="noConversion"/>
  </si>
  <si>
    <t>278(건물)</t>
    <phoneticPr fontId="47" type="noConversion"/>
  </si>
  <si>
    <t>2층 위험물저장 및 처리시설</t>
    <phoneticPr fontId="47" type="noConversion"/>
  </si>
  <si>
    <t>1498 위시티일산자이2단지 제211동 제21층 제2103호</t>
    <phoneticPr fontId="47" type="noConversion"/>
  </si>
  <si>
    <t>용인시 기흥구</t>
    <phoneticPr fontId="47" type="noConversion"/>
  </si>
  <si>
    <t>서천동</t>
    <phoneticPr fontId="47" type="noConversion"/>
  </si>
  <si>
    <t>700 서그내마을에스케이아파트 제103동 제2층 제202호</t>
    <phoneticPr fontId="47" type="noConversion"/>
  </si>
  <si>
    <t>50654.1분의 78.3973</t>
    <phoneticPr fontId="47" type="noConversion"/>
  </si>
  <si>
    <t>상현동</t>
    <phoneticPr fontId="47" type="noConversion"/>
  </si>
  <si>
    <t>257-32외 2필지 제2층 제201호</t>
    <phoneticPr fontId="47" type="noConversion"/>
  </si>
  <si>
    <t>6층 제1종,제2종 근린생활시설 및 교육연구시설</t>
    <phoneticPr fontId="47" type="noConversion"/>
  </si>
  <si>
    <t>583분의 27.51</t>
    <phoneticPr fontId="47" type="noConversion"/>
  </si>
  <si>
    <t>257-32외 2필지 제6층 제601호</t>
    <phoneticPr fontId="47" type="noConversion"/>
  </si>
  <si>
    <t>583분의 45.66</t>
    <phoneticPr fontId="47" type="noConversion"/>
  </si>
  <si>
    <t>257-32외 2필지 제6층 제602호</t>
    <phoneticPr fontId="47" type="noConversion"/>
  </si>
  <si>
    <t>583분의 40.84</t>
    <phoneticPr fontId="47" type="noConversion"/>
  </si>
  <si>
    <t>서대문구</t>
    <phoneticPr fontId="47" type="noConversion"/>
  </si>
  <si>
    <t>홍제동</t>
    <phoneticPr fontId="47" type="noConversion"/>
  </si>
  <si>
    <t>312-223 제6층 제601호</t>
    <phoneticPr fontId="47" type="noConversion"/>
  </si>
  <si>
    <t>7층 공동주택(아파트)</t>
    <phoneticPr fontId="47" type="noConversion"/>
  </si>
  <si>
    <t>826분의 80.9</t>
    <phoneticPr fontId="47" type="noConversion"/>
  </si>
  <si>
    <t>최**,김**</t>
    <phoneticPr fontId="47" type="noConversion"/>
  </si>
  <si>
    <t>312-223 제1층 제102호</t>
    <phoneticPr fontId="47" type="noConversion"/>
  </si>
  <si>
    <t>826분의 41.73</t>
    <phoneticPr fontId="47" type="noConversion"/>
  </si>
  <si>
    <t>양주시</t>
    <phoneticPr fontId="47" type="noConversion"/>
  </si>
  <si>
    <t>장흥면 일영리</t>
    <phoneticPr fontId="47" type="noConversion"/>
  </si>
  <si>
    <t>114-32 스카이빌 제에이동 제1층 제102호</t>
    <phoneticPr fontId="47" type="noConversion"/>
  </si>
  <si>
    <t>1147분의 70.64</t>
    <phoneticPr fontId="47" type="noConversion"/>
  </si>
  <si>
    <t>114-32 스카이빌 제에이동 제3 제302호</t>
    <phoneticPr fontId="47" type="noConversion"/>
  </si>
  <si>
    <t>114-32 스카이빌 제에이동 제4층 제401호</t>
    <phoneticPr fontId="47" type="noConversion"/>
  </si>
  <si>
    <t>114-32 스카이빌 제비동 제4층 제402호</t>
    <phoneticPr fontId="47" type="noConversion"/>
  </si>
  <si>
    <t>1147분의 70.04</t>
    <phoneticPr fontId="47" type="noConversion"/>
  </si>
  <si>
    <t>박**</t>
    <phoneticPr fontId="47" type="noConversion"/>
  </si>
  <si>
    <t>탄현면 금승리</t>
    <phoneticPr fontId="47" type="noConversion"/>
  </si>
  <si>
    <t>11-53(토지)</t>
    <phoneticPr fontId="47" type="noConversion"/>
  </si>
  <si>
    <t>죽전동</t>
    <phoneticPr fontId="47" type="noConversion"/>
  </si>
  <si>
    <t>1198 새터마을푸르지오 제401동 제18층 제1802호</t>
    <phoneticPr fontId="47" type="noConversion"/>
  </si>
  <si>
    <t>6557분의 83</t>
    <phoneticPr fontId="47" type="noConversion"/>
  </si>
  <si>
    <t>장항동</t>
    <phoneticPr fontId="47" type="noConversion"/>
  </si>
  <si>
    <t>869 일산방송컴플렉스방송관련시설 제14층 제103-1402호</t>
    <phoneticPr fontId="47" type="noConversion"/>
  </si>
  <si>
    <t>15층 업무시설,판매시설,근생시설,운동시설</t>
    <phoneticPr fontId="47" type="noConversion"/>
  </si>
  <si>
    <t>47364.3분의 26.09</t>
    <phoneticPr fontId="47" type="noConversion"/>
  </si>
  <si>
    <t>목동동</t>
    <phoneticPr fontId="47" type="noConversion"/>
  </si>
  <si>
    <t>667 해솔마을4단지 벽산우남연리지 제411동 제16층 제1601호</t>
    <phoneticPr fontId="47" type="noConversion"/>
  </si>
  <si>
    <t>22층 아파트</t>
    <phoneticPr fontId="47" type="noConversion"/>
  </si>
  <si>
    <t>하갈동</t>
    <phoneticPr fontId="47" type="noConversion"/>
  </si>
  <si>
    <t>631 청명호수마을신안인스빌1단지 제103동 제1층 제101호</t>
    <phoneticPr fontId="47" type="noConversion"/>
  </si>
  <si>
    <t>84007.40분의 120.00</t>
    <phoneticPr fontId="47" type="noConversion"/>
  </si>
  <si>
    <t>3379 신영지웰시티1차 제102동 제9층 제906호</t>
    <phoneticPr fontId="47" type="noConversion"/>
  </si>
  <si>
    <t>37층 아파트</t>
    <phoneticPr fontId="47" type="noConversion"/>
  </si>
  <si>
    <t>67991.4분의 27.335</t>
    <phoneticPr fontId="47" type="noConversion"/>
  </si>
  <si>
    <t>동백동</t>
    <phoneticPr fontId="47" type="noConversion"/>
  </si>
  <si>
    <t>654 호수마을동보노빌리티 제1207동 제15층 제1501호</t>
    <phoneticPr fontId="47" type="noConversion"/>
  </si>
  <si>
    <t>대지권 미분할</t>
    <phoneticPr fontId="47" type="noConversion"/>
  </si>
  <si>
    <t>탄현동</t>
    <phoneticPr fontId="47" type="noConversion"/>
  </si>
  <si>
    <t>1634 일산임광,진흥아파트 제108동 제2층 제201호</t>
    <phoneticPr fontId="47" type="noConversion"/>
  </si>
  <si>
    <t>15층 공동주택</t>
    <phoneticPr fontId="47" type="noConversion"/>
  </si>
  <si>
    <t>53513분의 73.03</t>
    <phoneticPr fontId="47" type="noConversion"/>
  </si>
  <si>
    <t>별내동</t>
    <phoneticPr fontId="47" type="noConversion"/>
  </si>
  <si>
    <t>1060 동익미라벨 제3903동 제5층 제503호</t>
    <phoneticPr fontId="47" type="noConversion"/>
  </si>
  <si>
    <t>9층 공동주택(아파트), 제1,2종 근린생활시설</t>
    <phoneticPr fontId="47" type="noConversion"/>
  </si>
  <si>
    <t>37616.9분의 80.5144</t>
    <phoneticPr fontId="47" type="noConversion"/>
  </si>
  <si>
    <t>덕이동</t>
    <phoneticPr fontId="47" type="noConversion"/>
  </si>
  <si>
    <t>1540 하이파크시티일산아이파크5단지 제506동 제20층 제2003호</t>
    <phoneticPr fontId="47" type="noConversion"/>
  </si>
  <si>
    <t>24층 아파트</t>
    <phoneticPr fontId="47" type="noConversion"/>
  </si>
  <si>
    <t>정발산동</t>
    <phoneticPr fontId="47" type="noConversion"/>
  </si>
  <si>
    <t>785외 2필지 일산현대아이스페이스 제5층 제610호</t>
    <phoneticPr fontId="47" type="noConversion"/>
  </si>
  <si>
    <t>15층 근린생활시설,업무시설,운동시설</t>
    <phoneticPr fontId="47" type="noConversion"/>
  </si>
  <si>
    <t>8622분의 29.067</t>
    <phoneticPr fontId="47" type="noConversion"/>
  </si>
  <si>
    <t>이천시</t>
    <phoneticPr fontId="47" type="noConversion"/>
  </si>
  <si>
    <t>갈산동</t>
    <phoneticPr fontId="47" type="noConversion"/>
  </si>
  <si>
    <t>782 이천갈산현진에버빌 제308동 제7층 제702호</t>
    <phoneticPr fontId="47" type="noConversion"/>
  </si>
  <si>
    <t>13층 아파트</t>
    <phoneticPr fontId="47" type="noConversion"/>
  </si>
  <si>
    <t>24814.6분의 71.4438</t>
    <phoneticPr fontId="47" type="noConversion"/>
  </si>
  <si>
    <t>박**,정**,정**</t>
    <phoneticPr fontId="47" type="noConversion"/>
  </si>
  <si>
    <t>오산시</t>
    <phoneticPr fontId="47" type="noConversion"/>
  </si>
  <si>
    <t>수청동</t>
    <phoneticPr fontId="47" type="noConversion"/>
  </si>
  <si>
    <t>581 물향기마을휴먼시아꿈에그린 제1307동 제14층 제1404호</t>
    <phoneticPr fontId="47" type="noConversion"/>
  </si>
  <si>
    <t>46230분의 86.67</t>
    <phoneticPr fontId="47" type="noConversion"/>
  </si>
  <si>
    <t>공세동</t>
    <phoneticPr fontId="47" type="noConversion"/>
  </si>
  <si>
    <t>714 탑실마을대주피오레2단지 제207동 제7층 제702호</t>
    <phoneticPr fontId="47" type="noConversion"/>
  </si>
  <si>
    <t>25층아파트</t>
    <phoneticPr fontId="47" type="noConversion"/>
  </si>
  <si>
    <t>172101.8분의 106.44</t>
    <phoneticPr fontId="47" type="noConversion"/>
  </si>
  <si>
    <t>수원시 권선구</t>
    <phoneticPr fontId="47" type="noConversion"/>
  </si>
  <si>
    <t>금곡동</t>
    <phoneticPr fontId="47" type="noConversion"/>
  </si>
  <si>
    <t>66외 8필지 강남아파트 제107동 제13층 제1302호</t>
    <phoneticPr fontId="47" type="noConversion"/>
  </si>
  <si>
    <t>26460분의 35.734</t>
    <phoneticPr fontId="47" type="noConversion"/>
  </si>
  <si>
    <t>창원시 마산회원구</t>
    <phoneticPr fontId="47" type="noConversion"/>
  </si>
  <si>
    <t>74-1외 2필지 마산한일타운아파트 제104동 제18층 제1803호</t>
    <phoneticPr fontId="47" type="noConversion"/>
  </si>
  <si>
    <t>18층 공동주택(아파트)</t>
    <phoneticPr fontId="47" type="noConversion"/>
  </si>
  <si>
    <t>328220000분의 449490</t>
    <phoneticPr fontId="47" type="noConversion"/>
  </si>
  <si>
    <t>구로동</t>
    <phoneticPr fontId="47" type="noConversion"/>
  </si>
  <si>
    <t>1286 다울숲아파트 제102동 제7층 제702호</t>
    <phoneticPr fontId="47" type="noConversion"/>
  </si>
  <si>
    <t>3503분의 44.39</t>
    <phoneticPr fontId="47" type="noConversion"/>
  </si>
  <si>
    <t>화도읍 차산리</t>
    <phoneticPr fontId="47" type="noConversion"/>
  </si>
  <si>
    <t>875 신창현풍림아이원1차 제102동 제2층 제203호</t>
    <phoneticPr fontId="47" type="noConversion"/>
  </si>
  <si>
    <t>13층 공동주택</t>
    <phoneticPr fontId="47" type="noConversion"/>
  </si>
  <si>
    <t>29189.3분의 92.5515</t>
    <phoneticPr fontId="47" type="noConversion"/>
  </si>
  <si>
    <t>382-3 다대자유아파트제112동 제10층 제1002호</t>
    <phoneticPr fontId="47" type="noConversion"/>
  </si>
  <si>
    <t>3277200분의 5118</t>
    <phoneticPr fontId="47" type="noConversion"/>
  </si>
  <si>
    <t>전주시 덕진구</t>
    <phoneticPr fontId="47" type="noConversion"/>
  </si>
  <si>
    <t>송천동1가</t>
    <phoneticPr fontId="47" type="noConversion"/>
  </si>
  <si>
    <t>12-10 진흥더블파크 제110동 제6층 제602호</t>
    <phoneticPr fontId="47" type="noConversion"/>
  </si>
  <si>
    <t>12층 공동주택(아파트)</t>
    <phoneticPr fontId="47" type="noConversion"/>
  </si>
  <si>
    <t>54209분의 86.2452</t>
    <phoneticPr fontId="47" type="noConversion"/>
  </si>
  <si>
    <t>14-14외 1필지 갈월동하나빌 제3층 제301호</t>
    <phoneticPr fontId="47" type="noConversion"/>
  </si>
  <si>
    <t>5층 연립주택</t>
    <phoneticPr fontId="47" type="noConversion"/>
  </si>
  <si>
    <t>544.1분의 34.08</t>
    <phoneticPr fontId="47" type="noConversion"/>
  </si>
  <si>
    <t>499-2 푸른마을한신아파트 제109동 제1층 제104호</t>
    <phoneticPr fontId="47" type="noConversion"/>
  </si>
  <si>
    <t>21층 아파트</t>
    <phoneticPr fontId="47" type="noConversion"/>
  </si>
  <si>
    <t>55726.8분의 60.140</t>
    <phoneticPr fontId="47" type="noConversion"/>
  </si>
  <si>
    <t>401 성일우리미아파트 제104동 제10층 제1001호</t>
    <phoneticPr fontId="47" type="noConversion"/>
  </si>
  <si>
    <t>12905.8분의 67.581</t>
    <phoneticPr fontId="47" type="noConversion"/>
  </si>
  <si>
    <t>현암동</t>
    <phoneticPr fontId="47" type="noConversion"/>
  </si>
  <si>
    <t>195 이안여주강변아파트제107동 제15층 제1501호</t>
    <phoneticPr fontId="47" type="noConversion"/>
  </si>
  <si>
    <t>29101분의 71.5135</t>
    <phoneticPr fontId="47" type="noConversion"/>
  </si>
  <si>
    <t>조**,황**</t>
    <phoneticPr fontId="47" type="noConversion"/>
  </si>
  <si>
    <t>205-50(토지)</t>
    <phoneticPr fontId="47" type="noConversion"/>
  </si>
  <si>
    <t>205-118(토지)</t>
    <phoneticPr fontId="47" type="noConversion"/>
  </si>
  <si>
    <t>신**</t>
    <phoneticPr fontId="47" type="noConversion"/>
  </si>
  <si>
    <t>1405 율현마을율하이-편한세상 제1104동 제10층 제1002호</t>
    <phoneticPr fontId="47" type="noConversion"/>
  </si>
  <si>
    <t>17층 아파트</t>
    <phoneticPr fontId="47" type="noConversion"/>
  </si>
  <si>
    <t>32955.1분의 54.317</t>
    <phoneticPr fontId="47" type="noConversion"/>
  </si>
  <si>
    <t>604-1 냇마을신영지웰 제901동 제11층 제1102호</t>
    <phoneticPr fontId="47" type="noConversion"/>
  </si>
  <si>
    <t>28층 아파트</t>
    <phoneticPr fontId="47" type="noConversion"/>
  </si>
  <si>
    <t>130-8외 2필지 성원포레스타운 제105동 제2층 제202호</t>
    <phoneticPr fontId="47" type="noConversion"/>
  </si>
  <si>
    <t>34457분의 84.092</t>
    <phoneticPr fontId="47" type="noConversion"/>
  </si>
  <si>
    <t>369 연꽃마을금호타운 제308 제16층 제1601호</t>
    <phoneticPr fontId="47" type="noConversion"/>
  </si>
  <si>
    <t>29980.5분의 41.032</t>
    <phoneticPr fontId="47" type="noConversion"/>
  </si>
  <si>
    <t>96 메타폴리스 제에이동 제9층 제905호</t>
    <phoneticPr fontId="47" type="noConversion"/>
  </si>
  <si>
    <t>27196.1분의 26.697</t>
    <phoneticPr fontId="47" type="noConversion"/>
  </si>
  <si>
    <t>752 시흥6차푸르지오2단지 제211동 제2층 제203호</t>
    <phoneticPr fontId="47" type="noConversion"/>
  </si>
  <si>
    <t>40046.9분의 49.4228</t>
    <phoneticPr fontId="47" type="noConversion"/>
  </si>
  <si>
    <t>751-1 상계주공아파트 제413동 제10층 제1001호</t>
    <phoneticPr fontId="47" type="noConversion"/>
  </si>
  <si>
    <t>74772.5분의 36.15</t>
    <phoneticPr fontId="47" type="noConversion"/>
  </si>
  <si>
    <t>1-444(토지)</t>
    <phoneticPr fontId="47" type="noConversion"/>
  </si>
  <si>
    <t>채**,박**</t>
    <phoneticPr fontId="47" type="noConversion"/>
  </si>
  <si>
    <t>1-444(건물)</t>
    <phoneticPr fontId="47" type="noConversion"/>
  </si>
  <si>
    <t>단독주택</t>
    <phoneticPr fontId="47" type="noConversion"/>
  </si>
  <si>
    <t>부천시 오정구</t>
    <phoneticPr fontId="47" type="noConversion"/>
  </si>
  <si>
    <t>129-8 영화아파트 제102동 제1층 제104호</t>
    <phoneticPr fontId="47" type="noConversion"/>
  </si>
  <si>
    <t>6층 아파트</t>
    <phoneticPr fontId="47" type="noConversion"/>
  </si>
  <si>
    <t>13299분의 82.8922</t>
    <phoneticPr fontId="47" type="noConversion"/>
  </si>
  <si>
    <t>757-5(토지)</t>
    <phoneticPr fontId="47" type="noConversion"/>
  </si>
  <si>
    <t>757-5(건물)</t>
    <phoneticPr fontId="47" type="noConversion"/>
  </si>
  <si>
    <t>27 양지마을 제301동 제5층 제503호</t>
    <phoneticPr fontId="47" type="noConversion"/>
  </si>
  <si>
    <t>133138.2분의 69.95</t>
    <phoneticPr fontId="47" type="noConversion"/>
  </si>
  <si>
    <t>홍**,홍**</t>
    <phoneticPr fontId="47" type="noConversion"/>
  </si>
  <si>
    <t>230-10 용산롯데캐슬그랜드 제110동 제15층 제1505호</t>
    <phoneticPr fontId="47" type="noConversion"/>
  </si>
  <si>
    <t>30층 공동주택(아파트)</t>
    <phoneticPr fontId="47" type="noConversion"/>
  </si>
  <si>
    <t>51392분의 35.3192</t>
    <phoneticPr fontId="47" type="noConversion"/>
  </si>
  <si>
    <t>662-23(토지)</t>
    <phoneticPr fontId="47" type="noConversion"/>
  </si>
  <si>
    <t>662-23(건물)</t>
    <phoneticPr fontId="47" type="noConversion"/>
  </si>
  <si>
    <t>544 제10층 제1005호</t>
    <phoneticPr fontId="47" type="noConversion"/>
  </si>
  <si>
    <t>15층 사무실 아파트 판매시설</t>
    <phoneticPr fontId="47" type="noConversion"/>
  </si>
  <si>
    <t>3125.3분의 19.7</t>
    <phoneticPr fontId="47" type="noConversion"/>
  </si>
  <si>
    <t>455 산내들마을우남퍼스트빌 제104동 제8층 제804호</t>
    <phoneticPr fontId="47" type="noConversion"/>
  </si>
  <si>
    <t>22720.7분의 59.9686</t>
    <phoneticPr fontId="47" type="noConversion"/>
  </si>
  <si>
    <t>수원시 영통구</t>
    <phoneticPr fontId="47" type="noConversion"/>
  </si>
  <si>
    <t>176 현대힐스테이트아파트 제112동 제18층 제1802호</t>
    <phoneticPr fontId="47" type="noConversion"/>
  </si>
  <si>
    <t>89544.2분의 38.274</t>
    <phoneticPr fontId="47" type="noConversion"/>
  </si>
  <si>
    <t>진접읍 금곡리</t>
    <phoneticPr fontId="47" type="noConversion"/>
  </si>
  <si>
    <t>971 해밀마을5단지반도유보라메이플타운 제1503동 제2층 제204호</t>
    <phoneticPr fontId="47" type="noConversion"/>
  </si>
  <si>
    <t>7층 공동주택</t>
    <phoneticPr fontId="47" type="noConversion"/>
  </si>
  <si>
    <t>71886.8분의 81.9818</t>
    <phoneticPr fontId="47" type="noConversion"/>
  </si>
  <si>
    <t>도봉구</t>
    <phoneticPr fontId="47" type="noConversion"/>
  </si>
  <si>
    <t>쌍문동</t>
    <phoneticPr fontId="47" type="noConversion"/>
  </si>
  <si>
    <t>485-33 현대시티 제비동 제5층 제502호</t>
    <phoneticPr fontId="47" type="noConversion"/>
  </si>
  <si>
    <t>5층 다세대주택(도시형생활주택(단지형다세대))</t>
    <phoneticPr fontId="47" type="noConversion"/>
  </si>
  <si>
    <t>489분의 29.87</t>
    <phoneticPr fontId="47" type="noConversion"/>
  </si>
  <si>
    <t>안성시</t>
    <phoneticPr fontId="47" type="noConversion"/>
  </si>
  <si>
    <t>대덕면 건지리</t>
    <phoneticPr fontId="47" type="noConversion"/>
  </si>
  <si>
    <t>465-2(토지)</t>
    <phoneticPr fontId="47" type="noConversion"/>
  </si>
  <si>
    <t>465-2,464-2(양지상 건물)</t>
    <phoneticPr fontId="47" type="noConversion"/>
  </si>
  <si>
    <t>4층 제2종근린생활시설 및 다가구주택</t>
    <phoneticPr fontId="47" type="noConversion"/>
  </si>
  <si>
    <t>내서읍 삼계리</t>
    <phoneticPr fontId="47" type="noConversion"/>
  </si>
  <si>
    <t>507-1 숲속마을주공5단지아파트 제505동 제12층 제1206호</t>
    <phoneticPr fontId="47" type="noConversion"/>
  </si>
  <si>
    <t>15층 아파트 및 대피소</t>
    <phoneticPr fontId="47" type="noConversion"/>
  </si>
  <si>
    <t>26532.2분의 57.39</t>
    <phoneticPr fontId="47" type="noConversion"/>
  </si>
  <si>
    <t>이**,조**</t>
    <phoneticPr fontId="47" type="noConversion"/>
  </si>
  <si>
    <t>양촌읍 양곡리</t>
    <phoneticPr fontId="47" type="noConversion"/>
  </si>
  <si>
    <t>1316 양곡휴먼시아고다니마을 제705동 제12층 제1201호</t>
    <phoneticPr fontId="47" type="noConversion"/>
  </si>
  <si>
    <t>삼산동</t>
    <phoneticPr fontId="47" type="noConversion"/>
  </si>
  <si>
    <t>389-8 삼산주공미래타운아파트 제404동 제9층 제901호</t>
    <phoneticPr fontId="47" type="noConversion"/>
  </si>
  <si>
    <t>31702.6분의 33.55</t>
    <phoneticPr fontId="47" type="noConversion"/>
  </si>
  <si>
    <t>노**,임**,임**</t>
    <phoneticPr fontId="47" type="noConversion"/>
  </si>
  <si>
    <t>광혜원면 광혜원리</t>
    <phoneticPr fontId="47" type="noConversion"/>
  </si>
  <si>
    <t>1085 광혜원코아루아파트 제103동 제4층 제402호</t>
    <phoneticPr fontId="47" type="noConversion"/>
  </si>
  <si>
    <t>25720.9분의 50.3511</t>
    <phoneticPr fontId="47" type="noConversion"/>
  </si>
  <si>
    <t>구로구</t>
    <phoneticPr fontId="47" type="noConversion"/>
  </si>
  <si>
    <t>궁동</t>
    <phoneticPr fontId="47" type="noConversion"/>
  </si>
  <si>
    <t>290 궁동 우남푸르미아아파트 제101동 제2층 제205호</t>
    <phoneticPr fontId="47" type="noConversion"/>
  </si>
  <si>
    <t>4717분의 53.9459</t>
    <phoneticPr fontId="47" type="noConversion"/>
  </si>
  <si>
    <t>계양구</t>
    <phoneticPr fontId="47" type="noConversion"/>
  </si>
  <si>
    <t>방축동</t>
    <phoneticPr fontId="47" type="noConversion"/>
  </si>
  <si>
    <t>117-3외 8필지 계양산대창센시티아파트 제101동 제7층 제706호</t>
    <phoneticPr fontId="47" type="noConversion"/>
  </si>
  <si>
    <t>1200분의 100</t>
    <phoneticPr fontId="47" type="noConversion"/>
  </si>
  <si>
    <t>1144-10외 2필지 룩소르주상복합아파트 제14층 제1402호</t>
    <phoneticPr fontId="47" type="noConversion"/>
  </si>
  <si>
    <t>1199.3분의 7.557</t>
    <phoneticPr fontId="47" type="noConversion"/>
  </si>
  <si>
    <t>7-235 신흥아이파크 제107동 제1층 제104호</t>
    <phoneticPr fontId="47" type="noConversion"/>
  </si>
  <si>
    <t>33784.6분의 25.7819</t>
    <phoneticPr fontId="47" type="noConversion"/>
  </si>
  <si>
    <t>유성구</t>
    <phoneticPr fontId="47" type="noConversion"/>
  </si>
  <si>
    <t>송강동</t>
    <phoneticPr fontId="47" type="noConversion"/>
  </si>
  <si>
    <t>199 송강그린아파트 제315동 제2층 제203호</t>
    <phoneticPr fontId="47" type="noConversion"/>
  </si>
  <si>
    <t>86018.3분의 52.9693</t>
    <phoneticPr fontId="47" type="noConversion"/>
  </si>
  <si>
    <t>방**,정**,정**</t>
    <phoneticPr fontId="47" type="noConversion"/>
  </si>
  <si>
    <t>백석읍 복지리</t>
    <phoneticPr fontId="47" type="noConversion"/>
  </si>
  <si>
    <t>322-4외 2필지 동화은하수큰마을제2지구초록마을아파트 제202동 제14층 제1404호</t>
    <phoneticPr fontId="47" type="noConversion"/>
  </si>
  <si>
    <t>30385분의 68.586</t>
    <phoneticPr fontId="47" type="noConversion"/>
  </si>
  <si>
    <t>수원시 장안구</t>
    <phoneticPr fontId="47" type="noConversion"/>
  </si>
  <si>
    <t>파장동</t>
    <phoneticPr fontId="47" type="noConversion"/>
  </si>
  <si>
    <t>212-5 삼익아파트 제2동 제7층 제710호</t>
    <phoneticPr fontId="47" type="noConversion"/>
  </si>
  <si>
    <t>11층 아파트</t>
    <phoneticPr fontId="47" type="noConversion"/>
  </si>
  <si>
    <t>9881분의 41</t>
    <phoneticPr fontId="47" type="noConversion"/>
  </si>
  <si>
    <t>강화군</t>
    <phoneticPr fontId="47" type="noConversion"/>
  </si>
  <si>
    <t>불은면 두운리</t>
    <phoneticPr fontId="47" type="noConversion"/>
  </si>
  <si>
    <t>927-6(토지)</t>
    <phoneticPr fontId="47" type="noConversion"/>
  </si>
  <si>
    <t>927-6(건물)</t>
    <phoneticPr fontId="47" type="noConversion"/>
  </si>
  <si>
    <t>2층 주택</t>
    <phoneticPr fontId="47" type="noConversion"/>
  </si>
  <si>
    <t>화도읍 녹촌리</t>
    <phoneticPr fontId="47" type="noConversion"/>
  </si>
  <si>
    <t>235-2 삼신아파트 제103동 제2층 제201호</t>
    <phoneticPr fontId="47" type="noConversion"/>
  </si>
  <si>
    <t>15398분의 49.4885</t>
    <phoneticPr fontId="47" type="noConversion"/>
  </si>
  <si>
    <t>범어동</t>
    <phoneticPr fontId="47" type="noConversion"/>
  </si>
  <si>
    <t>2017 청구성조타운 제101동 제8층 제808호</t>
    <phoneticPr fontId="47" type="noConversion"/>
  </si>
  <si>
    <t>15500분의 25.3119</t>
    <phoneticPr fontId="47" type="noConversion"/>
  </si>
  <si>
    <t>김**,김**</t>
    <phoneticPr fontId="47" type="noConversion"/>
  </si>
  <si>
    <t>사하구</t>
    <phoneticPr fontId="47" type="noConversion"/>
  </si>
  <si>
    <t>다대동</t>
    <phoneticPr fontId="47" type="noConversion"/>
  </si>
  <si>
    <t>1624외 7필지 다대동롯데캐슬몰운대아파트 제218동 제13층 제1304호</t>
    <phoneticPr fontId="47" type="noConversion"/>
  </si>
  <si>
    <t>210001.6분의 54.2203</t>
    <phoneticPr fontId="47" type="noConversion"/>
  </si>
  <si>
    <t>440-1 삼산타운주공아파트 제101동 제17층 제1702호</t>
    <phoneticPr fontId="47" type="noConversion"/>
  </si>
  <si>
    <t>17층 공동주택</t>
    <phoneticPr fontId="47" type="noConversion"/>
  </si>
  <si>
    <t>73714.1분의 40.4697</t>
    <phoneticPr fontId="47" type="noConversion"/>
  </si>
  <si>
    <t>성북구</t>
    <phoneticPr fontId="47" type="noConversion"/>
  </si>
  <si>
    <t>길음동</t>
    <phoneticPr fontId="47" type="noConversion"/>
  </si>
  <si>
    <t>1278 동부센트레빌아파트 제101동 제1층 제101호</t>
    <phoneticPr fontId="47" type="noConversion"/>
  </si>
  <si>
    <t>23층 공동주택(아파트)</t>
    <phoneticPr fontId="47" type="noConversion"/>
  </si>
  <si>
    <t>53745.8분의 48.865</t>
    <phoneticPr fontId="47" type="noConversion"/>
  </si>
  <si>
    <t>2,4</t>
    <phoneticPr fontId="47" type="noConversion"/>
  </si>
  <si>
    <t>1,3</t>
    <phoneticPr fontId="47" type="noConversion"/>
  </si>
  <si>
    <t>태전동</t>
    <phoneticPr fontId="47" type="noConversion"/>
  </si>
  <si>
    <t>244-86 제4층 제401호</t>
    <phoneticPr fontId="47" type="noConversion"/>
  </si>
  <si>
    <t>432분의 58</t>
    <phoneticPr fontId="47" type="noConversion"/>
  </si>
  <si>
    <t>북구</t>
    <phoneticPr fontId="47" type="noConversion"/>
  </si>
  <si>
    <t>산격동</t>
    <phoneticPr fontId="47" type="noConversion"/>
  </si>
  <si>
    <t>505-7 소프트웨어벤처타워 제8층 제803호</t>
    <phoneticPr fontId="47" type="noConversion"/>
  </si>
  <si>
    <t>15층 업무시설, 제1,2종근린생활시설</t>
    <phoneticPr fontId="47" type="noConversion"/>
  </si>
  <si>
    <t>1485분의 17.31</t>
    <phoneticPr fontId="47" type="noConversion"/>
  </si>
  <si>
    <t>청주시 서원구</t>
    <phoneticPr fontId="47" type="noConversion"/>
  </si>
  <si>
    <t>수곡동</t>
    <phoneticPr fontId="47" type="noConversion"/>
  </si>
  <si>
    <t>1002 두진백로아파트 제106동 제4층 제401호</t>
    <phoneticPr fontId="47" type="noConversion"/>
  </si>
  <si>
    <t>31893.4분의 32.345</t>
    <phoneticPr fontId="47" type="noConversion"/>
  </si>
  <si>
    <t>안양시 만안구</t>
    <phoneticPr fontId="47" type="noConversion"/>
  </si>
  <si>
    <t>안양동</t>
    <phoneticPr fontId="47" type="noConversion"/>
  </si>
  <si>
    <t>1088-68 휴타운숲 제201호</t>
    <phoneticPr fontId="47" type="noConversion"/>
  </si>
  <si>
    <t>4층 공동주택(다세대 주택)</t>
    <phoneticPr fontId="47" type="noConversion"/>
  </si>
  <si>
    <t>200분의 28.23</t>
    <phoneticPr fontId="47" type="noConversion"/>
  </si>
  <si>
    <t>177-5(토지)</t>
    <phoneticPr fontId="47" type="noConversion"/>
  </si>
  <si>
    <t>177-5(건물)</t>
    <phoneticPr fontId="47" type="noConversion"/>
  </si>
  <si>
    <t>4층 단독주택 및 제1,2종 근린생활시설</t>
    <phoneticPr fontId="47" type="noConversion"/>
  </si>
  <si>
    <t>간석동</t>
    <phoneticPr fontId="47" type="noConversion"/>
  </si>
  <si>
    <t>234-16외 1필지 그린캐슬 제2층 제201호</t>
    <phoneticPr fontId="47" type="noConversion"/>
  </si>
  <si>
    <t>8층 공동주택</t>
    <phoneticPr fontId="47" type="noConversion"/>
  </si>
  <si>
    <t>271.7분의 9.23</t>
    <phoneticPr fontId="47" type="noConversion"/>
  </si>
  <si>
    <t>234-16외 1필지 그린캐슬 제3층 제304호</t>
    <phoneticPr fontId="47" type="noConversion"/>
  </si>
  <si>
    <t>271.7분의 11.35</t>
    <phoneticPr fontId="47" type="noConversion"/>
  </si>
  <si>
    <t>금천동</t>
    <phoneticPr fontId="47" type="noConversion"/>
  </si>
  <si>
    <t>106-1외 5필지 풍림아파트 제101동 제9층 제902호</t>
    <phoneticPr fontId="47" type="noConversion"/>
  </si>
  <si>
    <t>19161분의 86.11</t>
    <phoneticPr fontId="47" type="noConversion"/>
  </si>
  <si>
    <t>쌍령동</t>
    <phoneticPr fontId="47" type="noConversion"/>
  </si>
  <si>
    <t>52-41 양지마을샤인빌 제4층 제401호</t>
    <phoneticPr fontId="47" type="noConversion"/>
  </si>
  <si>
    <t>713분의 89.125</t>
    <phoneticPr fontId="47" type="noConversion"/>
  </si>
  <si>
    <t>송파구</t>
    <phoneticPr fontId="47" type="noConversion"/>
  </si>
  <si>
    <t>마천동</t>
    <phoneticPr fontId="47" type="noConversion"/>
  </si>
  <si>
    <t>186-18(토지)</t>
    <phoneticPr fontId="47" type="noConversion"/>
  </si>
  <si>
    <t>손**,최**</t>
    <phoneticPr fontId="47" type="noConversion"/>
  </si>
  <si>
    <t>186-18(건물)</t>
    <phoneticPr fontId="47" type="noConversion"/>
  </si>
  <si>
    <t>단층 건물</t>
    <phoneticPr fontId="47" type="noConversion"/>
  </si>
  <si>
    <t>도봉동</t>
    <phoneticPr fontId="47" type="noConversion"/>
  </si>
  <si>
    <t>87외 2필지 삼환도봉아파트 제2동 제12층 제1205호</t>
    <phoneticPr fontId="47" type="noConversion"/>
  </si>
  <si>
    <t>28616.5분의 46.52</t>
    <phoneticPr fontId="47" type="noConversion"/>
  </si>
  <si>
    <t>안산시 상록구</t>
    <phoneticPr fontId="47" type="noConversion"/>
  </si>
  <si>
    <t>본오동</t>
    <phoneticPr fontId="47" type="noConversion"/>
  </si>
  <si>
    <t>905-2 수정하이츠빌 제4층 제402호</t>
    <phoneticPr fontId="47" type="noConversion"/>
  </si>
  <si>
    <t>5층 다세대주택(8세대)</t>
    <phoneticPr fontId="47" type="noConversion"/>
  </si>
  <si>
    <t>278.50분의 31.78</t>
    <phoneticPr fontId="47" type="noConversion"/>
  </si>
  <si>
    <t>고양시 덕양구</t>
    <phoneticPr fontId="47" type="noConversion"/>
  </si>
  <si>
    <t>내유동</t>
    <phoneticPr fontId="47" type="noConversion"/>
  </si>
  <si>
    <t>444-17외 5필지 동진타운 제103동 제3층 제301호</t>
    <phoneticPr fontId="47" type="noConversion"/>
  </si>
  <si>
    <t>1029분의 60.53</t>
    <phoneticPr fontId="47" type="noConversion"/>
  </si>
  <si>
    <t>477-1 화인타운 제비동 제2층 제201호</t>
    <phoneticPr fontId="47" type="noConversion"/>
  </si>
  <si>
    <t>1400분의 50</t>
    <phoneticPr fontId="47" type="noConversion"/>
  </si>
  <si>
    <t>서초동</t>
    <phoneticPr fontId="47" type="noConversion"/>
  </si>
  <si>
    <t>1613-24 팜스빌 제2층 제202호</t>
    <phoneticPr fontId="47" type="noConversion"/>
  </si>
  <si>
    <t>2층 다세대주택 및 제1종 근린생활시설</t>
    <phoneticPr fontId="47" type="noConversion"/>
  </si>
  <si>
    <t>381.90분의 41.821</t>
    <phoneticPr fontId="47" type="noConversion"/>
  </si>
  <si>
    <t>598-8 당곡마을아파트 제103동 제14층 제1401호</t>
    <phoneticPr fontId="47" type="noConversion"/>
  </si>
  <si>
    <t>28042분의 34.0172</t>
    <phoneticPr fontId="47" type="noConversion"/>
  </si>
  <si>
    <t>의정부시</t>
    <phoneticPr fontId="47" type="noConversion"/>
  </si>
  <si>
    <t>호원동</t>
    <phoneticPr fontId="47" type="noConversion"/>
  </si>
  <si>
    <t>318-1 미도아파트 제101동 제18층 제1802호</t>
    <phoneticPr fontId="47" type="noConversion"/>
  </si>
  <si>
    <t>23층 아파트</t>
    <phoneticPr fontId="47" type="noConversion"/>
  </si>
  <si>
    <t>15570분의 19.326</t>
    <phoneticPr fontId="47" type="noConversion"/>
  </si>
  <si>
    <t>599-10 현일빌라 제3층 제301호</t>
    <phoneticPr fontId="47" type="noConversion"/>
  </si>
  <si>
    <t>378.1분의 32.467</t>
    <phoneticPr fontId="47" type="noConversion"/>
  </si>
  <si>
    <t>창원시 성산구</t>
    <phoneticPr fontId="47" type="noConversion"/>
  </si>
  <si>
    <t>내동</t>
    <phoneticPr fontId="47" type="noConversion"/>
  </si>
  <si>
    <t>452-2 한국화약(주)사원아파트 제3층 제308호</t>
    <phoneticPr fontId="47" type="noConversion"/>
  </si>
  <si>
    <t>4374600분의 61614</t>
    <phoneticPr fontId="47" type="noConversion"/>
  </si>
  <si>
    <t>부평동</t>
    <phoneticPr fontId="47" type="noConversion"/>
  </si>
  <si>
    <t>149-31 부흥아트빌 제4층 제401호</t>
    <phoneticPr fontId="47" type="noConversion"/>
  </si>
  <si>
    <t>5층 근린생활시설 및 공동주택</t>
    <phoneticPr fontId="47" type="noConversion"/>
  </si>
  <si>
    <t>165.3분의 18.09</t>
    <phoneticPr fontId="47" type="noConversion"/>
  </si>
  <si>
    <t>504-64 제2층 제202호</t>
    <phoneticPr fontId="47" type="noConversion"/>
  </si>
  <si>
    <t>4층 다세대주택(9세대)</t>
    <phoneticPr fontId="47" type="noConversion"/>
  </si>
  <si>
    <t>317분의 37</t>
    <phoneticPr fontId="47" type="noConversion"/>
  </si>
  <si>
    <t>초월읍 대쌍령리</t>
    <phoneticPr fontId="47" type="noConversion"/>
  </si>
  <si>
    <t>124-4외 1필지 신일드림빌아파트 제102동 제13층 제1302호</t>
    <phoneticPr fontId="47" type="noConversion"/>
  </si>
  <si>
    <t>24494분의 66.836</t>
    <phoneticPr fontId="47" type="noConversion"/>
  </si>
  <si>
    <t>중랑구</t>
    <phoneticPr fontId="47" type="noConversion"/>
  </si>
  <si>
    <t>중화동</t>
    <phoneticPr fontId="47" type="noConversion"/>
  </si>
  <si>
    <t>19외 13필지 극동아파트 제12층 제1207호</t>
    <phoneticPr fontId="47" type="noConversion"/>
  </si>
  <si>
    <t>6895분의 43.44</t>
    <phoneticPr fontId="47" type="noConversion"/>
  </si>
  <si>
    <t>206-2 동남아파트 제2동 제1층 제104호</t>
    <phoneticPr fontId="47" type="noConversion"/>
  </si>
  <si>
    <t>5058분의 36.81</t>
    <phoneticPr fontId="47" type="noConversion"/>
  </si>
  <si>
    <t>5분의 3, 5분의 2</t>
    <phoneticPr fontId="47" type="noConversion"/>
  </si>
  <si>
    <t>446 제1동 제4층 제406호</t>
    <phoneticPr fontId="47" type="noConversion"/>
  </si>
  <si>
    <t>5736분의 33.89</t>
    <phoneticPr fontId="47" type="noConversion"/>
  </si>
  <si>
    <t>1182 그린타운 제1301동 제5층 제501호</t>
    <phoneticPr fontId="47" type="noConversion"/>
  </si>
  <si>
    <t>40869.4분의 49.5068</t>
    <phoneticPr fontId="47" type="noConversion"/>
  </si>
  <si>
    <t>조**,김**</t>
    <phoneticPr fontId="47" type="noConversion"/>
  </si>
  <si>
    <t>가수원동</t>
    <phoneticPr fontId="47" type="noConversion"/>
  </si>
  <si>
    <t>762 은아아파트3단지 제304동 제12층 제1204호</t>
    <phoneticPr fontId="47" type="noConversion"/>
  </si>
  <si>
    <t>14438.3분의 28.31</t>
    <phoneticPr fontId="47" type="noConversion"/>
  </si>
  <si>
    <t>학익동</t>
    <phoneticPr fontId="47" type="noConversion"/>
  </si>
  <si>
    <t>306-89 제1층 제101호</t>
    <phoneticPr fontId="47" type="noConversion"/>
  </si>
  <si>
    <t>10분의 1</t>
    <phoneticPr fontId="47" type="noConversion"/>
  </si>
  <si>
    <t>용현동</t>
    <phoneticPr fontId="47" type="noConversion"/>
  </si>
  <si>
    <t>456-126 로얄하이츠빌라 제다동 제4층 제402호</t>
    <phoneticPr fontId="47" type="noConversion"/>
  </si>
  <si>
    <t>연제구</t>
    <phoneticPr fontId="47" type="noConversion"/>
  </si>
  <si>
    <t>거제동</t>
    <phoneticPr fontId="47" type="noConversion"/>
  </si>
  <si>
    <t>917-1 대우아파트 제105동 제4층 제401호</t>
    <phoneticPr fontId="47" type="noConversion"/>
  </si>
  <si>
    <t>109810000분의 269638</t>
    <phoneticPr fontId="47" type="noConversion"/>
  </si>
  <si>
    <t>청주시 청원구</t>
    <phoneticPr fontId="47" type="noConversion"/>
  </si>
  <si>
    <t>오창읍 장대리</t>
    <phoneticPr fontId="47" type="noConversion"/>
  </si>
  <si>
    <t>324-31 보탑아트빌 제3층 제302호</t>
    <phoneticPr fontId="47" type="noConversion"/>
  </si>
  <si>
    <t>5층 공동주택</t>
    <phoneticPr fontId="47" type="noConversion"/>
  </si>
  <si>
    <t>360분의 45.92</t>
    <phoneticPr fontId="47" type="noConversion"/>
  </si>
  <si>
    <t>해운대구</t>
    <phoneticPr fontId="47" type="noConversion"/>
  </si>
  <si>
    <t>송정동</t>
    <phoneticPr fontId="47" type="noConversion"/>
  </si>
  <si>
    <t>180-1 늘해랑 제3층 제302호</t>
    <phoneticPr fontId="47" type="noConversion"/>
  </si>
  <si>
    <t>5층 공동주택(도시형생활주택)</t>
    <phoneticPr fontId="47" type="noConversion"/>
  </si>
  <si>
    <t>536.92분의 33.74</t>
    <phoneticPr fontId="47" type="noConversion"/>
  </si>
  <si>
    <t>미합중국인 하*****</t>
    <phoneticPr fontId="47" type="noConversion"/>
  </si>
  <si>
    <t>산46외 1필지 제102동 제3층 제303호</t>
    <phoneticPr fontId="47" type="noConversion"/>
  </si>
  <si>
    <t>13857분의 58.864</t>
    <phoneticPr fontId="47" type="noConversion"/>
  </si>
  <si>
    <t>정릉동</t>
    <phoneticPr fontId="47" type="noConversion"/>
  </si>
  <si>
    <t>266-55 제3층 제301호</t>
    <phoneticPr fontId="47" type="noConversion"/>
  </si>
  <si>
    <t>4층 연립주택</t>
    <phoneticPr fontId="47" type="noConversion"/>
  </si>
  <si>
    <t>440분의 19.56</t>
    <phoneticPr fontId="47" type="noConversion"/>
  </si>
  <si>
    <t>2034-8 수림빌라트 제3층 제302호</t>
    <phoneticPr fontId="47" type="noConversion"/>
  </si>
  <si>
    <t>232.8분의 29.33</t>
    <phoneticPr fontId="47" type="noConversion"/>
  </si>
  <si>
    <t>정읍시</t>
    <phoneticPr fontId="47" type="noConversion"/>
  </si>
  <si>
    <t>농소동</t>
    <phoneticPr fontId="47" type="noConversion"/>
  </si>
  <si>
    <t>230-75(토지)</t>
    <phoneticPr fontId="47" type="noConversion"/>
  </si>
  <si>
    <t>권**</t>
    <phoneticPr fontId="47" type="noConversion"/>
  </si>
  <si>
    <t>석수동</t>
    <phoneticPr fontId="47" type="noConversion"/>
  </si>
  <si>
    <t>265-18 대광빌라 제가동 제1층 제101호</t>
    <phoneticPr fontId="47" type="noConversion"/>
  </si>
  <si>
    <t>3층 다세대주택</t>
    <phoneticPr fontId="47" type="noConversion"/>
  </si>
  <si>
    <t>221.4분의 27.675</t>
    <phoneticPr fontId="47" type="noConversion"/>
  </si>
  <si>
    <t>작전동</t>
    <phoneticPr fontId="47" type="noConversion"/>
  </si>
  <si>
    <t>382-1 한신아파트 제3동 제11층 제1108호</t>
    <phoneticPr fontId="47" type="noConversion"/>
  </si>
  <si>
    <t>10868분의 44.18</t>
    <phoneticPr fontId="47" type="noConversion"/>
  </si>
  <si>
    <t>석남동</t>
    <phoneticPr fontId="47" type="noConversion"/>
  </si>
  <si>
    <t>569-28 제2층 제301호</t>
    <phoneticPr fontId="47" type="noConversion"/>
  </si>
  <si>
    <t>2층 다세대주택</t>
    <phoneticPr fontId="47" type="noConversion"/>
  </si>
  <si>
    <t>257.5분의 42.91</t>
    <phoneticPr fontId="47" type="noConversion"/>
  </si>
  <si>
    <t>양산시</t>
    <phoneticPr fontId="47" type="noConversion"/>
  </si>
  <si>
    <t>소주동</t>
    <phoneticPr fontId="47" type="noConversion"/>
  </si>
  <si>
    <t>147-1외 26필지 천성리버타운 제119동 제2층 제203호</t>
    <phoneticPr fontId="47" type="noConversion"/>
  </si>
  <si>
    <t>20층 공동주택</t>
    <phoneticPr fontId="47" type="noConversion"/>
  </si>
  <si>
    <t>71925분의 21.392</t>
    <phoneticPr fontId="47" type="noConversion"/>
  </si>
  <si>
    <t>불은면 넙성리</t>
    <phoneticPr fontId="47" type="noConversion"/>
  </si>
  <si>
    <t>580(토지)</t>
    <phoneticPr fontId="47" type="noConversion"/>
  </si>
  <si>
    <t>580(건물)</t>
    <phoneticPr fontId="47" type="noConversion"/>
  </si>
  <si>
    <t>단층 단독주택</t>
    <phoneticPr fontId="47" type="noConversion"/>
  </si>
  <si>
    <t>337 수곡동주공아파트 제302동 제15층 제1509호</t>
    <phoneticPr fontId="47" type="noConversion"/>
  </si>
  <si>
    <t>15559.10분의 39.1288</t>
    <phoneticPr fontId="47" type="noConversion"/>
  </si>
  <si>
    <t>심곡동</t>
    <phoneticPr fontId="47" type="noConversion"/>
  </si>
  <si>
    <t>336-1 태강탑스빌 제1동 제2층 제204호</t>
    <phoneticPr fontId="47" type="noConversion"/>
  </si>
  <si>
    <t>320분의 22.6418</t>
    <phoneticPr fontId="47" type="noConversion"/>
  </si>
  <si>
    <t>추후제공</t>
    <phoneticPr fontId="47" type="noConversion"/>
  </si>
  <si>
    <t>창동</t>
    <phoneticPr fontId="47" type="noConversion"/>
  </si>
  <si>
    <t>45 삼성아파트 제104동 제18층 제1802호</t>
    <phoneticPr fontId="47" type="noConversion"/>
  </si>
  <si>
    <t>66066분의 31.60</t>
    <phoneticPr fontId="47" type="noConversion"/>
  </si>
  <si>
    <t>조**</t>
    <phoneticPr fontId="47" type="noConversion"/>
  </si>
  <si>
    <t>4층 공동주택(다세대주택)</t>
    <phoneticPr fontId="47" type="noConversion"/>
  </si>
  <si>
    <t>USD</t>
    <phoneticPr fontId="47" type="noConversion"/>
  </si>
  <si>
    <t>계산동</t>
    <phoneticPr fontId="47" type="noConversion"/>
  </si>
  <si>
    <t>904-13 제지하층 제2호</t>
    <phoneticPr fontId="47" type="noConversion"/>
  </si>
  <si>
    <t>135.9분의 16.98</t>
    <phoneticPr fontId="47" type="noConversion"/>
  </si>
  <si>
    <t>349-499외 1필지 제지층 제02호</t>
    <phoneticPr fontId="47" type="noConversion"/>
  </si>
  <si>
    <t>109분의 10.9</t>
    <phoneticPr fontId="47" type="noConversion"/>
  </si>
  <si>
    <t>768-95 동방빌리지 제1동 제3층 제302호</t>
    <phoneticPr fontId="47" type="noConversion"/>
  </si>
  <si>
    <t>140분의 17.5</t>
    <phoneticPr fontId="47" type="noConversion"/>
  </si>
  <si>
    <t>구갈동</t>
    <phoneticPr fontId="47" type="noConversion"/>
  </si>
  <si>
    <t>344 가현마을신안아파트 제602동 제15동 제1503호</t>
    <phoneticPr fontId="47" type="noConversion"/>
  </si>
  <si>
    <t>23750.7분의 60.740</t>
    <phoneticPr fontId="47" type="noConversion"/>
  </si>
  <si>
    <t>617-22 신원아침도시 제에이동 제15층 제102-1506호</t>
    <phoneticPr fontId="47" type="noConversion"/>
  </si>
  <si>
    <t>15층 오피스텔</t>
    <phoneticPr fontId="47" type="noConversion"/>
  </si>
  <si>
    <t>6978분의 37.35</t>
    <phoneticPr fontId="47" type="noConversion"/>
  </si>
  <si>
    <t>금오동</t>
    <phoneticPr fontId="47" type="noConversion"/>
  </si>
  <si>
    <t>221-11 양주빌라 제3층 제302호</t>
    <phoneticPr fontId="47" type="noConversion"/>
  </si>
  <si>
    <t>431분의 39.03</t>
    <phoneticPr fontId="47" type="noConversion"/>
  </si>
  <si>
    <t>동작구</t>
    <phoneticPr fontId="47" type="noConversion"/>
  </si>
  <si>
    <t>상도동</t>
    <phoneticPr fontId="47" type="noConversion"/>
  </si>
  <si>
    <t>335-67 제4층 제402호</t>
    <phoneticPr fontId="47" type="noConversion"/>
  </si>
  <si>
    <t>331분의 32.21</t>
    <phoneticPr fontId="47" type="noConversion"/>
  </si>
  <si>
    <t>갈마동</t>
    <phoneticPr fontId="47" type="noConversion"/>
  </si>
  <si>
    <t>912 좋은하루 제1동 제5층 제501호</t>
    <phoneticPr fontId="47" type="noConversion"/>
  </si>
  <si>
    <t>15층 공동주택(도시형생활주택)</t>
    <phoneticPr fontId="47" type="noConversion"/>
  </si>
  <si>
    <t>636.4분의 7.0205</t>
    <phoneticPr fontId="47" type="noConversion"/>
  </si>
  <si>
    <t>115-1외 1필지 주안웰가 제4층 제405호</t>
    <phoneticPr fontId="47" type="noConversion"/>
  </si>
  <si>
    <t>1173.2분의 2.9290</t>
    <phoneticPr fontId="47" type="noConversion"/>
  </si>
  <si>
    <t>724-5 중앙그린빌라 제가동 제3층 제301호</t>
    <phoneticPr fontId="47" type="noConversion"/>
  </si>
  <si>
    <t>410분의 26.326</t>
    <phoneticPr fontId="47" type="noConversion"/>
  </si>
  <si>
    <t>화천군</t>
    <phoneticPr fontId="47" type="noConversion"/>
  </si>
  <si>
    <t>사내면 광덕리</t>
    <phoneticPr fontId="47" type="noConversion"/>
  </si>
  <si>
    <t>430-3(토지)</t>
    <phoneticPr fontId="47" type="noConversion"/>
  </si>
  <si>
    <t>각 3분의 1</t>
    <phoneticPr fontId="47" type="noConversion"/>
  </si>
  <si>
    <t>김**,정**,한**</t>
    <phoneticPr fontId="47" type="noConversion"/>
  </si>
  <si>
    <t>2008-01-10 소유권이전등기등 말소등기청구권 가처분(춘천지방법원 2008카단36) 존재함/</t>
    <phoneticPr fontId="47" type="noConversion"/>
  </si>
  <si>
    <t>430-4(토지)</t>
    <phoneticPr fontId="47" type="noConversion"/>
  </si>
  <si>
    <t>1304-15 제4층 제401호</t>
    <phoneticPr fontId="47" type="noConversion"/>
  </si>
  <si>
    <t>15분의 1</t>
    <phoneticPr fontId="47" type="noConversion"/>
  </si>
  <si>
    <t>가정동</t>
    <phoneticPr fontId="47" type="noConversion"/>
  </si>
  <si>
    <t>560-30 제9동 제2층 제202호</t>
    <phoneticPr fontId="47" type="noConversion"/>
  </si>
  <si>
    <t>199.1분의 25.1881</t>
    <phoneticPr fontId="47" type="noConversion"/>
  </si>
  <si>
    <t>달성군</t>
    <phoneticPr fontId="47" type="noConversion"/>
  </si>
  <si>
    <t>논공읍 남리</t>
    <phoneticPr fontId="47" type="noConversion"/>
  </si>
  <si>
    <t>224 삼주 제106동 제3층 제313호</t>
    <phoneticPr fontId="47" type="noConversion"/>
  </si>
  <si>
    <t>20030분의 56.32</t>
    <phoneticPr fontId="47" type="noConversion"/>
  </si>
  <si>
    <t>도화동</t>
    <phoneticPr fontId="47" type="noConversion"/>
  </si>
  <si>
    <t>502-1 제에이동 제3층 제302호</t>
    <phoneticPr fontId="47" type="noConversion"/>
  </si>
  <si>
    <t>335.1분의 20.98</t>
    <phoneticPr fontId="47" type="noConversion"/>
  </si>
  <si>
    <t>화도읍 마석우리</t>
    <phoneticPr fontId="47" type="noConversion"/>
  </si>
  <si>
    <t>71 마석그랜드힐아파트 제101동 제1층 제107호</t>
    <phoneticPr fontId="47" type="noConversion"/>
  </si>
  <si>
    <t>26989분의 40.4464</t>
    <phoneticPr fontId="47" type="noConversion"/>
  </si>
  <si>
    <t>2011-07-14 근저당권 변경계약(104,400,000원에서 45,000,000원) 존재함/</t>
    <phoneticPr fontId="47" type="noConversion"/>
  </si>
  <si>
    <t>숭의동</t>
    <phoneticPr fontId="47" type="noConversion"/>
  </si>
  <si>
    <t>248-166 제3층 제303호</t>
    <phoneticPr fontId="47" type="noConversion"/>
  </si>
  <si>
    <t>304분의 23</t>
    <phoneticPr fontId="47" type="noConversion"/>
  </si>
  <si>
    <t>장곡동</t>
    <phoneticPr fontId="47" type="noConversion"/>
  </si>
  <si>
    <t>806 숲속마을아파트 제223동 제4층 제403호</t>
    <phoneticPr fontId="47" type="noConversion"/>
  </si>
  <si>
    <t>29714.5분의 33.79</t>
    <phoneticPr fontId="47" type="noConversion"/>
  </si>
  <si>
    <t>349-680 제4층 제402호</t>
    <phoneticPr fontId="47" type="noConversion"/>
  </si>
  <si>
    <t>성남시 분당구</t>
    <phoneticPr fontId="47" type="noConversion"/>
  </si>
  <si>
    <t>67-3 제지층 제103호</t>
    <phoneticPr fontId="47" type="noConversion"/>
  </si>
  <si>
    <t>3층 다세대주택(9가구)</t>
    <phoneticPr fontId="47" type="noConversion"/>
  </si>
  <si>
    <t>586분의 41.88</t>
    <phoneticPr fontId="47" type="noConversion"/>
  </si>
  <si>
    <t>2011-03-24 근저당권 변경계약(72,000,000원에서 44,400,000원) 존재함/</t>
    <phoneticPr fontId="47" type="noConversion"/>
  </si>
  <si>
    <t>달성동</t>
    <phoneticPr fontId="47" type="noConversion"/>
  </si>
  <si>
    <t>29-9(토지)</t>
    <phoneticPr fontId="47" type="noConversion"/>
  </si>
  <si>
    <t>한**,권**</t>
    <phoneticPr fontId="47" type="noConversion"/>
  </si>
  <si>
    <t>29-9(건물)</t>
    <phoneticPr fontId="47" type="noConversion"/>
  </si>
  <si>
    <t>단층 주택</t>
    <phoneticPr fontId="47" type="noConversion"/>
  </si>
  <si>
    <t>456-58 영화빌라 제에이동 제4층 제402호</t>
    <phoneticPr fontId="47" type="noConversion"/>
  </si>
  <si>
    <t>113분의 12.64</t>
    <phoneticPr fontId="47" type="noConversion"/>
  </si>
  <si>
    <t>연희동</t>
    <phoneticPr fontId="47" type="noConversion"/>
  </si>
  <si>
    <t>519-68 제3층 제301호</t>
    <phoneticPr fontId="47" type="noConversion"/>
  </si>
  <si>
    <t>151분의 18.875</t>
    <phoneticPr fontId="47" type="noConversion"/>
  </si>
  <si>
    <t>경주시</t>
    <phoneticPr fontId="47" type="noConversion"/>
  </si>
  <si>
    <t>강동면 유금리</t>
    <phoneticPr fontId="47" type="noConversion"/>
  </si>
  <si>
    <t>378외 2필지 위덕삼성타운 제108동 제1층 제107호</t>
    <phoneticPr fontId="47" type="noConversion"/>
  </si>
  <si>
    <t>5층 공동주택(아파트)</t>
    <phoneticPr fontId="47" type="noConversion"/>
  </si>
  <si>
    <t>58181분의 53.99</t>
    <phoneticPr fontId="47" type="noConversion"/>
  </si>
  <si>
    <t>768-98외 1필지 원앙빌리지 제5동 제지하층 제비01호</t>
    <phoneticPr fontId="47" type="noConversion"/>
  </si>
  <si>
    <t>14분의 1</t>
    <phoneticPr fontId="47" type="noConversion"/>
  </si>
  <si>
    <t>306-101 팬더빌라 제2동 제지하층 제01호</t>
    <phoneticPr fontId="47" type="noConversion"/>
  </si>
  <si>
    <t>147분의 14.7</t>
    <phoneticPr fontId="47" type="noConversion"/>
  </si>
  <si>
    <t>광주광역시</t>
    <phoneticPr fontId="47" type="noConversion"/>
  </si>
  <si>
    <t>광산구</t>
    <phoneticPr fontId="47" type="noConversion"/>
  </si>
  <si>
    <t>우산동</t>
    <phoneticPr fontId="47" type="noConversion"/>
  </si>
  <si>
    <t>1039-5 제202동 제7층 제808호</t>
    <phoneticPr fontId="47" type="noConversion"/>
  </si>
  <si>
    <t>419350분의 2111</t>
    <phoneticPr fontId="47" type="noConversion"/>
  </si>
  <si>
    <t>노원구</t>
    <phoneticPr fontId="47" type="noConversion"/>
  </si>
  <si>
    <t>상계동</t>
    <phoneticPr fontId="47" type="noConversion"/>
  </si>
  <si>
    <t>1048-43외 1필지 제4층 제402호</t>
    <phoneticPr fontId="47" type="noConversion"/>
  </si>
  <si>
    <t>477분의 15.39</t>
    <phoneticPr fontId="47" type="noConversion"/>
  </si>
  <si>
    <t>2015-05-29 근저당권 변경계약(44,400,000원에서 15,600,000)/
2015-06-18 근저당권 변경계약(15,600,000원에서 12,000,000)/</t>
    <phoneticPr fontId="47" type="noConversion"/>
  </si>
  <si>
    <t>거여동</t>
    <phoneticPr fontId="47" type="noConversion"/>
  </si>
  <si>
    <t>293 거여4단지아파트 제405동 제10층 제1002호</t>
    <phoneticPr fontId="47" type="noConversion"/>
  </si>
  <si>
    <t>12층 아파트</t>
    <phoneticPr fontId="47" type="noConversion"/>
  </si>
  <si>
    <t>15688.7분의 28.222</t>
    <phoneticPr fontId="47" type="noConversion"/>
  </si>
  <si>
    <t>송**,전**</t>
    <phoneticPr fontId="47" type="noConversion"/>
  </si>
  <si>
    <t>초평면 용기리</t>
    <phoneticPr fontId="47" type="noConversion"/>
  </si>
  <si>
    <t>658-3(토지)</t>
    <phoneticPr fontId="47" type="noConversion"/>
  </si>
  <si>
    <t>658-3(건물)</t>
    <phoneticPr fontId="47" type="noConversion"/>
  </si>
  <si>
    <t>단층주택</t>
    <phoneticPr fontId="47" type="noConversion"/>
  </si>
  <si>
    <t>659-1(토지)</t>
    <phoneticPr fontId="47" type="noConversion"/>
  </si>
  <si>
    <t>의정부동</t>
    <phoneticPr fontId="47" type="noConversion"/>
  </si>
  <si>
    <t>220-110 한라비발디루트 제103동 제10층 제1004호</t>
    <phoneticPr fontId="47" type="noConversion"/>
  </si>
  <si>
    <t>20층 공동주택 근린생활시설</t>
    <phoneticPr fontId="47" type="noConversion"/>
  </si>
  <si>
    <t>5448.2분의 17.67</t>
    <phoneticPr fontId="47" type="noConversion"/>
  </si>
  <si>
    <t>260-1외 1필지 상아아파트 제디동 제5층 제509호</t>
    <phoneticPr fontId="47" type="noConversion"/>
  </si>
  <si>
    <t>6991.5분의 47.2</t>
    <phoneticPr fontId="47" type="noConversion"/>
  </si>
  <si>
    <t>진천읍 읍내리</t>
    <phoneticPr fontId="47" type="noConversion"/>
  </si>
  <si>
    <t>471-240 제가동 제3층 제3호</t>
    <phoneticPr fontId="47" type="noConversion"/>
  </si>
  <si>
    <t>29800분의 3311</t>
    <phoneticPr fontId="47" type="noConversion"/>
  </si>
  <si>
    <t>칠곡군</t>
    <phoneticPr fontId="47" type="noConversion"/>
  </si>
  <si>
    <t>약목면 교리</t>
    <phoneticPr fontId="47" type="noConversion"/>
  </si>
  <si>
    <t>513-9(토지)</t>
    <phoneticPr fontId="47" type="noConversion"/>
  </si>
  <si>
    <t>513-9 제에이동호(건물)</t>
    <phoneticPr fontId="47" type="noConversion"/>
  </si>
  <si>
    <t>2층 공장외</t>
    <phoneticPr fontId="47" type="noConversion"/>
  </si>
  <si>
    <t>513-9 제비동호(건물)</t>
    <phoneticPr fontId="47" type="noConversion"/>
  </si>
  <si>
    <t>3층 공장외</t>
    <phoneticPr fontId="47" type="noConversion"/>
  </si>
  <si>
    <t>513-9 제디동호(건물)</t>
    <phoneticPr fontId="47" type="noConversion"/>
  </si>
  <si>
    <t>단층 공장(위험물저장소)</t>
    <phoneticPr fontId="47" type="noConversion"/>
  </si>
  <si>
    <t>513-14(토지)</t>
    <phoneticPr fontId="47" type="noConversion"/>
  </si>
  <si>
    <t>㈜태산**</t>
    <phoneticPr fontId="47" type="noConversion"/>
  </si>
  <si>
    <t>Property Basic Information</t>
    <phoneticPr fontId="13" type="noConversion"/>
  </si>
  <si>
    <t>Property
일련번호</t>
    <phoneticPr fontId="13" type="noConversion"/>
  </si>
  <si>
    <t>한정근</t>
    <phoneticPr fontId="47" type="noConversion"/>
  </si>
  <si>
    <t>신한은행</t>
    <phoneticPr fontId="47" type="noConversion"/>
  </si>
  <si>
    <t>A</t>
    <phoneticPr fontId="47" type="noConversion"/>
  </si>
  <si>
    <t>중소기업은행</t>
    <phoneticPr fontId="47" type="noConversion"/>
  </si>
  <si>
    <t>타기관</t>
    <phoneticPr fontId="47" type="noConversion"/>
  </si>
  <si>
    <t>B</t>
    <phoneticPr fontId="47" type="noConversion"/>
  </si>
  <si>
    <t>농업협동조합자산관리회사</t>
    <phoneticPr fontId="47" type="noConversion"/>
  </si>
  <si>
    <t>포괄근</t>
    <phoneticPr fontId="47" type="noConversion"/>
  </si>
  <si>
    <t>3건물 2014-07-17 추가설정계약임/</t>
    <phoneticPr fontId="47" type="noConversion"/>
  </si>
  <si>
    <t>근저당권 일부이전됨(2016-03-31 신용보증기금 1,052,672,646원)/</t>
    <phoneticPr fontId="47" type="noConversion"/>
  </si>
  <si>
    <t>동대구농업협동조합</t>
    <phoneticPr fontId="47" type="noConversion"/>
  </si>
  <si>
    <t>드림상호저축은행</t>
    <phoneticPr fontId="47" type="noConversion"/>
  </si>
  <si>
    <t>나**</t>
    <phoneticPr fontId="47" type="noConversion"/>
  </si>
  <si>
    <t>영원**㈜</t>
    <phoneticPr fontId="47" type="noConversion"/>
  </si>
  <si>
    <t>근저당권 일부이전됨(2016-04-22, 기술신용보증기금, 136,690,609원)/</t>
    <phoneticPr fontId="47" type="noConversion"/>
  </si>
  <si>
    <t>2건물 2014-11-05 추가설정계약임/</t>
    <phoneticPr fontId="47" type="noConversion"/>
  </si>
  <si>
    <t>2건물 2014-11-05 추가설정계약임/</t>
  </si>
  <si>
    <t>공담 아님</t>
    <phoneticPr fontId="47" type="noConversion"/>
  </si>
  <si>
    <t>근저당권 일부이전됨(2016-04-26, 신용보증기금, 100,000,000원)/</t>
    <phoneticPr fontId="47" type="noConversion"/>
  </si>
  <si>
    <t>근저당권 일부이전됨(2016-03-23 기술신용보증기금 237,927,803원)/</t>
    <phoneticPr fontId="47" type="noConversion"/>
  </si>
  <si>
    <t>계약인수에 따른 채무자 변경됨(2012-08-08, 박**에서 곽**)/</t>
    <phoneticPr fontId="47" type="noConversion"/>
  </si>
  <si>
    <t>군산시수산업협동조합</t>
    <phoneticPr fontId="47" type="noConversion"/>
  </si>
  <si>
    <t>군산시수산업협동조합</t>
  </si>
  <si>
    <t>신한은행(타채무자)</t>
    <phoneticPr fontId="47" type="noConversion"/>
  </si>
  <si>
    <t>채무자 R-126 김**/</t>
    <phoneticPr fontId="47" type="noConversion"/>
  </si>
  <si>
    <t>제3동 건물(2012-12-07), 제4동 건물(2013-12-04) 추가설정계약임/</t>
    <phoneticPr fontId="47" type="noConversion"/>
  </si>
  <si>
    <t>제4동 건물 2013-12-04 추가설정계약임/</t>
    <phoneticPr fontId="47" type="noConversion"/>
  </si>
  <si>
    <t>2011-01-04 국민은행으로부터 근저당권이전됨/</t>
    <phoneticPr fontId="47" type="noConversion"/>
  </si>
  <si>
    <t>2011-01-04 국민은행으로부터 근저당권이전됨/
2014-10-10 감액변경됨(221,000,000원에서 220,000,000원)/</t>
    <phoneticPr fontId="47" type="noConversion"/>
  </si>
  <si>
    <t>일동농업협동조합</t>
    <phoneticPr fontId="47" type="noConversion"/>
  </si>
  <si>
    <t>선순위 설정은 전체 지분 중 605분의 580에 대한 설정으로 확인됨/</t>
    <phoneticPr fontId="47" type="noConversion"/>
  </si>
  <si>
    <t>선순위 설정은 토지 전체에 대한 설정임/</t>
    <phoneticPr fontId="47" type="noConversion"/>
  </si>
  <si>
    <t>건물 2014-11-06 추가설정계약임/</t>
    <phoneticPr fontId="47" type="noConversion"/>
  </si>
  <si>
    <t>채무자 변**/</t>
    <phoneticPr fontId="47" type="noConversion"/>
  </si>
  <si>
    <t>근저당권 일부이전됨(2016-04-01, 55,000,000원, 신용보증기금)/</t>
    <phoneticPr fontId="47" type="noConversion"/>
  </si>
  <si>
    <t>기업은행</t>
    <phoneticPr fontId="47" type="noConversion"/>
  </si>
  <si>
    <t>제천북부신용협동조합</t>
    <phoneticPr fontId="47" type="noConversion"/>
  </si>
  <si>
    <t>채무자 전**/</t>
    <phoneticPr fontId="47" type="noConversion"/>
  </si>
  <si>
    <t>구)조흥은행 설정 건임/</t>
    <phoneticPr fontId="47" type="noConversion"/>
  </si>
  <si>
    <t>채무자 김**/
구)조흥은행 설정 건임/</t>
    <phoneticPr fontId="47" type="noConversion"/>
  </si>
  <si>
    <t>확인불가</t>
    <phoneticPr fontId="47" type="noConversion"/>
  </si>
  <si>
    <t>여신문서 부존재 현황서(근저당권설정계약서 없음) 존재함/</t>
    <phoneticPr fontId="47" type="noConversion"/>
  </si>
  <si>
    <t>한국씨티은행</t>
    <phoneticPr fontId="47" type="noConversion"/>
  </si>
  <si>
    <t>우리은행</t>
    <phoneticPr fontId="47" type="noConversion"/>
  </si>
  <si>
    <t>채무자 이**/</t>
    <phoneticPr fontId="47" type="noConversion"/>
  </si>
  <si>
    <t>유니온상호저축은행</t>
    <phoneticPr fontId="47" type="noConversion"/>
  </si>
  <si>
    <t>2006-12-20 계약인수됨(채무자 유**에서 서*)/</t>
    <phoneticPr fontId="47" type="noConversion"/>
  </si>
  <si>
    <t>근저당권설정금액 2014-06-03 변경계약으로 감액됨(최초 설정금액 288,000,000원)/</t>
    <phoneticPr fontId="47" type="noConversion"/>
  </si>
  <si>
    <t>2006-04-26 근저당권 계약인수됨(채무자 김**에서 윤**)/</t>
    <phoneticPr fontId="47" type="noConversion"/>
  </si>
  <si>
    <t>근저당권설정금액 2014-11-06 변경계약으로 감액됨(최초 설정금액 96,000,000원)/</t>
    <phoneticPr fontId="47" type="noConversion"/>
  </si>
  <si>
    <t>특정근</t>
    <phoneticPr fontId="47" type="noConversion"/>
  </si>
  <si>
    <t>기계기구에 대한 양도담보계약임/</t>
    <phoneticPr fontId="47" type="noConversion"/>
  </si>
  <si>
    <t>하나은행</t>
    <phoneticPr fontId="47" type="noConversion"/>
  </si>
  <si>
    <t>2011-07-14 근저당권 변경계약임(104,400,000원에서 45,000,000원)/</t>
    <phoneticPr fontId="47" type="noConversion"/>
  </si>
  <si>
    <t>서광주농업협동조합</t>
    <phoneticPr fontId="47" type="noConversion"/>
  </si>
  <si>
    <t>Field 13</t>
    <phoneticPr fontId="4" type="noConversion"/>
  </si>
  <si>
    <t>담보물 보존 경비료</t>
  </si>
  <si>
    <t>담보물 보존 경비료 등</t>
  </si>
  <si>
    <t>담보물 보존 경비료 등</t>
    <phoneticPr fontId="4" type="noConversion"/>
  </si>
  <si>
    <t>담보물 보험료</t>
  </si>
  <si>
    <t>추후제공예정</t>
    <phoneticPr fontId="4" type="noConversion"/>
  </si>
  <si>
    <t>200000201000456811</t>
  </si>
  <si>
    <t>특정</t>
    <phoneticPr fontId="4" type="noConversion"/>
  </si>
  <si>
    <t>코드</t>
  </si>
  <si>
    <t>분류</t>
  </si>
  <si>
    <t>중복
분류</t>
  </si>
  <si>
    <t>KBAM</t>
  </si>
  <si>
    <t>관련
차주</t>
  </si>
  <si>
    <t>개수</t>
  </si>
  <si>
    <t>%</t>
  </si>
  <si>
    <t>OPB</t>
  </si>
  <si>
    <t>정밀</t>
  </si>
  <si>
    <t>정밀(10억이상)</t>
  </si>
  <si>
    <t>탁감</t>
  </si>
  <si>
    <t>이재동</t>
  </si>
  <si>
    <t>이정행</t>
  </si>
  <si>
    <t>배재형</t>
  </si>
  <si>
    <t>장남권</t>
  </si>
  <si>
    <t>차주제외</t>
  </si>
  <si>
    <t>곽준호</t>
  </si>
  <si>
    <t>계</t>
  </si>
  <si>
    <t>S-012-1</t>
  </si>
  <si>
    <t>S-015-1</t>
  </si>
  <si>
    <t>R-001-1</t>
  </si>
  <si>
    <t>R-002-1</t>
  </si>
  <si>
    <t>R-003-1</t>
  </si>
  <si>
    <t>R-004-1</t>
  </si>
  <si>
    <t>R-004-2</t>
  </si>
  <si>
    <t>R-005-1</t>
  </si>
  <si>
    <t>R-005-2</t>
  </si>
  <si>
    <t>R-005-3</t>
  </si>
  <si>
    <t>R-006-1</t>
  </si>
  <si>
    <t>R-006-2</t>
  </si>
  <si>
    <t>R-006-3</t>
  </si>
  <si>
    <t>R-007-1</t>
  </si>
  <si>
    <t>R-008-1</t>
  </si>
  <si>
    <t>R-009-1</t>
  </si>
  <si>
    <t>R-009-2</t>
  </si>
  <si>
    <t>R-011-1</t>
  </si>
  <si>
    <t>R-012-1</t>
  </si>
  <si>
    <t>R-013-1</t>
  </si>
  <si>
    <t>R-013-2</t>
  </si>
  <si>
    <t>R-013-3</t>
  </si>
  <si>
    <t>R-014-1</t>
  </si>
  <si>
    <t>R-015-1</t>
  </si>
  <si>
    <t>R-016-1</t>
  </si>
  <si>
    <t>R-016-2</t>
  </si>
  <si>
    <t>R-017-1</t>
  </si>
  <si>
    <t>R-018-1</t>
  </si>
  <si>
    <t>R-019-1</t>
  </si>
  <si>
    <t>R-020-1</t>
  </si>
  <si>
    <t>R-020-2</t>
  </si>
  <si>
    <t>R-021-1</t>
  </si>
  <si>
    <t>R-022-1</t>
  </si>
  <si>
    <t>R-023-1</t>
  </si>
  <si>
    <t>R-023-2</t>
  </si>
  <si>
    <t>R-024-1</t>
  </si>
  <si>
    <t>R-024-2</t>
  </si>
  <si>
    <t>R-025-1</t>
  </si>
  <si>
    <t>R-026-1</t>
  </si>
  <si>
    <t>R-027-1</t>
  </si>
  <si>
    <t>R-028-1</t>
  </si>
  <si>
    <t>R-029-1</t>
  </si>
  <si>
    <t>R-030-1</t>
  </si>
  <si>
    <t>R-030-2</t>
  </si>
  <si>
    <t>R-031-1</t>
  </si>
  <si>
    <t>R-031-2</t>
  </si>
  <si>
    <t>R-032-1</t>
  </si>
  <si>
    <t>R-033-1</t>
  </si>
  <si>
    <t>R-034-1</t>
  </si>
  <si>
    <t>R-035-1</t>
  </si>
  <si>
    <t>R-036-1</t>
  </si>
  <si>
    <t>R-037-1</t>
  </si>
  <si>
    <t>R-038-1</t>
  </si>
  <si>
    <t>R-039-1</t>
  </si>
  <si>
    <t>R-040-1</t>
  </si>
  <si>
    <t>R-041-1</t>
  </si>
  <si>
    <t>R-042-1</t>
  </si>
  <si>
    <t>R-042-2</t>
  </si>
  <si>
    <t>R-043-1</t>
  </si>
  <si>
    <t>R-044-1</t>
  </si>
  <si>
    <t>R-045-1</t>
  </si>
  <si>
    <t>R-045-2</t>
  </si>
  <si>
    <t>R-045-3</t>
  </si>
  <si>
    <t>R-046-1</t>
  </si>
  <si>
    <t>R-047-1</t>
  </si>
  <si>
    <t>R-048-1</t>
  </si>
  <si>
    <t>R-049-1</t>
  </si>
  <si>
    <t>R-050-1</t>
  </si>
  <si>
    <t>R-051-1</t>
  </si>
  <si>
    <t>R-052-1</t>
  </si>
  <si>
    <t>R-053-1</t>
  </si>
  <si>
    <t>R-054-1</t>
  </si>
  <si>
    <t>R-055-1</t>
  </si>
  <si>
    <t>R-056-1</t>
  </si>
  <si>
    <t>R-057-1</t>
  </si>
  <si>
    <t>R-058-1</t>
  </si>
  <si>
    <t>R-059-1</t>
  </si>
  <si>
    <t>R-060-1</t>
  </si>
  <si>
    <t>R-061-1</t>
  </si>
  <si>
    <t>R-062-1</t>
  </si>
  <si>
    <t>R-063-1</t>
  </si>
  <si>
    <t>R-064-1</t>
  </si>
  <si>
    <t>R-065-1</t>
  </si>
  <si>
    <t>R-066-1</t>
  </si>
  <si>
    <t>R-066-2</t>
  </si>
  <si>
    <t>R-067-1</t>
  </si>
  <si>
    <t>R-067-2</t>
  </si>
  <si>
    <t>R-067-3</t>
  </si>
  <si>
    <t>R-067-4</t>
  </si>
  <si>
    <t>R-068-1</t>
  </si>
  <si>
    <t>R-069-1</t>
  </si>
  <si>
    <t>R-070-1</t>
  </si>
  <si>
    <t>R-071-1</t>
  </si>
  <si>
    <t>R-072-1</t>
  </si>
  <si>
    <t>R-073-1</t>
  </si>
  <si>
    <t>R-074-1</t>
  </si>
  <si>
    <t>R-075-1</t>
  </si>
  <si>
    <t>R-076-1</t>
  </si>
  <si>
    <t>R-077-1</t>
  </si>
  <si>
    <t>R-078-1</t>
  </si>
  <si>
    <t>R-079-1</t>
  </si>
  <si>
    <t>R-080-1</t>
  </si>
  <si>
    <t>R-081-1</t>
  </si>
  <si>
    <t>R-082-1</t>
  </si>
  <si>
    <t>R-083-1</t>
  </si>
  <si>
    <t>R-084-1</t>
  </si>
  <si>
    <t>R-085-1</t>
  </si>
  <si>
    <t>R-086-1</t>
  </si>
  <si>
    <t>R-087-1</t>
  </si>
  <si>
    <t>R-088-1</t>
  </si>
  <si>
    <t>R-089-1</t>
  </si>
  <si>
    <t>R-090-1</t>
  </si>
  <si>
    <t>R-091-1</t>
  </si>
  <si>
    <t>R-092-1</t>
  </si>
  <si>
    <t>R-093-1</t>
  </si>
  <si>
    <t>R-094-1</t>
  </si>
  <si>
    <t>R-095-1</t>
  </si>
  <si>
    <t>R-096-1</t>
  </si>
  <si>
    <t>R-097-1</t>
  </si>
  <si>
    <t>R-099-1</t>
  </si>
  <si>
    <t>R-100-1</t>
  </si>
  <si>
    <t>R-101-1</t>
  </si>
  <si>
    <t>R-102-1</t>
  </si>
  <si>
    <t>R-103-1</t>
  </si>
  <si>
    <t>R-104-1</t>
  </si>
  <si>
    <t>R-105-1</t>
  </si>
  <si>
    <t>R-106-1</t>
  </si>
  <si>
    <t>R-107-1</t>
  </si>
  <si>
    <t>R-108-1</t>
  </si>
  <si>
    <t>R-109-1</t>
  </si>
  <si>
    <t>R-110-1</t>
  </si>
  <si>
    <t>R-111-1</t>
  </si>
  <si>
    <t>R-112-1</t>
  </si>
  <si>
    <t>R-113-1</t>
  </si>
  <si>
    <t>R-114-1</t>
  </si>
  <si>
    <t>R-115-1</t>
  </si>
  <si>
    <t>R-116-1</t>
  </si>
  <si>
    <t>R-117-1</t>
  </si>
  <si>
    <t>R-118-1</t>
  </si>
  <si>
    <t>R-119-1</t>
  </si>
  <si>
    <t>R-120-1</t>
  </si>
  <si>
    <t>R-121-1</t>
  </si>
  <si>
    <t>R-122-1</t>
  </si>
  <si>
    <t>R-123-1</t>
  </si>
  <si>
    <t>R-124-1</t>
  </si>
  <si>
    <t>R-125-1</t>
  </si>
  <si>
    <t>R-126-1</t>
  </si>
  <si>
    <t>R-127-1</t>
  </si>
  <si>
    <t>R-128-1</t>
  </si>
  <si>
    <t>R-129-1</t>
  </si>
  <si>
    <t>R-130-1</t>
  </si>
  <si>
    <t>R-131-1</t>
  </si>
  <si>
    <t>R-132-1</t>
  </si>
  <si>
    <t>R-133-1</t>
  </si>
  <si>
    <t>R-134-1</t>
  </si>
  <si>
    <t>R-135-1</t>
  </si>
  <si>
    <t>R-136-1</t>
  </si>
  <si>
    <t>R-137-1</t>
  </si>
  <si>
    <t>R-137-2</t>
  </si>
  <si>
    <t>R-138-1</t>
  </si>
  <si>
    <t>R-139-1</t>
  </si>
  <si>
    <t>R-140-1</t>
  </si>
  <si>
    <t>R-141-1</t>
  </si>
  <si>
    <t>R-142-1</t>
  </si>
  <si>
    <t>R-144-1</t>
  </si>
  <si>
    <t>R-145-1</t>
  </si>
  <si>
    <t>R-146-1</t>
  </si>
  <si>
    <t>R-147-1</t>
  </si>
  <si>
    <t>R-148-1</t>
  </si>
  <si>
    <t>R-149-1</t>
  </si>
  <si>
    <t>R-150-1</t>
  </si>
  <si>
    <t>R-151-1</t>
  </si>
  <si>
    <t>R-152-1</t>
  </si>
  <si>
    <t>R-153-1</t>
  </si>
  <si>
    <t>R-154-1</t>
  </si>
  <si>
    <t>R-155-1</t>
  </si>
  <si>
    <t>R-157-1</t>
  </si>
  <si>
    <t>R-158-1</t>
  </si>
  <si>
    <t>R-159-1</t>
  </si>
  <si>
    <t>R-160-1</t>
  </si>
  <si>
    <t>R-160-2</t>
  </si>
  <si>
    <t>R-161-1</t>
  </si>
  <si>
    <t>R-162-1</t>
  </si>
  <si>
    <t>R-163-1</t>
  </si>
  <si>
    <t>R-164-1</t>
  </si>
  <si>
    <t>R-165-1</t>
  </si>
  <si>
    <t>R-166-1</t>
  </si>
  <si>
    <t>R-167-1</t>
  </si>
  <si>
    <t>R-168-1</t>
  </si>
  <si>
    <t>R-170-1</t>
  </si>
  <si>
    <t>R-171-1</t>
  </si>
  <si>
    <t>R-172-1</t>
  </si>
  <si>
    <t>R-173-1</t>
  </si>
  <si>
    <t>R-174-1</t>
  </si>
  <si>
    <t>R-175-1</t>
  </si>
  <si>
    <t>R-175-2</t>
  </si>
  <si>
    <t>R-176-1</t>
  </si>
  <si>
    <t>R-177-1</t>
  </si>
  <si>
    <t>R-178-1</t>
  </si>
  <si>
    <t>R-178-2</t>
  </si>
  <si>
    <t>R-179-1</t>
  </si>
  <si>
    <t>R-180-1</t>
  </si>
  <si>
    <t>R-181-1</t>
  </si>
  <si>
    <t>R-182-1</t>
  </si>
  <si>
    <t>R-183-1</t>
  </si>
  <si>
    <t>R-184-1</t>
  </si>
  <si>
    <t>R-185-1</t>
  </si>
  <si>
    <t>R-187-1</t>
  </si>
  <si>
    <t>R-188-1</t>
  </si>
  <si>
    <t>R-189-1</t>
  </si>
  <si>
    <t>R-190-1</t>
  </si>
  <si>
    <t>R-191-1</t>
  </si>
  <si>
    <t>R-192-1</t>
  </si>
  <si>
    <t>R-193-1</t>
  </si>
  <si>
    <t>R-194-1</t>
  </si>
  <si>
    <t>R-195-1</t>
  </si>
  <si>
    <t>R-196-1</t>
  </si>
  <si>
    <t>R-197-1</t>
  </si>
  <si>
    <t>R-198-1</t>
  </si>
  <si>
    <t>R-199-1</t>
  </si>
  <si>
    <t>R-200-1</t>
  </si>
  <si>
    <t>R-201-1</t>
  </si>
  <si>
    <t>R-202-1</t>
  </si>
  <si>
    <t>R-203-1</t>
  </si>
  <si>
    <t>R-204-1</t>
  </si>
  <si>
    <t>R-205-1</t>
  </si>
  <si>
    <t>R-206-1</t>
  </si>
  <si>
    <t>R-207-1</t>
  </si>
  <si>
    <t>R-208-1</t>
  </si>
  <si>
    <t>R-209-1</t>
  </si>
  <si>
    <t>R-210-1</t>
  </si>
  <si>
    <t>R-211-1</t>
  </si>
  <si>
    <t>아파트</t>
    <phoneticPr fontId="4" type="noConversion"/>
  </si>
  <si>
    <t>(1/1)</t>
  </si>
  <si>
    <t>(1/2)</t>
  </si>
  <si>
    <t>(2/2)</t>
  </si>
  <si>
    <t>(1/3)</t>
  </si>
  <si>
    <t>(2/3)</t>
  </si>
  <si>
    <t>(3/3)</t>
  </si>
  <si>
    <t>(1/4)</t>
  </si>
  <si>
    <t>(2/4)</t>
  </si>
  <si>
    <t>(3/4)</t>
  </si>
  <si>
    <t>(4/4)</t>
  </si>
  <si>
    <t>정밀</t>
    <phoneticPr fontId="4" type="noConversion"/>
  </si>
  <si>
    <t>탁감</t>
    <phoneticPr fontId="4" type="noConversion"/>
  </si>
  <si>
    <t>평가외</t>
    <phoneticPr fontId="4" type="noConversion"/>
  </si>
  <si>
    <t xml:space="preserve"> 개별 OPB</t>
    <phoneticPr fontId="4" type="noConversion"/>
  </si>
  <si>
    <t>배재형</t>
    <phoneticPr fontId="4" type="noConversion"/>
  </si>
  <si>
    <t>이재동</t>
    <phoneticPr fontId="4" type="noConversion"/>
  </si>
  <si>
    <t>낙찰</t>
    <phoneticPr fontId="4" type="noConversion"/>
  </si>
  <si>
    <t>R-125-1</t>
    <phoneticPr fontId="4" type="noConversion"/>
  </si>
  <si>
    <t>R-130-1</t>
    <phoneticPr fontId="4" type="noConversion"/>
  </si>
  <si>
    <t>R-016-2</t>
    <phoneticPr fontId="4" type="noConversion"/>
  </si>
  <si>
    <t>중복</t>
  </si>
  <si>
    <t>중복</t>
    <phoneticPr fontId="4" type="noConversion"/>
  </si>
  <si>
    <t>곽준호</t>
    <phoneticPr fontId="4" type="noConversion"/>
  </si>
  <si>
    <t>장남권</t>
    <phoneticPr fontId="4" type="noConversion"/>
  </si>
  <si>
    <t>차주실명</t>
    <phoneticPr fontId="4" type="noConversion"/>
  </si>
  <si>
    <t>(주)신동</t>
  </si>
  <si>
    <t>(주)원진산업</t>
  </si>
  <si>
    <t>(주)디에스스틸</t>
  </si>
  <si>
    <t>농업회사법인포시즌주식회사</t>
  </si>
  <si>
    <t>패션체인(주)</t>
  </si>
  <si>
    <t>농업회사법인두리손팜스(주)</t>
  </si>
  <si>
    <t>㈜부흥스크랩</t>
  </si>
  <si>
    <t>㈜대아정공</t>
  </si>
  <si>
    <t>곽천상</t>
  </si>
  <si>
    <t>아트컨스트㈜</t>
  </si>
  <si>
    <t>농가마루주식회사</t>
  </si>
  <si>
    <t>㈜에스에이치이노텍</t>
  </si>
  <si>
    <t>김영길</t>
  </si>
  <si>
    <t>김영준</t>
  </si>
  <si>
    <t>㈜승화중공업</t>
  </si>
  <si>
    <t>농업회사법인㈜세화엔씨</t>
  </si>
  <si>
    <t>문정철</t>
  </si>
  <si>
    <t>강현순</t>
  </si>
  <si>
    <t>㈜다오디스플레이</t>
  </si>
  <si>
    <t>㈜탑플러스</t>
  </si>
  <si>
    <t>한국케이텐㈜</t>
  </si>
  <si>
    <t>㈜예원디자인</t>
  </si>
  <si>
    <t>윤건상</t>
  </si>
  <si>
    <t>성낙균</t>
  </si>
  <si>
    <t>조희원</t>
  </si>
  <si>
    <t>농업회사법인(주)네이쳐스푸드</t>
  </si>
  <si>
    <t>무담보(R010)차이</t>
    <phoneticPr fontId="4" type="noConversion"/>
  </si>
  <si>
    <t>이재동</t>
    <phoneticPr fontId="4" type="noConversion"/>
  </si>
  <si>
    <t>351,351-1,351-2(3토지, 위삼지상 건물),351-3,351-4,산28-7(3토지)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</si>
</sst>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7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24" formatCode="\$#,##0_);[Red]\(\$#,##0\)"/>
    <numFmt numFmtId="176" formatCode="0.0%"/>
    <numFmt numFmtId="177" formatCode="0.00_);[Red]\(0.00\)"/>
    <numFmt numFmtId="178" formatCode="0.0000_);[Red]\(0.0000\)"/>
    <numFmt numFmtId="179" formatCode="\W\R\-#"/>
    <numFmt numFmtId="180" formatCode="###\-###\-######"/>
    <numFmt numFmtId="181" formatCode="0_);[Red]\(0\)"/>
    <numFmt numFmtId="182" formatCode="&quot;Field &quot;#"/>
    <numFmt numFmtId="183" formatCode="0_ "/>
    <numFmt numFmtId="184" formatCode="General\ &quot;점&quot;"/>
    <numFmt numFmtId="185" formatCode="000000\-0000000"/>
    <numFmt numFmtId="186" formatCode="_-* #,##0.00_-;\-* #,##0.00_-;_-* &quot;-&quot;_-;_-@_-"/>
    <numFmt numFmtId="187" formatCode="#,##0&quot;台&quot;"/>
    <numFmt numFmtId="188" formatCode="#."/>
    <numFmt numFmtId="189" formatCode="0.0000%"/>
    <numFmt numFmtId="190" formatCode="yyyy&quot;Ò´&quot;&quot;₩&quot;&quot;₩&quot;\ mm&quot;êÅ&quot;&quot;₩&quot;&quot;₩&quot;\ dd&quot;ìí&quot;"/>
    <numFmt numFmtId="191" formatCode="_ &quot;₩&quot;* #,##0_ ;_ &quot;₩&quot;* \-#,##0_ ;_ &quot;₩&quot;* &quot;-&quot;_ ;_ @_ "/>
    <numFmt numFmtId="192" formatCode="_ &quot;₩&quot;* #,##0_ ;_ &quot;₩&quot;* &quot;₩&quot;&quot;₩&quot;&quot;₩&quot;&quot;₩&quot;&quot;₩&quot;&quot;₩&quot;&quot;₩&quot;\-#,##0_ ;_ &quot;₩&quot;* &quot;-&quot;_ ;_ @_ "/>
    <numFmt numFmtId="193" formatCode="_ &quot;$&quot;* #,##0_ ;_ &quot;$&quot;* \-#,##0_ ;_ &quot;$&quot;* &quot;-&quot;_ ;_ @_ "/>
    <numFmt numFmtId="194" formatCode="&quot;₩&quot;#,##0;[Red]&quot;₩&quot;&quot;-&quot;#,##0"/>
    <numFmt numFmtId="195" formatCode="&quot;₩&quot;#,##0.00;[Red]&quot;₩&quot;\-#,##0.00"/>
    <numFmt numFmtId="196" formatCode="_(&quot;$&quot;* #,##0_);_(&quot;$&quot;* \(#,##0\);_(&quot;$&quot;* &quot;-&quot;_);_(@_)"/>
    <numFmt numFmtId="197" formatCode="&quot;$&quot;#,##0_);[Red]\(&quot;$&quot;#,##0\)"/>
    <numFmt numFmtId="198" formatCode="#.##"/>
    <numFmt numFmtId="199" formatCode="0.0_ "/>
    <numFmt numFmtId="200" formatCode="_ &quot;₩&quot;* #,##0.00_ ;_ &quot;₩&quot;* \-#,##0.00_ ;_ &quot;₩&quot;* &quot;-&quot;??_ ;_ @_ "/>
    <numFmt numFmtId="201" formatCode="_ &quot;₩&quot;* #,##0.00_ ;_ &quot;₩&quot;* &quot;₩&quot;&quot;₩&quot;&quot;₩&quot;&quot;₩&quot;&quot;₩&quot;&quot;₩&quot;&quot;₩&quot;\-#,##0.00_ ;_ &quot;₩&quot;* &quot;-&quot;??_ ;_ @_ "/>
    <numFmt numFmtId="202" formatCode="_ &quot;$&quot;* #,##0.00_ ;_ &quot;$&quot;* \-#,##0.00_ ;_ &quot;$&quot;* &quot;-&quot;??_ ;_ @_ "/>
    <numFmt numFmtId="203" formatCode="&quot;₩&quot;#,##0;[Red]&quot;₩&quot;\-#,##0"/>
    <numFmt numFmtId="204" formatCode="_(&quot;$&quot;* #,##0.00_);_(&quot;$&quot;* \(#,##0.00\);_(&quot;$&quot;* &quot;-&quot;??_);_(@_)"/>
    <numFmt numFmtId="205" formatCode="&quot;$&quot;#,##0.00_);[Red]\(&quot;$&quot;#,##0.00\)"/>
    <numFmt numFmtId="206" formatCode="_ * #,##0_ ;_ * \-#,##0_ ;_ * &quot;-&quot;_ ;_ @_ "/>
    <numFmt numFmtId="207" formatCode="#,##0;[Red]&quot;-&quot;#,##0"/>
    <numFmt numFmtId="208" formatCode="_ * #,##0.00_ ;_ * \-#,##0.00_ ;_ * &quot;-&quot;??_ ;_ @_ "/>
    <numFmt numFmtId="209" formatCode="#,##0.0000;[Red]&quot;-&quot;#,##0.0000"/>
    <numFmt numFmtId="210" formatCode="_ * #,##0.00_ ;_ * &quot;₩&quot;&quot;₩&quot;&quot;₩&quot;&quot;₩&quot;&quot;₩&quot;&quot;₩&quot;&quot;₩&quot;\-#,##0.00_ ;_ * &quot;-&quot;??_ ;_ @_ "/>
    <numFmt numFmtId="211" formatCode="#,##0.00;[Red]&quot;-&quot;#,##0.00"/>
    <numFmt numFmtId="212" formatCode="#,##0.0_ "/>
    <numFmt numFmtId="213" formatCode="_(* #,##0.0_);_(* \(#,##0.0\);_(* &quot;-&quot;?_);@_)"/>
    <numFmt numFmtId="214" formatCode="_-* #,##0.000_-;\-* #,##0.000_-;_-* &quot;-&quot;_-;_-@_-"/>
    <numFmt numFmtId="215" formatCode="General_)"/>
    <numFmt numFmtId="216" formatCode="0.0000000%"/>
    <numFmt numFmtId="217" formatCode="#,##0_%_);\(#,##0\)_%;#,##0_%_);@_%_)"/>
    <numFmt numFmtId="218" formatCode="#,##0.00_%_);\(#,##0.00\)_%;#,##0.00_%_);@_%_)"/>
    <numFmt numFmtId="219" formatCode="&quot;$&quot;#,##0.00_);&quot;₩&quot;\!\(&quot;$&quot;#,##0.00&quot;₩&quot;\!\)"/>
    <numFmt numFmtId="220" formatCode="0.000%"/>
    <numFmt numFmtId="221" formatCode="&quot;$&quot;#,##0_%_);\(&quot;$&quot;#,##0\)_%;&quot;$&quot;#,##0_%_);@_%_)"/>
    <numFmt numFmtId="222" formatCode="&quot;$&quot;#,##0.00_%_);\(&quot;$&quot;#,##0.00\)_%;&quot;$&quot;#,##0.00_%_);@_%_)"/>
    <numFmt numFmtId="223" formatCode="#,##0_ "/>
    <numFmt numFmtId="224" formatCode="&quot;₩&quot;#,##0;&quot;₩&quot;&quot;₩&quot;&quot;₩&quot;&quot;₩&quot;\-#,##0"/>
    <numFmt numFmtId="225" formatCode="_ * #,##0_ ;_ * &quot;₩&quot;\-#,##0_ ;_ * &quot;-&quot;_ ;_ @_ "/>
    <numFmt numFmtId="226" formatCode="m/d/yy_%_)"/>
    <numFmt numFmtId="227" formatCode="* #,##0_%;* \-#,##0_%;* #,##0_%;@_%"/>
    <numFmt numFmtId="228" formatCode="&quot;?#,##0.00;\-&quot;&quot;&quot;&quot;&quot;&quot;&quot;&quot;&quot;&quot;&quot;&quot;&quot;&quot;&quot;&quot;&quot;&quot;&quot;&quot;&quot;&quot;&quot;&quot;&quot;&quot;&quot;&quot;&quot;&quot;&quot;&quot;&quot;&quot;&quot;&quot;&quot;&quot;&quot;&quot;?&quot;&quot;&quot;&quot;&quot;&quot;&quot;&quot;&quot;&quot;&quot;&quot;&quot;&quot;&quot;&quot;&quot;&quot;&quot;&quot;&quot;&quot;&quot;&quot;&quot;&quot;&quot;&quot;&quot;&quot;&quot;&quot;&quot;&quot;&quot;&quot;&quot;&quot;&quot;#,##0.00"/>
    <numFmt numFmtId="229" formatCode="0_%_);\(0\)_%;0_%_);@_%_)"/>
    <numFmt numFmtId="230" formatCode="_-[$€-2]* #,##0.00_-;\-[$€-2]* #,##0.00_-;_-[$€-2]* &quot;-&quot;??_-"/>
    <numFmt numFmtId="231" formatCode="&quot;₩&quot;#,##0.00;&quot;₩&quot;&quot;₩&quot;\-#,##0.00"/>
    <numFmt numFmtId="232" formatCode="0.0\%_);\(0.0\%\);0.0\%_);@_%_)"/>
    <numFmt numFmtId="233" formatCode="_ &quot;₩&quot;* #,##0_ ;_ &quot;₩&quot;* &quot;₩&quot;\-#,##0_ ;_ &quot;₩&quot;* &quot;-&quot;_ ;_ @_ "/>
    <numFmt numFmtId="234" formatCode="#,##0;[Red]&quot;△&quot;#,##0"/>
    <numFmt numFmtId="235" formatCode="\ \ \ #,###"/>
    <numFmt numFmtId="236" formatCode="0.00000000"/>
    <numFmt numFmtId="237" formatCode="_ * #,##0.0000_ ;_ * \-#,##0.0000_ ;_ * &quot;-&quot;_ ;_ @_ "/>
    <numFmt numFmtId="238" formatCode="0.0"/>
    <numFmt numFmtId="239" formatCode="0.00000%"/>
    <numFmt numFmtId="240" formatCode="&quot;SFr.&quot;#,##0;[Red]&quot;SFr.&quot;\-#,##0"/>
    <numFmt numFmtId="241" formatCode="_ * #,##0.00_ ;_ * \-#,##0.00_ ;_ * &quot;-&quot;_ ;_ @_ "/>
    <numFmt numFmtId="242" formatCode="0.000000%"/>
    <numFmt numFmtId="243" formatCode="#,##0&quot;£&quot;_);[Red]\(#,##0&quot;£&quot;\)"/>
    <numFmt numFmtId="244" formatCode="\(0.0%\)"/>
    <numFmt numFmtId="245" formatCode="#,##0&quot;포&quot;"/>
    <numFmt numFmtId="246" formatCode="&quot;₩&quot;#,##0_);&quot;₩&quot;&quot;₩&quot;\(&quot;₩&quot;#,##0&quot;₩&quot;&quot;₩&quot;\)"/>
    <numFmt numFmtId="247" formatCode="#,##0;&quot;△&quot;#,##0"/>
    <numFmt numFmtId="248" formatCode="#,##0_);\(#,##0\)"/>
    <numFmt numFmtId="249" formatCode="_(&quot;$&quot;* #,##0_);_(&quot;$&quot;* &quot;₩&quot;&quot;₩&quot;&quot;₩&quot;&quot;₩&quot;&quot;₩&quot;&quot;₩&quot;\(#,##0&quot;₩&quot;&quot;₩&quot;&quot;₩&quot;&quot;₩&quot;&quot;₩&quot;&quot;₩&quot;\);_(&quot;$&quot;* &quot;-&quot;_);_(@_)"/>
    <numFmt numFmtId="250" formatCode="#,##0&quot;Vial&quot;"/>
    <numFmt numFmtId="251" formatCode="#,##0;[Red]\(#,##0\);\-"/>
    <numFmt numFmtId="252" formatCode="0.000"/>
    <numFmt numFmtId="253" formatCode="#,##0;&quot;-&quot;#,##0"/>
    <numFmt numFmtId="254" formatCode="&quot;$&quot;#,##0.00_);\(&quot;$&quot;#,##0.00\)"/>
    <numFmt numFmtId="255" formatCode="_(* #,##0_);_(* \(#,##0\);_(* &quot;-&quot;_);_(@_)"/>
    <numFmt numFmtId="256" formatCode="_ &quot;₩&quot;* #,##0_ ;_ &quot;₩&quot;* &quot;₩&quot;\!\-#,##0_ ;_ &quot;₩&quot;* &quot;-&quot;_ ;_ @_ "/>
    <numFmt numFmtId="257" formatCode="000000"/>
    <numFmt numFmtId="258" formatCode="#,##0&quot;㎖&quot;"/>
    <numFmt numFmtId="259" formatCode="#,##0&quot;앰플&quot;"/>
    <numFmt numFmtId="260" formatCode="#,##0&quot;g&quot;"/>
    <numFmt numFmtId="261" formatCode="&quot;PG1130&quot;@&quot;01&quot;"/>
    <numFmt numFmtId="262" formatCode="&quot;₩&quot;#,##0;[Red]&quot;₩&quot;\!\-&quot;₩&quot;#,##0"/>
    <numFmt numFmtId="263" formatCode="&quot; ￦&quot;#,##0_);&quot;(￦&quot;#,##0\);&quot; ￦&quot;\-_)"/>
    <numFmt numFmtId="264" formatCode="#0&quot;일&quot;"/>
    <numFmt numFmtId="265" formatCode="#,##0&quot;정&quot;"/>
    <numFmt numFmtId="266" formatCode="#,##0&quot;매&quot;"/>
    <numFmt numFmtId="267" formatCode="&quot;#&quot;##0"/>
    <numFmt numFmtId="268" formatCode="#,##0;[Red]\-#,##0;\-"/>
    <numFmt numFmtId="269" formatCode="[Blue]#,##0.00;[Red]\-#,##0.00"/>
    <numFmt numFmtId="270" formatCode="#,##0&quot;캅셀&quot;"/>
    <numFmt numFmtId="271" formatCode="#,##0\ "/>
    <numFmt numFmtId="272" formatCode="\ \ \ \ \ @"/>
    <numFmt numFmtId="273" formatCode="_-&quot;$&quot;* #,##0_-;\-&quot;$&quot;* #,##0_-;_-&quot;$&quot;* &quot;-&quot;_-;_-@_-"/>
    <numFmt numFmtId="274" formatCode="_-&quot;$&quot;* #,##0.00_-;\-&quot;$&quot;* #,##0.00_-;_-&quot;$&quot;* &quot;-&quot;??_-;_-@_-"/>
    <numFmt numFmtId="275" formatCode="&quot;Field&quot;\ #"/>
    <numFmt numFmtId="276" formatCode="mm&quot;월&quot;\ dd&quot;일&quot;"/>
  </numFmts>
  <fonts count="19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Times New Roman"/>
      <family val="1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name val="Times New Roman"/>
      <family val="1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ajor"/>
    </font>
    <font>
      <sz val="11"/>
      <name val="Times New Roman"/>
      <family val="1"/>
    </font>
    <font>
      <sz val="11"/>
      <color theme="1"/>
      <name val="맑은 고딕"/>
      <family val="3"/>
      <charset val="129"/>
    </font>
    <font>
      <b/>
      <sz val="16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9"/>
      <name val="맑은 고딕"/>
      <family val="3"/>
      <charset val="129"/>
    </font>
    <font>
      <sz val="11"/>
      <name val="맑은 고딕"/>
      <family val="3"/>
      <charset val="129"/>
    </font>
    <font>
      <sz val="14"/>
      <color theme="1"/>
      <name val="맑은 고딕"/>
      <family val="3"/>
      <charset val="129"/>
    </font>
    <font>
      <b/>
      <sz val="14"/>
      <name val="맑은 고딕"/>
      <family val="3"/>
      <charset val="129"/>
    </font>
    <font>
      <sz val="14"/>
      <name val="맑은 고딕"/>
      <family val="3"/>
      <charset val="129"/>
    </font>
    <font>
      <sz val="14"/>
      <name val="맑은 고딕"/>
      <family val="3"/>
      <charset val="129"/>
      <scheme val="major"/>
    </font>
    <font>
      <b/>
      <i/>
      <sz val="9"/>
      <name val="맑은 고딕"/>
      <family val="3"/>
      <charset val="129"/>
    </font>
    <font>
      <b/>
      <sz val="9"/>
      <color indexed="10"/>
      <name val="맑은 고딕"/>
      <family val="3"/>
      <charset val="129"/>
    </font>
    <font>
      <sz val="9"/>
      <color indexed="9"/>
      <name val="맑은 고딕"/>
      <family val="3"/>
      <charset val="129"/>
    </font>
    <font>
      <sz val="9"/>
      <color indexed="9"/>
      <name val="맑은 고딕"/>
      <family val="3"/>
      <charset val="129"/>
      <scheme val="major"/>
    </font>
    <font>
      <sz val="9"/>
      <color indexed="8"/>
      <name val="맑은 고딕"/>
      <family val="3"/>
      <charset val="129"/>
    </font>
    <font>
      <b/>
      <sz val="11"/>
      <name val="돋움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ajor"/>
    </font>
    <font>
      <sz val="11"/>
      <color indexed="8"/>
      <name val="Times New Roman"/>
      <family val="1"/>
    </font>
    <font>
      <sz val="9"/>
      <color theme="0"/>
      <name val="Times New Roman"/>
      <family val="1"/>
    </font>
    <font>
      <sz val="9"/>
      <color indexed="8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i/>
      <sz val="1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i/>
      <sz val="9"/>
      <name val="맑은 고딕"/>
      <family val="3"/>
      <charset val="129"/>
      <scheme val="minor"/>
    </font>
    <font>
      <b/>
      <sz val="9"/>
      <color indexed="10"/>
      <name val="맑은 고딕"/>
      <family val="3"/>
      <charset val="129"/>
      <scheme val="minor"/>
    </font>
    <font>
      <sz val="9"/>
      <color indexed="9"/>
      <name val="맑은 고딕"/>
      <family val="3"/>
      <charset val="129"/>
      <scheme val="minor"/>
    </font>
    <font>
      <sz val="11"/>
      <name val="굴림"/>
      <family val="3"/>
      <charset val="129"/>
    </font>
    <font>
      <sz val="11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9"/>
      <name val="맑은 고딕"/>
      <family val="3"/>
      <charset val="129"/>
      <scheme val="major"/>
    </font>
    <font>
      <sz val="14"/>
      <color theme="1"/>
      <name val="맑은 고딕"/>
      <family val="3"/>
      <charset val="129"/>
      <scheme val="major"/>
    </font>
    <font>
      <b/>
      <sz val="14"/>
      <name val="맑은 고딕"/>
      <family val="3"/>
      <charset val="129"/>
      <scheme val="major"/>
    </font>
    <font>
      <b/>
      <i/>
      <sz val="9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sz val="11"/>
      <color theme="1"/>
      <name val="돋움"/>
      <family val="3"/>
      <charset val="129"/>
    </font>
    <font>
      <sz val="9"/>
      <name val="돋움"/>
      <family val="3"/>
      <charset val="129"/>
    </font>
    <font>
      <b/>
      <i/>
      <sz val="10"/>
      <name val="Arial"/>
      <family val="2"/>
    </font>
    <font>
      <sz val="10"/>
      <color indexed="8"/>
      <name val="맑은 고딕"/>
      <family val="3"/>
      <charset val="129"/>
    </font>
    <font>
      <sz val="10"/>
      <name val="Arial"/>
      <family val="2"/>
    </font>
    <font>
      <sz val="10"/>
      <name val="바탕체"/>
      <family val="1"/>
      <charset val="129"/>
    </font>
    <font>
      <b/>
      <sz val="10"/>
      <name val="MS Sans Serif"/>
      <family val="2"/>
    </font>
    <font>
      <sz val="10"/>
      <name val="MS Sans Serif"/>
      <family val="2"/>
    </font>
    <font>
      <sz val="1"/>
      <color indexed="18"/>
      <name val="Courier"/>
      <family val="3"/>
    </font>
    <font>
      <sz val="12"/>
      <name val="???"/>
      <family val="1"/>
    </font>
    <font>
      <sz val="12"/>
      <name val="바탕체"/>
      <family val="1"/>
      <charset val="129"/>
    </font>
    <font>
      <i/>
      <sz val="12"/>
      <name val="바탕체"/>
      <family val="1"/>
      <charset val="129"/>
    </font>
    <font>
      <sz val="12"/>
      <name val="??????"/>
      <family val="3"/>
    </font>
    <font>
      <u/>
      <sz val="8.4"/>
      <color indexed="12"/>
      <name val="Arial"/>
      <family val="2"/>
    </font>
    <font>
      <sz val="12"/>
      <name val="奔覆眉"/>
      <family val="3"/>
      <charset val="129"/>
    </font>
    <font>
      <sz val="11"/>
      <name val="돋?o"/>
      <family val="3"/>
      <charset val="129"/>
    </font>
    <font>
      <sz val="10"/>
      <name val="굴림체"/>
      <family val="3"/>
      <charset val="129"/>
    </font>
    <font>
      <sz val="11"/>
      <name val="￥i￠￢￠?o"/>
      <family val="3"/>
      <charset val="129"/>
    </font>
    <font>
      <sz val="12"/>
      <name val="System"/>
      <family val="2"/>
      <charset val="129"/>
    </font>
    <font>
      <sz val="12"/>
      <name val="ⓒoUAAA¨u"/>
      <family val="1"/>
      <charset val="129"/>
    </font>
    <font>
      <sz val="10"/>
      <name val="Helv"/>
      <family val="2"/>
    </font>
    <font>
      <sz val="14"/>
      <name val="¾©"/>
      <family val="3"/>
      <charset val="129"/>
    </font>
    <font>
      <sz val="12"/>
      <name val="¾©"/>
      <family val="3"/>
      <charset val="129"/>
    </font>
    <font>
      <sz val="10"/>
      <name val="돋움"/>
      <family val="3"/>
      <charset val="129"/>
    </font>
    <font>
      <sz val="12"/>
      <name val="¹UAAA¼"/>
      <family val="1"/>
      <charset val="129"/>
    </font>
    <font>
      <sz val="9"/>
      <color indexed="8"/>
      <name val="Arial"/>
      <family val="2"/>
    </font>
    <font>
      <sz val="9"/>
      <color indexed="9"/>
      <name val="Arial"/>
      <family val="2"/>
    </font>
    <font>
      <sz val="12"/>
      <name val="굴림체"/>
      <family val="3"/>
      <charset val="129"/>
    </font>
    <font>
      <sz val="11"/>
      <name val="μ¸¿o"/>
      <family val="3"/>
      <charset val="129"/>
    </font>
    <font>
      <sz val="12"/>
      <name val="¸íÁ¶"/>
      <family val="3"/>
      <charset val="129"/>
    </font>
    <font>
      <sz val="12"/>
      <name val="¹ÙÅÁÃ¼"/>
      <family val="3"/>
      <charset val="129"/>
    </font>
    <font>
      <sz val="10"/>
      <name val="Geneva"/>
      <family val="2"/>
    </font>
    <font>
      <sz val="12"/>
      <name val="굴림"/>
      <family val="3"/>
      <charset val="129"/>
    </font>
    <font>
      <sz val="11"/>
      <name val="µ¸¿ò"/>
      <family val="3"/>
      <charset val="129"/>
    </font>
    <font>
      <sz val="12"/>
      <name val="Arial"/>
      <family val="2"/>
    </font>
    <font>
      <sz val="10"/>
      <name val="¹UAAA¼"/>
      <family val="1"/>
      <charset val="129"/>
    </font>
    <font>
      <sz val="12"/>
      <name val="±¼¸²Ã¼"/>
      <family val="3"/>
      <charset val="129"/>
    </font>
    <font>
      <sz val="9"/>
      <color indexed="20"/>
      <name val="Arial"/>
      <family val="2"/>
    </font>
    <font>
      <sz val="10"/>
      <name val="Times New Roman"/>
      <family val="1"/>
    </font>
    <font>
      <b/>
      <sz val="8"/>
      <color indexed="24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sz val="12"/>
      <name val="¡¾¨????÷A¨?"/>
      <family val="3"/>
      <charset val="129"/>
    </font>
    <font>
      <sz val="12"/>
      <name val="¡¾¨ù¢¬©÷A¨ù"/>
      <family val="3"/>
      <charset val="129"/>
    </font>
    <font>
      <sz val="10"/>
      <name val="±¼¸²Ã¼"/>
      <family val="3"/>
      <charset val="129"/>
    </font>
    <font>
      <sz val="10"/>
      <name val="¹ÙÅÁÃ¼"/>
      <family val="3"/>
      <charset val="129"/>
    </font>
    <font>
      <sz val="12"/>
      <name val="±¼¸²A¼"/>
      <family val="3"/>
      <charset val="129"/>
    </font>
    <font>
      <sz val="12"/>
      <name val="±¼¸²A¼"/>
      <family val="1"/>
      <charset val="129"/>
    </font>
    <font>
      <sz val="11"/>
      <name val="±¼¸²A¼"/>
      <family val="1"/>
      <charset val="129"/>
    </font>
    <font>
      <sz val="11"/>
      <name val="±¼¸²Ã¼"/>
      <family val="3"/>
      <charset val="129"/>
    </font>
    <font>
      <sz val="10"/>
      <name val="±¼¸²A¼"/>
      <family val="1"/>
      <charset val="129"/>
    </font>
    <font>
      <b/>
      <sz val="9"/>
      <color indexed="52"/>
      <name val="Arial"/>
      <family val="2"/>
    </font>
    <font>
      <b/>
      <sz val="10"/>
      <name val="Helv"/>
      <family val="2"/>
    </font>
    <font>
      <b/>
      <sz val="9"/>
      <color indexed="9"/>
      <name val="Arial"/>
      <family val="2"/>
    </font>
    <font>
      <sz val="12"/>
      <name val="Tms Rmn"/>
      <family val="1"/>
    </font>
    <font>
      <sz val="8"/>
      <name val="Palatino"/>
      <family val="1"/>
    </font>
    <font>
      <sz val="10"/>
      <name val="MS Serif"/>
      <family val="1"/>
    </font>
    <font>
      <sz val="11"/>
      <name val="돋움체"/>
      <family val="3"/>
      <charset val="129"/>
    </font>
    <font>
      <u val="doubleAccounting"/>
      <sz val="10"/>
      <name val="Arial"/>
      <family val="2"/>
    </font>
    <font>
      <sz val="10"/>
      <color indexed="16"/>
      <name val="MS Serif"/>
      <family val="1"/>
    </font>
    <font>
      <i/>
      <sz val="9"/>
      <color indexed="23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7"/>
      <name val="Palatino"/>
      <family val="1"/>
    </font>
    <font>
      <sz val="9"/>
      <color indexed="17"/>
      <name val="Arial"/>
      <family val="2"/>
    </font>
    <font>
      <b/>
      <sz val="12"/>
      <color indexed="8"/>
      <name val="Times New Roman"/>
      <family val="1"/>
    </font>
    <font>
      <b/>
      <sz val="12"/>
      <name val="Arial"/>
      <family val="2"/>
    </font>
    <font>
      <b/>
      <sz val="12"/>
      <color indexed="62"/>
      <name val="Arial"/>
      <family val="2"/>
    </font>
    <font>
      <b/>
      <i/>
      <sz val="11"/>
      <name val="Arial"/>
      <family val="2"/>
    </font>
    <font>
      <b/>
      <sz val="12"/>
      <name val="Helv"/>
      <family val="2"/>
    </font>
    <font>
      <b/>
      <sz val="10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2"/>
      <name val="Tms Rmn"/>
      <family val="1"/>
    </font>
    <font>
      <b/>
      <i/>
      <sz val="22"/>
      <name val="Times New Roman"/>
      <family val="1"/>
    </font>
    <font>
      <sz val="9"/>
      <color indexed="62"/>
      <name val="Arial"/>
      <family val="2"/>
    </font>
    <font>
      <sz val="10"/>
      <color indexed="12"/>
      <name val="Arial"/>
      <family val="2"/>
    </font>
    <font>
      <sz val="9"/>
      <color indexed="52"/>
      <name val="Arial"/>
      <family val="2"/>
    </font>
    <font>
      <u/>
      <sz val="10"/>
      <color indexed="9"/>
      <name val="Arial"/>
      <family val="2"/>
    </font>
    <font>
      <b/>
      <sz val="14"/>
      <color indexed="24"/>
      <name val="Book Antiqua"/>
      <family val="1"/>
    </font>
    <font>
      <b/>
      <sz val="11"/>
      <name val="Helv"/>
      <family val="2"/>
    </font>
    <font>
      <u/>
      <sz val="8"/>
      <color indexed="9"/>
      <name val="Arial"/>
      <family val="2"/>
    </font>
    <font>
      <sz val="9"/>
      <color indexed="60"/>
      <name val="Arial"/>
      <family val="2"/>
    </font>
    <font>
      <sz val="7"/>
      <name val="Small Fonts"/>
      <family val="2"/>
    </font>
    <font>
      <sz val="12"/>
      <name val="Helv"/>
      <family val="2"/>
    </font>
    <font>
      <sz val="11"/>
      <color indexed="8"/>
      <name val="맑은 고딕"/>
      <family val="3"/>
      <charset val="129"/>
    </font>
    <font>
      <b/>
      <sz val="9"/>
      <color indexed="16"/>
      <name val="Arial"/>
      <family val="2"/>
    </font>
    <font>
      <sz val="14"/>
      <name val="–¾’©"/>
      <family val="3"/>
      <charset val="129"/>
    </font>
    <font>
      <b/>
      <sz val="9"/>
      <color indexed="6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9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6"/>
      <name val="Helvetica-Black"/>
      <family val="2"/>
    </font>
    <font>
      <i/>
      <sz val="14"/>
      <name val="Times New Roman"/>
      <family val="1"/>
    </font>
    <font>
      <b/>
      <sz val="22"/>
      <name val="Book Antiqua"/>
      <family val="1"/>
    </font>
    <font>
      <b/>
      <i/>
      <sz val="9"/>
      <color indexed="60"/>
      <name val="Arial"/>
      <family val="2"/>
    </font>
    <font>
      <u val="singleAccounting"/>
      <sz val="10"/>
      <name val="Arial"/>
      <family val="2"/>
    </font>
    <font>
      <b/>
      <sz val="9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b/>
      <sz val="10"/>
      <name val="Times New Roman"/>
      <family val="1"/>
    </font>
    <font>
      <b/>
      <sz val="12"/>
      <color indexed="18"/>
      <name val="Arial"/>
      <family val="2"/>
    </font>
    <font>
      <b/>
      <sz val="8"/>
      <color indexed="8"/>
      <name val="Helv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9"/>
      <name val="Helvetica-Black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sz val="12"/>
      <name val="Times New Roman"/>
      <family val="1"/>
    </font>
    <font>
      <b/>
      <sz val="11"/>
      <name val="Times New Roman"/>
      <family val="1"/>
    </font>
    <font>
      <b/>
      <sz val="18"/>
      <color indexed="56"/>
      <name val="맑은 고딕"/>
      <family val="3"/>
      <charset val="129"/>
    </font>
    <font>
      <b/>
      <sz val="9"/>
      <color indexed="8"/>
      <name val="Arial"/>
      <family val="2"/>
    </font>
    <font>
      <u val="double"/>
      <sz val="8"/>
      <color indexed="8"/>
      <name val="Arial"/>
      <family val="2"/>
    </font>
    <font>
      <sz val="9"/>
      <color indexed="10"/>
      <name val="Arial"/>
      <family val="2"/>
    </font>
    <font>
      <sz val="12"/>
      <name val="ｱｼｸｲﾃｼ"/>
      <family val="3"/>
    </font>
    <font>
      <sz val="10"/>
      <color indexed="10"/>
      <name val="굴림"/>
      <family val="3"/>
      <charset val="129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0"/>
      <name val="PragmaticaCTT"/>
      <family val="1"/>
    </font>
    <font>
      <u/>
      <sz val="9.35"/>
      <color indexed="36"/>
      <name val="돋움"/>
      <family val="3"/>
      <charset val="129"/>
    </font>
    <font>
      <sz val="8"/>
      <color indexed="8"/>
      <name val="Arial"/>
      <family val="2"/>
    </font>
    <font>
      <sz val="14"/>
      <name val="뼻뮝"/>
      <family val="1"/>
      <charset val="129"/>
    </font>
    <font>
      <sz val="14"/>
      <name val="ＭＳ 明朝"/>
      <family val="3"/>
      <charset val="129"/>
    </font>
    <font>
      <sz val="12"/>
      <name val="뼻뮝"/>
      <family val="1"/>
      <charset val="129"/>
    </font>
    <font>
      <sz val="10"/>
      <name val="굴림"/>
      <family val="3"/>
      <charset val="129"/>
    </font>
    <font>
      <b/>
      <sz val="12"/>
      <color indexed="16"/>
      <name val="굴림체"/>
      <family val="3"/>
      <charset val="129"/>
    </font>
    <font>
      <sz val="11"/>
      <color indexed="8"/>
      <name val="돋움"/>
      <family val="3"/>
      <charset val="129"/>
    </font>
    <font>
      <sz val="12"/>
      <name val="돋움체"/>
      <family val="3"/>
      <charset val="129"/>
    </font>
    <font>
      <sz val="10"/>
      <name val="명조"/>
      <family val="3"/>
      <charset val="129"/>
    </font>
    <font>
      <u/>
      <sz val="11"/>
      <color indexed="36"/>
      <name val="굴림"/>
      <family val="3"/>
      <charset val="129"/>
    </font>
    <font>
      <sz val="10"/>
      <name val="궁서(English)"/>
      <family val="3"/>
      <charset val="129"/>
    </font>
    <font>
      <sz val="11"/>
      <name val="바탕"/>
      <family val="1"/>
      <charset val="129"/>
    </font>
    <font>
      <sz val="10"/>
      <color indexed="24"/>
      <name val="MS Sans Serif"/>
      <family val="2"/>
    </font>
    <font>
      <sz val="11"/>
      <name val="굴림체"/>
      <family val="3"/>
      <charset val="129"/>
    </font>
    <font>
      <sz val="11"/>
      <name val="ＭＳ Ｐゴシック"/>
      <family val="2"/>
      <charset val="128"/>
    </font>
    <font>
      <b/>
      <sz val="12"/>
      <name val="굴림체"/>
      <family val="3"/>
      <charset val="129"/>
    </font>
    <font>
      <sz val="11"/>
      <color indexed="8"/>
      <name val="Calibri"/>
      <family val="2"/>
    </font>
    <font>
      <sz val="11"/>
      <color theme="1"/>
      <name val="바탕"/>
      <family val="1"/>
      <charset val="129"/>
    </font>
  </fonts>
  <fills count="42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0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indexed="18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double">
        <color indexed="16"/>
      </top>
      <bottom style="thin">
        <color indexed="1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16"/>
      </top>
      <bottom style="thin">
        <color indexed="16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indexed="51"/>
      </top>
      <bottom style="thin">
        <color indexed="5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23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64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9"/>
      </bottom>
      <diagonal/>
    </border>
    <border>
      <left style="thin">
        <color indexed="64"/>
      </left>
      <right/>
      <top style="medium">
        <color indexed="64"/>
      </top>
      <bottom style="thin">
        <color indexed="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/>
      <right style="medium">
        <color indexed="64"/>
      </right>
      <top style="medium">
        <color indexed="64"/>
      </top>
      <bottom style="thin">
        <color indexed="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indexed="64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medium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</borders>
  <cellStyleXfs count="77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0" borderId="0"/>
    <xf numFmtId="41" fontId="2" fillId="0" borderId="0" applyFont="0" applyFill="0" applyBorder="0" applyAlignment="0" applyProtection="0"/>
    <xf numFmtId="0" fontId="2" fillId="0" borderId="0"/>
    <xf numFmtId="0" fontId="2" fillId="0" borderId="0"/>
    <xf numFmtId="41" fontId="2" fillId="0" borderId="0" applyFont="0" applyFill="0" applyBorder="0" applyAlignment="0" applyProtection="0"/>
    <xf numFmtId="0" fontId="2" fillId="0" borderId="0"/>
    <xf numFmtId="0" fontId="2" fillId="0" borderId="0"/>
    <xf numFmtId="0" fontId="41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41" fontId="45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/>
    <xf numFmtId="0" fontId="53" fillId="0" borderId="0">
      <alignment vertical="center"/>
    </xf>
    <xf numFmtId="0" fontId="2" fillId="0" borderId="0">
      <alignment vertical="center"/>
    </xf>
    <xf numFmtId="0" fontId="2" fillId="0" borderId="0"/>
    <xf numFmtId="0" fontId="54" fillId="0" borderId="0">
      <alignment vertical="center"/>
    </xf>
    <xf numFmtId="0" fontId="55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  <xf numFmtId="41" fontId="5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45" fillId="0" borderId="0">
      <alignment vertical="center"/>
    </xf>
    <xf numFmtId="0" fontId="2" fillId="0" borderId="0">
      <alignment vertical="center"/>
    </xf>
    <xf numFmtId="0" fontId="2" fillId="0" borderId="0"/>
    <xf numFmtId="41" fontId="2" fillId="0" borderId="0" applyFont="0" applyFill="0" applyBorder="0" applyAlignment="0" applyProtection="0">
      <alignment vertical="center"/>
    </xf>
    <xf numFmtId="0" fontId="2" fillId="0" borderId="0"/>
    <xf numFmtId="0" fontId="57" fillId="0" borderId="0"/>
    <xf numFmtId="0" fontId="2" fillId="0" borderId="0">
      <alignment vertical="center"/>
    </xf>
    <xf numFmtId="0" fontId="58" fillId="0" borderId="0"/>
    <xf numFmtId="0" fontId="57" fillId="0" borderId="0"/>
    <xf numFmtId="0" fontId="59" fillId="0" borderId="0" applyNumberFormat="0" applyFill="0" applyBorder="0" applyAlignment="0" applyProtection="0"/>
    <xf numFmtId="24" fontId="60" fillId="0" borderId="0" applyFont="0" applyFill="0" applyBorder="0" applyAlignment="0" applyProtection="0"/>
    <xf numFmtId="187" fontId="2" fillId="0" borderId="0" applyNumberFormat="0" applyFont="0" applyFill="0" applyBorder="0" applyAlignment="0" applyProtection="0"/>
    <xf numFmtId="187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57" fillId="0" borderId="0"/>
    <xf numFmtId="188" fontId="61" fillId="0" borderId="0">
      <protection locked="0"/>
    </xf>
    <xf numFmtId="0" fontId="62" fillId="0" borderId="0" applyFont="0" applyFill="0" applyBorder="0" applyAlignment="0" applyProtection="0"/>
    <xf numFmtId="0" fontId="63" fillId="0" borderId="0"/>
    <xf numFmtId="0" fontId="63" fillId="0" borderId="0"/>
    <xf numFmtId="0" fontId="64" fillId="0" borderId="0" applyNumberFormat="0" applyFill="0" applyBorder="0" applyAlignment="0" applyProtection="0"/>
    <xf numFmtId="188" fontId="61" fillId="0" borderId="0">
      <protection locked="0"/>
    </xf>
    <xf numFmtId="188" fontId="61" fillId="0" borderId="0">
      <protection locked="0"/>
    </xf>
    <xf numFmtId="0" fontId="57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66" fillId="0" borderId="0" applyNumberFormat="0" applyFill="0" applyBorder="0" applyAlignment="0" applyProtection="0">
      <alignment vertical="top"/>
      <protection locked="0"/>
    </xf>
    <xf numFmtId="0" fontId="65" fillId="0" borderId="0" applyFont="0" applyFill="0" applyBorder="0" applyAlignment="0" applyProtection="0"/>
    <xf numFmtId="188" fontId="61" fillId="0" borderId="0">
      <protection locked="0"/>
    </xf>
    <xf numFmtId="188" fontId="61" fillId="0" borderId="0">
      <protection locked="0"/>
    </xf>
    <xf numFmtId="0" fontId="62" fillId="0" borderId="0" applyFont="0" applyFill="0" applyBorder="0" applyAlignment="0" applyProtection="0"/>
    <xf numFmtId="188" fontId="61" fillId="0" borderId="0">
      <protection locked="0"/>
    </xf>
    <xf numFmtId="188" fontId="61" fillId="0" borderId="0">
      <protection locked="0"/>
    </xf>
    <xf numFmtId="188" fontId="61" fillId="0" borderId="0">
      <protection locked="0"/>
    </xf>
    <xf numFmtId="0" fontId="57" fillId="0" borderId="0"/>
    <xf numFmtId="0" fontId="67" fillId="0" borderId="0"/>
    <xf numFmtId="0" fontId="68" fillId="0" borderId="0"/>
    <xf numFmtId="0" fontId="57" fillId="0" borderId="0"/>
    <xf numFmtId="0" fontId="57" fillId="0" borderId="0"/>
    <xf numFmtId="189" fontId="69" fillId="4" borderId="28"/>
    <xf numFmtId="189" fontId="69" fillId="4" borderId="28"/>
    <xf numFmtId="189" fontId="69" fillId="4" borderId="28"/>
    <xf numFmtId="189" fontId="69" fillId="4" borderId="28"/>
    <xf numFmtId="189" fontId="69" fillId="4" borderId="28"/>
    <xf numFmtId="189" fontId="69" fillId="4" borderId="28"/>
    <xf numFmtId="189" fontId="69" fillId="4" borderId="28"/>
    <xf numFmtId="189" fontId="69" fillId="4" borderId="28"/>
    <xf numFmtId="189" fontId="69" fillId="4" borderId="28"/>
    <xf numFmtId="189" fontId="69" fillId="4" borderId="28"/>
    <xf numFmtId="189" fontId="69" fillId="4" borderId="28"/>
    <xf numFmtId="189" fontId="69" fillId="4" borderId="28"/>
    <xf numFmtId="189" fontId="69" fillId="4" borderId="28"/>
    <xf numFmtId="0" fontId="57" fillId="0" borderId="0"/>
    <xf numFmtId="0" fontId="70" fillId="0" borderId="0" applyFont="0" applyFill="0" applyBorder="0" applyAlignment="0" applyProtection="0"/>
    <xf numFmtId="0" fontId="71" fillId="0" borderId="0"/>
    <xf numFmtId="0" fontId="70" fillId="0" borderId="0"/>
    <xf numFmtId="43" fontId="70" fillId="0" borderId="0" applyFont="0" applyFill="0" applyBorder="0" applyAlignment="0" applyProtection="0"/>
    <xf numFmtId="9" fontId="70" fillId="0" borderId="0" applyFont="0" applyFill="0" applyBorder="0" applyAlignment="0" applyProtection="0"/>
    <xf numFmtId="0" fontId="57" fillId="0" borderId="0"/>
    <xf numFmtId="0" fontId="57" fillId="0" borderId="0"/>
    <xf numFmtId="0" fontId="57" fillId="0" borderId="0"/>
    <xf numFmtId="0" fontId="63" fillId="0" borderId="0" applyFont="0" applyFill="0" applyBorder="0" applyAlignment="0" applyProtection="0"/>
    <xf numFmtId="0" fontId="63" fillId="0" borderId="0"/>
    <xf numFmtId="0" fontId="72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/>
    <xf numFmtId="0" fontId="57" fillId="0" borderId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63" fillId="0" borderId="0" applyFont="0" applyFill="0" applyBorder="0" applyAlignment="0" applyProtection="0"/>
    <xf numFmtId="40" fontId="63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63" fillId="0" borderId="0"/>
    <xf numFmtId="0" fontId="57" fillId="0" borderId="0"/>
    <xf numFmtId="0" fontId="57" fillId="0" borderId="0"/>
    <xf numFmtId="0" fontId="72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5" borderId="0"/>
    <xf numFmtId="0" fontId="57" fillId="0" borderId="0" applyNumberFormat="0" applyFill="0" applyBorder="0" applyAlignment="0" applyProtection="0"/>
    <xf numFmtId="0" fontId="57" fillId="0" borderId="0"/>
    <xf numFmtId="0" fontId="57" fillId="0" borderId="0"/>
    <xf numFmtId="0" fontId="57" fillId="0" borderId="0"/>
    <xf numFmtId="0" fontId="63" fillId="0" borderId="0"/>
    <xf numFmtId="0" fontId="57" fillId="0" borderId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/>
    <xf numFmtId="0" fontId="57" fillId="0" borderId="0"/>
    <xf numFmtId="0" fontId="72" fillId="0" borderId="0"/>
    <xf numFmtId="0" fontId="57" fillId="0" borderId="0"/>
    <xf numFmtId="0" fontId="57" fillId="0" borderId="0" applyNumberFormat="0" applyFill="0" applyBorder="0" applyAlignment="0" applyProtection="0"/>
    <xf numFmtId="0" fontId="57" fillId="0" borderId="0"/>
    <xf numFmtId="0" fontId="73" fillId="0" borderId="0"/>
    <xf numFmtId="0" fontId="57" fillId="0" borderId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/>
    <xf numFmtId="0" fontId="72" fillId="0" borderId="0"/>
    <xf numFmtId="0" fontId="57" fillId="0" borderId="0"/>
    <xf numFmtId="0" fontId="72" fillId="0" borderId="0"/>
    <xf numFmtId="0" fontId="73" fillId="0" borderId="0"/>
    <xf numFmtId="0" fontId="73" fillId="0" borderId="0"/>
    <xf numFmtId="0" fontId="57" fillId="0" borderId="0"/>
    <xf numFmtId="0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188" fontId="61" fillId="0" borderId="0">
      <protection locked="0"/>
    </xf>
    <xf numFmtId="40" fontId="74" fillId="0" borderId="0" applyFont="0" applyFill="0" applyBorder="0" applyAlignment="0" applyProtection="0"/>
    <xf numFmtId="188" fontId="61" fillId="0" borderId="0">
      <protection locked="0"/>
    </xf>
    <xf numFmtId="188" fontId="61" fillId="0" borderId="0">
      <protection locked="0"/>
    </xf>
    <xf numFmtId="188" fontId="61" fillId="0" borderId="0">
      <protection locked="0"/>
    </xf>
    <xf numFmtId="188" fontId="61" fillId="0" borderId="0">
      <protection locked="0"/>
    </xf>
    <xf numFmtId="0" fontId="75" fillId="0" borderId="0"/>
    <xf numFmtId="0" fontId="75" fillId="0" borderId="0"/>
    <xf numFmtId="1" fontId="58" fillId="0" borderId="11">
      <alignment horizontal="center" vertical="center"/>
    </xf>
    <xf numFmtId="1" fontId="58" fillId="0" borderId="11">
      <alignment horizontal="center" vertical="center"/>
    </xf>
    <xf numFmtId="1" fontId="58" fillId="0" borderId="11">
      <alignment horizontal="center" vertical="center"/>
    </xf>
    <xf numFmtId="1" fontId="58" fillId="0" borderId="11">
      <alignment horizontal="center" vertical="center"/>
    </xf>
    <xf numFmtId="1" fontId="58" fillId="0" borderId="11">
      <alignment horizontal="center" vertical="center"/>
    </xf>
    <xf numFmtId="1" fontId="58" fillId="0" borderId="11">
      <alignment horizontal="center" vertical="center"/>
    </xf>
    <xf numFmtId="188" fontId="61" fillId="0" borderId="0">
      <protection locked="0"/>
    </xf>
    <xf numFmtId="38" fontId="76" fillId="0" borderId="17">
      <alignment horizontal="right" vertical="center"/>
      <protection locked="0"/>
    </xf>
    <xf numFmtId="0" fontId="57" fillId="0" borderId="0" applyNumberFormat="0" applyFill="0" applyBorder="0" applyAlignment="0" applyProtection="0"/>
    <xf numFmtId="188" fontId="61" fillId="0" borderId="0">
      <protection locked="0"/>
    </xf>
    <xf numFmtId="10" fontId="77" fillId="0" borderId="0" applyFont="0" applyFill="0" applyBorder="0" applyAlignment="0" applyProtection="0"/>
    <xf numFmtId="0" fontId="78" fillId="6" borderId="0" applyNumberFormat="0" applyBorder="0" applyAlignment="0" applyProtection="0">
      <alignment vertical="center"/>
    </xf>
    <xf numFmtId="0" fontId="78" fillId="7" borderId="0" applyNumberFormat="0" applyBorder="0" applyAlignment="0" applyProtection="0">
      <alignment vertical="center"/>
    </xf>
    <xf numFmtId="0" fontId="78" fillId="8" borderId="0" applyNumberFormat="0" applyBorder="0" applyAlignment="0" applyProtection="0">
      <alignment vertical="center"/>
    </xf>
    <xf numFmtId="0" fontId="78" fillId="9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9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9" fillId="16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79" fillId="19" borderId="0" applyNumberFormat="0" applyBorder="0" applyAlignment="0" applyProtection="0">
      <alignment vertical="center"/>
    </xf>
    <xf numFmtId="0" fontId="80" fillId="0" borderId="32">
      <alignment vertical="center"/>
    </xf>
    <xf numFmtId="0" fontId="80" fillId="0" borderId="32">
      <alignment vertical="center"/>
    </xf>
    <xf numFmtId="0" fontId="80" fillId="0" borderId="32">
      <alignment vertical="center"/>
    </xf>
    <xf numFmtId="0" fontId="80" fillId="0" borderId="32">
      <alignment vertical="center"/>
    </xf>
    <xf numFmtId="0" fontId="80" fillId="0" borderId="32">
      <alignment vertical="center"/>
    </xf>
    <xf numFmtId="0" fontId="80" fillId="0" borderId="32">
      <alignment vertical="center"/>
    </xf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9" fillId="20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79" fillId="23" borderId="0" applyNumberFormat="0" applyBorder="0" applyAlignment="0" applyProtection="0">
      <alignment vertical="center"/>
    </xf>
    <xf numFmtId="188" fontId="61" fillId="0" borderId="0">
      <protection locked="0"/>
    </xf>
    <xf numFmtId="188" fontId="61" fillId="0" borderId="0">
      <protection locked="0"/>
    </xf>
    <xf numFmtId="42" fontId="81" fillId="0" borderId="0" applyFont="0" applyFill="0" applyBorder="0" applyAlignment="0" applyProtection="0"/>
    <xf numFmtId="190" fontId="82" fillId="0" borderId="0" applyFont="0" applyFill="0" applyBorder="0" applyAlignment="0" applyProtection="0"/>
    <xf numFmtId="191" fontId="77" fillId="0" borderId="0" applyFont="0" applyFill="0" applyBorder="0" applyAlignment="0" applyProtection="0"/>
    <xf numFmtId="192" fontId="57" fillId="0" borderId="0" applyFont="0" applyFill="0" applyBorder="0" applyAlignment="0" applyProtection="0"/>
    <xf numFmtId="0" fontId="77" fillId="0" borderId="0" applyFont="0" applyFill="0" applyBorder="0" applyAlignment="0" applyProtection="0"/>
    <xf numFmtId="191" fontId="83" fillId="0" borderId="0" applyFont="0" applyFill="0" applyBorder="0" applyAlignment="0" applyProtection="0"/>
    <xf numFmtId="191" fontId="77" fillId="0" borderId="0" applyFont="0" applyFill="0" applyBorder="0" applyAlignment="0" applyProtection="0"/>
    <xf numFmtId="191" fontId="83" fillId="0" borderId="0" applyFont="0" applyFill="0" applyBorder="0" applyAlignment="0" applyProtection="0"/>
    <xf numFmtId="191" fontId="77" fillId="0" borderId="0" applyFont="0" applyFill="0" applyBorder="0" applyAlignment="0" applyProtection="0"/>
    <xf numFmtId="191" fontId="83" fillId="0" borderId="0" applyFont="0" applyFill="0" applyBorder="0" applyAlignment="0" applyProtection="0"/>
    <xf numFmtId="191" fontId="77" fillId="0" borderId="0" applyFont="0" applyFill="0" applyBorder="0" applyAlignment="0" applyProtection="0"/>
    <xf numFmtId="191" fontId="83" fillId="0" borderId="0" applyFont="0" applyFill="0" applyBorder="0" applyAlignment="0" applyProtection="0"/>
    <xf numFmtId="0" fontId="77" fillId="0" borderId="0" applyFont="0" applyFill="0" applyBorder="0" applyAlignment="0" applyProtection="0"/>
    <xf numFmtId="191" fontId="83" fillId="0" borderId="0" applyFont="0" applyFill="0" applyBorder="0" applyAlignment="0" applyProtection="0"/>
    <xf numFmtId="193" fontId="77" fillId="0" borderId="0" applyFont="0" applyFill="0" applyBorder="0" applyAlignment="0" applyProtection="0"/>
    <xf numFmtId="193" fontId="83" fillId="0" borderId="0" applyFont="0" applyFill="0" applyBorder="0" applyAlignment="0" applyProtection="0"/>
    <xf numFmtId="194" fontId="60" fillId="0" borderId="0" applyFont="0" applyFill="0" applyBorder="0" applyAlignment="0" applyProtection="0"/>
    <xf numFmtId="194" fontId="60" fillId="0" borderId="0" applyFont="0" applyFill="0" applyBorder="0" applyAlignment="0" applyProtection="0"/>
    <xf numFmtId="195" fontId="77" fillId="0" borderId="0" applyFont="0" applyFill="0" applyBorder="0" applyAlignment="0" applyProtection="0"/>
    <xf numFmtId="195" fontId="83" fillId="0" borderId="0" applyFont="0" applyFill="0" applyBorder="0" applyAlignment="0" applyProtection="0"/>
    <xf numFmtId="196" fontId="84" fillId="0" borderId="0" applyFont="0" applyFill="0" applyBorder="0" applyAlignment="0" applyProtection="0"/>
    <xf numFmtId="196" fontId="84" fillId="0" borderId="0" applyFont="0" applyFill="0" applyBorder="0" applyAlignment="0" applyProtection="0"/>
    <xf numFmtId="197" fontId="84" fillId="0" borderId="0" applyFont="0" applyFill="0" applyBorder="0" applyAlignment="0" applyProtection="0"/>
    <xf numFmtId="197" fontId="84" fillId="0" borderId="0" applyFont="0" applyFill="0" applyBorder="0" applyAlignment="0" applyProtection="0"/>
    <xf numFmtId="191" fontId="77" fillId="0" borderId="0" applyFont="0" applyFill="0" applyBorder="0" applyAlignment="0" applyProtection="0"/>
    <xf numFmtId="191" fontId="83" fillId="0" borderId="0" applyFont="0" applyFill="0" applyBorder="0" applyAlignment="0" applyProtection="0"/>
    <xf numFmtId="191" fontId="77" fillId="0" borderId="0" applyFont="0" applyFill="0" applyBorder="0" applyAlignment="0" applyProtection="0"/>
    <xf numFmtId="191" fontId="83" fillId="0" borderId="0" applyFont="0" applyFill="0" applyBorder="0" applyAlignment="0" applyProtection="0"/>
    <xf numFmtId="198" fontId="85" fillId="0" borderId="0" applyFont="0" applyFill="0" applyBorder="0" applyAlignment="0" applyProtection="0"/>
    <xf numFmtId="44" fontId="81" fillId="0" borderId="0" applyFont="0" applyFill="0" applyBorder="0" applyAlignment="0" applyProtection="0"/>
    <xf numFmtId="199" fontId="86" fillId="0" borderId="0" applyFont="0" applyFill="0" applyBorder="0" applyAlignment="0" applyProtection="0"/>
    <xf numFmtId="200" fontId="77" fillId="0" borderId="0" applyFont="0" applyFill="0" applyBorder="0" applyAlignment="0" applyProtection="0"/>
    <xf numFmtId="201" fontId="57" fillId="0" borderId="0" applyFont="0" applyFill="0" applyBorder="0" applyAlignment="0" applyProtection="0"/>
    <xf numFmtId="0" fontId="77" fillId="0" borderId="0" applyFont="0" applyFill="0" applyBorder="0" applyAlignment="0" applyProtection="0"/>
    <xf numFmtId="200" fontId="83" fillId="0" borderId="0" applyFont="0" applyFill="0" applyBorder="0" applyAlignment="0" applyProtection="0"/>
    <xf numFmtId="200" fontId="77" fillId="0" borderId="0" applyFont="0" applyFill="0" applyBorder="0" applyAlignment="0" applyProtection="0"/>
    <xf numFmtId="200" fontId="83" fillId="0" borderId="0" applyFont="0" applyFill="0" applyBorder="0" applyAlignment="0" applyProtection="0"/>
    <xf numFmtId="194" fontId="60" fillId="0" borderId="0" applyFont="0" applyFill="0" applyBorder="0" applyAlignment="0" applyProtection="0"/>
    <xf numFmtId="194" fontId="60" fillId="0" borderId="0" applyFont="0" applyFill="0" applyBorder="0" applyAlignment="0" applyProtection="0"/>
    <xf numFmtId="200" fontId="77" fillId="0" borderId="0" applyFont="0" applyFill="0" applyBorder="0" applyAlignment="0" applyProtection="0"/>
    <xf numFmtId="200" fontId="83" fillId="0" borderId="0" applyFont="0" applyFill="0" applyBorder="0" applyAlignment="0" applyProtection="0"/>
    <xf numFmtId="200" fontId="77" fillId="0" borderId="0" applyFont="0" applyFill="0" applyBorder="0" applyAlignment="0" applyProtection="0"/>
    <xf numFmtId="200" fontId="83" fillId="0" borderId="0" applyFont="0" applyFill="0" applyBorder="0" applyAlignment="0" applyProtection="0"/>
    <xf numFmtId="0" fontId="77" fillId="0" borderId="0" applyFont="0" applyFill="0" applyBorder="0" applyAlignment="0" applyProtection="0"/>
    <xf numFmtId="200" fontId="83" fillId="0" borderId="0" applyFont="0" applyFill="0" applyBorder="0" applyAlignment="0" applyProtection="0"/>
    <xf numFmtId="202" fontId="77" fillId="0" borderId="0" applyFont="0" applyFill="0" applyBorder="0" applyAlignment="0" applyProtection="0"/>
    <xf numFmtId="202" fontId="83" fillId="0" borderId="0" applyFont="0" applyFill="0" applyBorder="0" applyAlignment="0" applyProtection="0"/>
    <xf numFmtId="195" fontId="60" fillId="0" borderId="0" applyFont="0" applyFill="0" applyBorder="0" applyAlignment="0" applyProtection="0"/>
    <xf numFmtId="195" fontId="60" fillId="0" borderId="0" applyFont="0" applyFill="0" applyBorder="0" applyAlignment="0" applyProtection="0"/>
    <xf numFmtId="203" fontId="77" fillId="0" borderId="0" applyFont="0" applyFill="0" applyBorder="0" applyAlignment="0" applyProtection="0"/>
    <xf numFmtId="203" fontId="83" fillId="0" borderId="0" applyFont="0" applyFill="0" applyBorder="0" applyAlignment="0" applyProtection="0"/>
    <xf numFmtId="204" fontId="84" fillId="0" borderId="0" applyFont="0" applyFill="0" applyBorder="0" applyAlignment="0" applyProtection="0"/>
    <xf numFmtId="204" fontId="84" fillId="0" borderId="0" applyFont="0" applyFill="0" applyBorder="0" applyAlignment="0" applyProtection="0"/>
    <xf numFmtId="205" fontId="84" fillId="0" borderId="0" applyFont="0" applyFill="0" applyBorder="0" applyAlignment="0" applyProtection="0"/>
    <xf numFmtId="205" fontId="84" fillId="0" borderId="0" applyFont="0" applyFill="0" applyBorder="0" applyAlignment="0" applyProtection="0"/>
    <xf numFmtId="200" fontId="77" fillId="0" borderId="0" applyFont="0" applyFill="0" applyBorder="0" applyAlignment="0" applyProtection="0"/>
    <xf numFmtId="200" fontId="83" fillId="0" borderId="0" applyFont="0" applyFill="0" applyBorder="0" applyAlignment="0" applyProtection="0"/>
    <xf numFmtId="200" fontId="77" fillId="0" borderId="0" applyFont="0" applyFill="0" applyBorder="0" applyAlignment="0" applyProtection="0"/>
    <xf numFmtId="200" fontId="83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60" fillId="0" borderId="0"/>
    <xf numFmtId="0" fontId="5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188" fontId="61" fillId="0" borderId="0">
      <protection locked="0"/>
    </xf>
    <xf numFmtId="188" fontId="61" fillId="0" borderId="0">
      <protection locked="0"/>
    </xf>
    <xf numFmtId="206" fontId="88" fillId="0" borderId="0" applyFont="0" applyFill="0" applyBorder="0" applyAlignment="0" applyProtection="0"/>
    <xf numFmtId="206" fontId="89" fillId="0" borderId="0" applyFont="0" applyFill="0" applyBorder="0" applyAlignment="0" applyProtection="0"/>
    <xf numFmtId="206" fontId="77" fillId="0" borderId="0" applyFont="0" applyFill="0" applyBorder="0" applyAlignment="0" applyProtection="0"/>
    <xf numFmtId="188" fontId="61" fillId="0" borderId="0">
      <protection locked="0"/>
    </xf>
    <xf numFmtId="206" fontId="77" fillId="0" borderId="0" applyFont="0" applyFill="0" applyBorder="0" applyAlignment="0" applyProtection="0"/>
    <xf numFmtId="206" fontId="83" fillId="0" borderId="0" applyFont="0" applyFill="0" applyBorder="0" applyAlignment="0" applyProtection="0"/>
    <xf numFmtId="206" fontId="77" fillId="0" borderId="0" applyFont="0" applyFill="0" applyBorder="0" applyAlignment="0" applyProtection="0"/>
    <xf numFmtId="206" fontId="83" fillId="0" borderId="0" applyFont="0" applyFill="0" applyBorder="0" applyAlignment="0" applyProtection="0"/>
    <xf numFmtId="206" fontId="77" fillId="0" borderId="0" applyFont="0" applyFill="0" applyBorder="0" applyAlignment="0" applyProtection="0"/>
    <xf numFmtId="206" fontId="83" fillId="0" borderId="0" applyFont="0" applyFill="0" applyBorder="0" applyAlignment="0" applyProtection="0"/>
    <xf numFmtId="0" fontId="77" fillId="0" borderId="0" applyFont="0" applyFill="0" applyBorder="0" applyAlignment="0" applyProtection="0"/>
    <xf numFmtId="206" fontId="83" fillId="0" borderId="0" applyFont="0" applyFill="0" applyBorder="0" applyAlignment="0" applyProtection="0"/>
    <xf numFmtId="38" fontId="60" fillId="0" borderId="0" applyFont="0" applyFill="0" applyBorder="0" applyAlignment="0" applyProtection="0"/>
    <xf numFmtId="38" fontId="60" fillId="0" borderId="0" applyFont="0" applyFill="0" applyBorder="0" applyAlignment="0" applyProtection="0"/>
    <xf numFmtId="207" fontId="77" fillId="0" borderId="0" applyFont="0" applyFill="0" applyBorder="0" applyAlignment="0" applyProtection="0"/>
    <xf numFmtId="207" fontId="83" fillId="0" borderId="0" applyFont="0" applyFill="0" applyBorder="0" applyAlignment="0" applyProtection="0"/>
    <xf numFmtId="41" fontId="84" fillId="0" borderId="0" applyFont="0" applyFill="0" applyBorder="0" applyAlignment="0" applyProtection="0"/>
    <xf numFmtId="41" fontId="84" fillId="0" borderId="0" applyFont="0" applyFill="0" applyBorder="0" applyAlignment="0" applyProtection="0"/>
    <xf numFmtId="206" fontId="77" fillId="0" borderId="0" applyFont="0" applyFill="0" applyBorder="0" applyAlignment="0" applyProtection="0"/>
    <xf numFmtId="206" fontId="83" fillId="0" borderId="0" applyFont="0" applyFill="0" applyBorder="0" applyAlignment="0" applyProtection="0"/>
    <xf numFmtId="206" fontId="77" fillId="0" borderId="0" applyFont="0" applyFill="0" applyBorder="0" applyAlignment="0" applyProtection="0"/>
    <xf numFmtId="206" fontId="83" fillId="0" borderId="0" applyFont="0" applyFill="0" applyBorder="0" applyAlignment="0" applyProtection="0"/>
    <xf numFmtId="208" fontId="88" fillId="0" borderId="0" applyFont="0" applyFill="0" applyBorder="0" applyAlignment="0" applyProtection="0"/>
    <xf numFmtId="209" fontId="82" fillId="0" borderId="0" applyFont="0" applyFill="0" applyBorder="0" applyAlignment="0" applyProtection="0"/>
    <xf numFmtId="208" fontId="77" fillId="0" borderId="0" applyFont="0" applyFill="0" applyBorder="0" applyAlignment="0" applyProtection="0"/>
    <xf numFmtId="210" fontId="57" fillId="0" borderId="0" applyFont="0" applyFill="0" applyBorder="0" applyAlignment="0" applyProtection="0"/>
    <xf numFmtId="0" fontId="77" fillId="0" borderId="0" applyFont="0" applyFill="0" applyBorder="0" applyAlignment="0" applyProtection="0"/>
    <xf numFmtId="208" fontId="83" fillId="0" borderId="0" applyFont="0" applyFill="0" applyBorder="0" applyAlignment="0" applyProtection="0"/>
    <xf numFmtId="208" fontId="77" fillId="0" borderId="0" applyFont="0" applyFill="0" applyBorder="0" applyAlignment="0" applyProtection="0"/>
    <xf numFmtId="208" fontId="83" fillId="0" borderId="0" applyFont="0" applyFill="0" applyBorder="0" applyAlignment="0" applyProtection="0"/>
    <xf numFmtId="40" fontId="60" fillId="0" borderId="0" applyFont="0" applyFill="0" applyBorder="0" applyAlignment="0" applyProtection="0"/>
    <xf numFmtId="40" fontId="60" fillId="0" borderId="0" applyFont="0" applyFill="0" applyBorder="0" applyAlignment="0" applyProtection="0"/>
    <xf numFmtId="208" fontId="77" fillId="0" borderId="0" applyFont="0" applyFill="0" applyBorder="0" applyAlignment="0" applyProtection="0"/>
    <xf numFmtId="208" fontId="83" fillId="0" borderId="0" applyFont="0" applyFill="0" applyBorder="0" applyAlignment="0" applyProtection="0"/>
    <xf numFmtId="208" fontId="77" fillId="0" borderId="0" applyFont="0" applyFill="0" applyBorder="0" applyAlignment="0" applyProtection="0"/>
    <xf numFmtId="208" fontId="83" fillId="0" borderId="0" applyFont="0" applyFill="0" applyBorder="0" applyAlignment="0" applyProtection="0"/>
    <xf numFmtId="0" fontId="77" fillId="0" borderId="0" applyFont="0" applyFill="0" applyBorder="0" applyAlignment="0" applyProtection="0"/>
    <xf numFmtId="208" fontId="83" fillId="0" borderId="0" applyFont="0" applyFill="0" applyBorder="0" applyAlignment="0" applyProtection="0"/>
    <xf numFmtId="3" fontId="60" fillId="0" borderId="0" applyFont="0" applyFill="0" applyBorder="0" applyAlignment="0" applyProtection="0"/>
    <xf numFmtId="3" fontId="60" fillId="0" borderId="0" applyFont="0" applyFill="0" applyBorder="0" applyAlignment="0" applyProtection="0"/>
    <xf numFmtId="211" fontId="77" fillId="0" borderId="0" applyFont="0" applyFill="0" applyBorder="0" applyAlignment="0" applyProtection="0"/>
    <xf numFmtId="211" fontId="83" fillId="0" borderId="0" applyFont="0" applyFill="0" applyBorder="0" applyAlignment="0" applyProtection="0"/>
    <xf numFmtId="43" fontId="84" fillId="0" borderId="0" applyFont="0" applyFill="0" applyBorder="0" applyAlignment="0" applyProtection="0"/>
    <xf numFmtId="43" fontId="84" fillId="0" borderId="0" applyFont="0" applyFill="0" applyBorder="0" applyAlignment="0" applyProtection="0"/>
    <xf numFmtId="40" fontId="84" fillId="0" borderId="0" applyFont="0" applyFill="0" applyBorder="0" applyAlignment="0" applyProtection="0"/>
    <xf numFmtId="40" fontId="84" fillId="0" borderId="0" applyFont="0" applyFill="0" applyBorder="0" applyAlignment="0" applyProtection="0"/>
    <xf numFmtId="208" fontId="77" fillId="0" borderId="0" applyFont="0" applyFill="0" applyBorder="0" applyAlignment="0" applyProtection="0"/>
    <xf numFmtId="208" fontId="83" fillId="0" borderId="0" applyFont="0" applyFill="0" applyBorder="0" applyAlignment="0" applyProtection="0"/>
    <xf numFmtId="208" fontId="77" fillId="0" borderId="0" applyFont="0" applyFill="0" applyBorder="0" applyAlignment="0" applyProtection="0"/>
    <xf numFmtId="208" fontId="83" fillId="0" borderId="0" applyFont="0" applyFill="0" applyBorder="0" applyAlignment="0" applyProtection="0"/>
    <xf numFmtId="0" fontId="80" fillId="0" borderId="0" applyFont="0" applyFill="0" applyBorder="0" applyAlignment="0" applyProtection="0"/>
    <xf numFmtId="0" fontId="90" fillId="7" borderId="0" applyNumberFormat="0" applyBorder="0" applyAlignment="0" applyProtection="0">
      <alignment vertical="center"/>
    </xf>
    <xf numFmtId="212" fontId="80" fillId="0" borderId="0">
      <alignment horizontal="right"/>
      <protection locked="0"/>
    </xf>
    <xf numFmtId="0" fontId="91" fillId="0" borderId="0"/>
    <xf numFmtId="49" fontId="92" fillId="0" borderId="0" applyFont="0" applyFill="0" applyBorder="0" applyAlignment="0" applyProtection="0">
      <alignment horizontal="left"/>
    </xf>
    <xf numFmtId="213" fontId="93" fillId="0" borderId="0" applyAlignment="0" applyProtection="0"/>
    <xf numFmtId="176" fontId="94" fillId="0" borderId="0" applyFill="0" applyBorder="0" applyAlignment="0" applyProtection="0"/>
    <xf numFmtId="49" fontId="94" fillId="0" borderId="0" applyNumberFormat="0" applyAlignment="0" applyProtection="0">
      <alignment horizontal="left"/>
    </xf>
    <xf numFmtId="49" fontId="95" fillId="0" borderId="33" applyNumberFormat="0" applyAlignment="0" applyProtection="0">
      <alignment horizontal="left" wrapText="1"/>
    </xf>
    <xf numFmtId="49" fontId="95" fillId="0" borderId="0" applyNumberFormat="0" applyAlignment="0" applyProtection="0">
      <alignment horizontal="left" wrapText="1"/>
    </xf>
    <xf numFmtId="49" fontId="96" fillId="0" borderId="0" applyAlignment="0" applyProtection="0">
      <alignment horizontal="left"/>
    </xf>
    <xf numFmtId="214" fontId="2" fillId="0" borderId="0" applyFont="0" applyFill="0" applyBorder="0" applyAlignment="0" applyProtection="0"/>
    <xf numFmtId="0" fontId="97" fillId="0" borderId="0"/>
    <xf numFmtId="0" fontId="98" fillId="0" borderId="0"/>
    <xf numFmtId="0" fontId="72" fillId="0" borderId="0"/>
    <xf numFmtId="188" fontId="61" fillId="0" borderId="0">
      <protection locked="0"/>
    </xf>
    <xf numFmtId="0" fontId="81" fillId="0" borderId="0"/>
    <xf numFmtId="0" fontId="99" fillId="0" borderId="0"/>
    <xf numFmtId="0" fontId="88" fillId="0" borderId="0"/>
    <xf numFmtId="0" fontId="100" fillId="0" borderId="0"/>
    <xf numFmtId="0" fontId="101" fillId="0" borderId="0"/>
    <xf numFmtId="0" fontId="83" fillId="0" borderId="0"/>
    <xf numFmtId="0" fontId="102" fillId="0" borderId="0"/>
    <xf numFmtId="0" fontId="89" fillId="0" borderId="0"/>
    <xf numFmtId="0" fontId="102" fillId="0" borderId="0"/>
    <xf numFmtId="0" fontId="83" fillId="0" borderId="0"/>
    <xf numFmtId="0" fontId="77" fillId="0" borderId="0"/>
    <xf numFmtId="0" fontId="83" fillId="0" borderId="0"/>
    <xf numFmtId="0" fontId="77" fillId="0" borderId="0"/>
    <xf numFmtId="0" fontId="83" fillId="0" borderId="0"/>
    <xf numFmtId="0" fontId="77" fillId="0" borderId="0"/>
    <xf numFmtId="0" fontId="83" fillId="0" borderId="0"/>
    <xf numFmtId="0" fontId="77" fillId="0" borderId="0"/>
    <xf numFmtId="0" fontId="83" fillId="0" borderId="0"/>
    <xf numFmtId="0" fontId="60" fillId="0" borderId="0"/>
    <xf numFmtId="0" fontId="60" fillId="0" borderId="0"/>
    <xf numFmtId="0" fontId="77" fillId="0" borderId="0"/>
    <xf numFmtId="0" fontId="83" fillId="0" borderId="0"/>
    <xf numFmtId="0" fontId="77" fillId="0" borderId="0"/>
    <xf numFmtId="0" fontId="83" fillId="0" borderId="0"/>
    <xf numFmtId="0" fontId="77" fillId="0" borderId="0"/>
    <xf numFmtId="0" fontId="83" fillId="0" borderId="0"/>
    <xf numFmtId="0" fontId="77" fillId="0" borderId="0"/>
    <xf numFmtId="0" fontId="83" fillId="0" borderId="0"/>
    <xf numFmtId="0" fontId="77" fillId="0" borderId="0"/>
    <xf numFmtId="0" fontId="83" fillId="0" borderId="0"/>
    <xf numFmtId="0" fontId="77" fillId="0" borderId="0"/>
    <xf numFmtId="0" fontId="83" fillId="0" borderId="0"/>
    <xf numFmtId="0" fontId="81" fillId="0" borderId="0"/>
    <xf numFmtId="0" fontId="86" fillId="0" borderId="0"/>
    <xf numFmtId="215" fontId="73" fillId="0" borderId="0"/>
    <xf numFmtId="215" fontId="73" fillId="0" borderId="0"/>
    <xf numFmtId="0" fontId="102" fillId="0" borderId="0"/>
    <xf numFmtId="0" fontId="89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3" fillId="0" borderId="0"/>
    <xf numFmtId="0" fontId="104" fillId="0" borderId="0"/>
    <xf numFmtId="0" fontId="105" fillId="0" borderId="0"/>
    <xf numFmtId="0" fontId="99" fillId="0" borderId="0"/>
    <xf numFmtId="0" fontId="105" fillId="0" borderId="0"/>
    <xf numFmtId="0" fontId="99" fillId="0" borderId="0"/>
    <xf numFmtId="0" fontId="105" fillId="0" borderId="0"/>
    <xf numFmtId="0" fontId="99" fillId="0" borderId="0"/>
    <xf numFmtId="0" fontId="105" fillId="0" borderId="0"/>
    <xf numFmtId="0" fontId="99" fillId="0" borderId="0"/>
    <xf numFmtId="0" fontId="105" fillId="0" borderId="0"/>
    <xf numFmtId="0" fontId="99" fillId="0" borderId="0"/>
    <xf numFmtId="0" fontId="105" fillId="0" borderId="0"/>
    <xf numFmtId="0" fontId="99" fillId="0" borderId="0"/>
    <xf numFmtId="0" fontId="2" fillId="0" borderId="0" applyFill="0" applyBorder="0" applyAlignment="0"/>
    <xf numFmtId="0" fontId="106" fillId="24" borderId="34" applyNumberFormat="0" applyAlignment="0" applyProtection="0">
      <alignment vertical="center"/>
    </xf>
    <xf numFmtId="216" fontId="2" fillId="25" borderId="0" applyNumberFormat="0" applyFont="0" applyBorder="0" applyAlignment="0">
      <protection locked="0"/>
    </xf>
    <xf numFmtId="0" fontId="107" fillId="0" borderId="0"/>
    <xf numFmtId="0" fontId="108" fillId="26" borderId="35" applyNumberFormat="0" applyAlignment="0" applyProtection="0">
      <alignment vertical="center"/>
    </xf>
    <xf numFmtId="37" fontId="109" fillId="0" borderId="0"/>
    <xf numFmtId="37" fontId="109" fillId="0" borderId="0"/>
    <xf numFmtId="37" fontId="109" fillId="0" borderId="0"/>
    <xf numFmtId="37" fontId="109" fillId="0" borderId="0"/>
    <xf numFmtId="37" fontId="109" fillId="0" borderId="0"/>
    <xf numFmtId="37" fontId="109" fillId="0" borderId="0"/>
    <xf numFmtId="37" fontId="109" fillId="0" borderId="0"/>
    <xf numFmtId="37" fontId="109" fillId="0" borderId="0"/>
    <xf numFmtId="41" fontId="2" fillId="0" borderId="0" applyFont="0" applyFill="0" applyBorder="0" applyAlignment="0" applyProtection="0">
      <alignment vertical="center"/>
    </xf>
    <xf numFmtId="0" fontId="57" fillId="0" borderId="0" applyFont="0" applyFill="0" applyBorder="0" applyAlignment="0" applyProtection="0"/>
    <xf numFmtId="217" fontId="110" fillId="0" borderId="0" applyFont="0" applyFill="0" applyBorder="0" applyAlignment="0" applyProtection="0">
      <alignment horizontal="right"/>
    </xf>
    <xf numFmtId="218" fontId="110" fillId="0" borderId="0" applyFont="0" applyFill="0" applyBorder="0" applyAlignment="0" applyProtection="0">
      <alignment horizontal="right"/>
    </xf>
    <xf numFmtId="219" fontId="2" fillId="0" borderId="0"/>
    <xf numFmtId="0" fontId="57" fillId="0" borderId="0" applyFont="0" applyFill="0" applyBorder="0" applyAlignment="0" applyProtection="0"/>
    <xf numFmtId="220" fontId="2" fillId="0" borderId="0" applyFont="0" applyFill="0" applyBorder="0" applyAlignment="0" applyProtection="0"/>
    <xf numFmtId="0" fontId="111" fillId="0" borderId="0" applyNumberFormat="0" applyAlignment="0">
      <alignment horizontal="left"/>
    </xf>
    <xf numFmtId="0" fontId="2" fillId="0" borderId="0" applyFont="0" applyFill="0" applyBorder="0" applyAlignment="0" applyProtection="0"/>
    <xf numFmtId="221" fontId="110" fillId="0" borderId="0" applyFont="0" applyFill="0" applyBorder="0" applyAlignment="0" applyProtection="0">
      <alignment horizontal="right"/>
    </xf>
    <xf numFmtId="222" fontId="110" fillId="0" borderId="0" applyFont="0" applyFill="0" applyBorder="0" applyAlignment="0" applyProtection="0">
      <alignment horizontal="right"/>
    </xf>
    <xf numFmtId="223" fontId="63" fillId="0" borderId="5" applyFill="0" applyBorder="0" applyAlignment="0"/>
    <xf numFmtId="0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0" fontId="2" fillId="0" borderId="0"/>
    <xf numFmtId="225" fontId="112" fillId="0" borderId="0">
      <protection locked="0"/>
    </xf>
    <xf numFmtId="226" fontId="110" fillId="0" borderId="0" applyFont="0" applyFill="0" applyBorder="0" applyAlignment="0" applyProtection="0"/>
    <xf numFmtId="0" fontId="87" fillId="0" borderId="0" applyFill="0" applyBorder="0" applyAlignment="0" applyProtection="0"/>
    <xf numFmtId="38" fontId="60" fillId="0" borderId="0" applyFont="0" applyFill="0" applyBorder="0" applyAlignment="0" applyProtection="0"/>
    <xf numFmtId="40" fontId="60" fillId="0" borderId="0" applyFont="0" applyFill="0" applyBorder="0" applyAlignment="0" applyProtection="0"/>
    <xf numFmtId="227" fontId="57" fillId="0" borderId="0"/>
    <xf numFmtId="228" fontId="63" fillId="0" borderId="0"/>
    <xf numFmtId="229" fontId="110" fillId="0" borderId="36" applyNumberFormat="0" applyFont="0" applyFill="0" applyAlignment="0" applyProtection="0"/>
    <xf numFmtId="196" fontId="113" fillId="0" borderId="0" applyFill="0" applyBorder="0" applyAlignment="0" applyProtection="0"/>
    <xf numFmtId="0" fontId="114" fillId="0" borderId="0" applyNumberFormat="0" applyAlignment="0">
      <alignment horizontal="left"/>
    </xf>
    <xf numFmtId="230" fontId="2" fillId="0" borderId="0" applyFon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>
      <protection locked="0"/>
    </xf>
    <xf numFmtId="0" fontId="116" fillId="0" borderId="0">
      <protection locked="0"/>
    </xf>
    <xf numFmtId="0" fontId="117" fillId="0" borderId="0">
      <protection locked="0"/>
    </xf>
    <xf numFmtId="0" fontId="116" fillId="0" borderId="0">
      <protection locked="0"/>
    </xf>
    <xf numFmtId="0" fontId="116" fillId="0" borderId="0">
      <protection locked="0"/>
    </xf>
    <xf numFmtId="0" fontId="116" fillId="0" borderId="0">
      <protection locked="0"/>
    </xf>
    <xf numFmtId="0" fontId="117" fillId="0" borderId="0">
      <protection locked="0"/>
    </xf>
    <xf numFmtId="231" fontId="112" fillId="0" borderId="0">
      <protection locked="0"/>
    </xf>
    <xf numFmtId="0" fontId="118" fillId="0" borderId="0" applyFill="0" applyBorder="0" applyProtection="0">
      <alignment horizontal="left"/>
    </xf>
    <xf numFmtId="0" fontId="119" fillId="8" borderId="0" applyNumberFormat="0" applyBorder="0" applyAlignment="0" applyProtection="0">
      <alignment vertical="center"/>
    </xf>
    <xf numFmtId="38" fontId="94" fillId="27" borderId="0" applyNumberFormat="0" applyBorder="0" applyAlignment="0" applyProtection="0"/>
    <xf numFmtId="0" fontId="120" fillId="0" borderId="37">
      <alignment horizontal="left" vertical="center"/>
      <protection locked="0"/>
    </xf>
    <xf numFmtId="232" fontId="110" fillId="0" borderId="0" applyFont="0" applyFill="0" applyBorder="0" applyAlignment="0" applyProtection="0">
      <alignment horizontal="right"/>
    </xf>
    <xf numFmtId="0" fontId="121" fillId="0" borderId="0" applyNumberFormat="0" applyBorder="0"/>
    <xf numFmtId="0" fontId="122" fillId="0" borderId="25" applyNumberFormat="0" applyBorder="0"/>
    <xf numFmtId="0" fontId="123" fillId="0" borderId="0"/>
    <xf numFmtId="0" fontId="124" fillId="0" borderId="0">
      <alignment horizontal="left"/>
    </xf>
    <xf numFmtId="0" fontId="121" fillId="0" borderId="38" applyNumberFormat="0" applyAlignment="0" applyProtection="0">
      <alignment horizontal="left" vertical="center"/>
    </xf>
    <xf numFmtId="0" fontId="121" fillId="0" borderId="27">
      <alignment horizontal="left" vertical="center"/>
    </xf>
    <xf numFmtId="14" fontId="125" fillId="28" borderId="32">
      <alignment horizontal="center" vertical="center" wrapText="1"/>
    </xf>
    <xf numFmtId="0" fontId="126" fillId="0" borderId="39" applyNumberFormat="0" applyFill="0" applyAlignment="0" applyProtection="0">
      <alignment vertical="center"/>
    </xf>
    <xf numFmtId="0" fontId="127" fillId="0" borderId="40" applyNumberFormat="0" applyFill="0" applyAlignment="0" applyProtection="0">
      <alignment vertical="center"/>
    </xf>
    <xf numFmtId="0" fontId="128" fillId="0" borderId="41" applyNumberFormat="0" applyFill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9" fillId="0" borderId="0"/>
    <xf numFmtId="233" fontId="112" fillId="0" borderId="0">
      <protection locked="0"/>
    </xf>
    <xf numFmtId="233" fontId="112" fillId="0" borderId="0">
      <protection locked="0"/>
    </xf>
    <xf numFmtId="0" fontId="130" fillId="0" borderId="42" applyNumberFormat="0" applyFill="0" applyBorder="0" applyAlignment="0" applyProtection="0">
      <alignment horizontal="left"/>
    </xf>
    <xf numFmtId="0" fontId="131" fillId="11" borderId="34" applyNumberFormat="0" applyAlignment="0" applyProtection="0">
      <alignment vertical="center"/>
    </xf>
    <xf numFmtId="10" fontId="94" fillId="27" borderId="5" applyNumberFormat="0" applyBorder="0" applyAlignment="0" applyProtection="0"/>
    <xf numFmtId="0" fontId="131" fillId="11" borderId="34" applyNumberFormat="0" applyAlignment="0" applyProtection="0">
      <alignment vertical="center"/>
    </xf>
    <xf numFmtId="0" fontId="132" fillId="0" borderId="0" applyNumberFormat="0" applyFill="0" applyBorder="0" applyAlignment="0">
      <protection locked="0"/>
    </xf>
    <xf numFmtId="234" fontId="63" fillId="0" borderId="0">
      <alignment vertical="center"/>
    </xf>
    <xf numFmtId="0" fontId="91" fillId="0" borderId="0" applyNumberFormat="0" applyFont="0" applyFill="0" applyBorder="0" applyProtection="0">
      <alignment horizontal="left" vertical="center"/>
    </xf>
    <xf numFmtId="0" fontId="133" fillId="0" borderId="43" applyNumberFormat="0" applyFill="0" applyAlignment="0" applyProtection="0">
      <alignment vertical="center"/>
    </xf>
    <xf numFmtId="38" fontId="134" fillId="29" borderId="0">
      <alignment horizontal="left" indent="1"/>
    </xf>
    <xf numFmtId="235" fontId="110" fillId="0" borderId="0" applyFont="0" applyFill="0" applyBorder="0" applyAlignment="0" applyProtection="0"/>
    <xf numFmtId="236" fontId="110" fillId="0" borderId="0" applyFont="0" applyFill="0" applyBorder="0" applyAlignment="0" applyProtection="0"/>
    <xf numFmtId="237" fontId="2" fillId="0" borderId="0" applyFont="0" applyFill="0" applyBorder="0" applyAlignment="0" applyProtection="0"/>
    <xf numFmtId="238" fontId="2" fillId="0" borderId="0" applyFont="0" applyFill="0" applyBorder="0" applyAlignment="0" applyProtection="0"/>
    <xf numFmtId="0" fontId="135" fillId="27" borderId="44">
      <alignment horizontal="left" vertical="top" indent="2"/>
    </xf>
    <xf numFmtId="0" fontId="136" fillId="0" borderId="32"/>
    <xf numFmtId="0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189" fontId="2" fillId="0" borderId="0" applyFont="0" applyFill="0" applyBorder="0" applyAlignment="0" applyProtection="0"/>
    <xf numFmtId="239" fontId="2" fillId="0" borderId="0" applyFont="0" applyFill="0" applyBorder="0" applyAlignment="0" applyProtection="0"/>
    <xf numFmtId="0" fontId="137" fillId="30" borderId="25"/>
    <xf numFmtId="0" fontId="138" fillId="31" borderId="0" applyNumberFormat="0" applyBorder="0" applyAlignment="0" applyProtection="0">
      <alignment vertical="center"/>
    </xf>
    <xf numFmtId="37" fontId="139" fillId="0" borderId="0"/>
    <xf numFmtId="0" fontId="63" fillId="0" borderId="0"/>
    <xf numFmtId="0" fontId="140" fillId="0" borderId="0"/>
    <xf numFmtId="0" fontId="140" fillId="0" borderId="0"/>
    <xf numFmtId="0" fontId="140" fillId="0" borderId="0"/>
    <xf numFmtId="0" fontId="140" fillId="0" borderId="0"/>
    <xf numFmtId="0" fontId="140" fillId="0" borderId="0"/>
    <xf numFmtId="0" fontId="140" fillId="0" borderId="0"/>
    <xf numFmtId="0" fontId="140" fillId="0" borderId="0"/>
    <xf numFmtId="0" fontId="2" fillId="0" borderId="0">
      <alignment vertical="center"/>
    </xf>
    <xf numFmtId="0" fontId="141" fillId="0" borderId="0">
      <alignment vertical="center"/>
    </xf>
    <xf numFmtId="0" fontId="57" fillId="0" borderId="0"/>
    <xf numFmtId="0" fontId="91" fillId="0" borderId="0" applyFont="0" applyFill="0" applyBorder="0" applyAlignment="0" applyProtection="0">
      <alignment horizontal="centerContinuous"/>
    </xf>
    <xf numFmtId="0" fontId="91" fillId="0" borderId="0" applyFont="0" applyFill="0" applyBorder="0" applyAlignment="0" applyProtection="0">
      <alignment horizontal="centerContinuous"/>
    </xf>
    <xf numFmtId="0" fontId="91" fillId="0" borderId="0" applyFont="0" applyFill="0" applyBorder="0" applyAlignment="0" applyProtection="0">
      <alignment horizontal="centerContinuous"/>
    </xf>
    <xf numFmtId="0" fontId="2" fillId="0" borderId="0" applyFont="0" applyFill="0" applyBorder="0" applyAlignment="0" applyProtection="0">
      <alignment horizontal="centerContinuous"/>
    </xf>
    <xf numFmtId="240" fontId="2" fillId="0" borderId="0"/>
    <xf numFmtId="0" fontId="2" fillId="32" borderId="45" applyNumberFormat="0" applyFont="0" applyAlignment="0" applyProtection="0">
      <alignment vertical="center"/>
    </xf>
    <xf numFmtId="0" fontId="142" fillId="0" borderId="46">
      <alignment vertical="top" wrapText="1"/>
    </xf>
    <xf numFmtId="0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40" fontId="143" fillId="0" borderId="0" applyFont="0" applyFill="0" applyBorder="0" applyAlignment="0" applyProtection="0"/>
    <xf numFmtId="38" fontId="143" fillId="0" borderId="0" applyFont="0" applyFill="0" applyBorder="0" applyAlignment="0" applyProtection="0"/>
    <xf numFmtId="0" fontId="57" fillId="0" borderId="0"/>
    <xf numFmtId="0" fontId="144" fillId="24" borderId="47" applyNumberFormat="0" applyAlignment="0" applyProtection="0">
      <alignment vertical="center"/>
    </xf>
    <xf numFmtId="40" fontId="145" fillId="27" borderId="0">
      <alignment horizontal="right"/>
    </xf>
    <xf numFmtId="0" fontId="146" fillId="33" borderId="0">
      <alignment horizontal="center"/>
    </xf>
    <xf numFmtId="0" fontId="147" fillId="34" borderId="22"/>
    <xf numFmtId="0" fontId="148" fillId="0" borderId="0" applyBorder="0">
      <alignment horizontal="centerContinuous"/>
    </xf>
    <xf numFmtId="0" fontId="149" fillId="0" borderId="0" applyBorder="0">
      <alignment horizontal="centerContinuous"/>
    </xf>
    <xf numFmtId="0" fontId="144" fillId="24" borderId="47" applyNumberFormat="0" applyAlignment="0" applyProtection="0">
      <alignment vertical="center"/>
    </xf>
    <xf numFmtId="1" fontId="150" fillId="0" borderId="0" applyProtection="0">
      <alignment horizontal="right" vertical="center"/>
    </xf>
    <xf numFmtId="0" fontId="151" fillId="27" borderId="0"/>
    <xf numFmtId="0" fontId="152" fillId="27" borderId="32"/>
    <xf numFmtId="207" fontId="58" fillId="0" borderId="0"/>
    <xf numFmtId="241" fontId="112" fillId="0" borderId="0" applyFont="0" applyFill="0" applyBorder="0" applyAlignment="0" applyProtection="0"/>
    <xf numFmtId="10" fontId="57" fillId="0" borderId="0" applyFont="0" applyFill="0" applyBorder="0" applyAlignment="0" applyProtection="0"/>
    <xf numFmtId="242" fontId="2" fillId="0" borderId="0" applyFont="0" applyFill="0" applyBorder="0" applyAlignment="0" applyProtection="0"/>
    <xf numFmtId="0" fontId="153" fillId="33" borderId="48"/>
    <xf numFmtId="0" fontId="60" fillId="0" borderId="0" applyNumberFormat="0" applyFont="0" applyFill="0" applyBorder="0" applyAlignment="0" applyProtection="0">
      <alignment horizontal="left"/>
    </xf>
    <xf numFmtId="243" fontId="57" fillId="0" borderId="0" applyNumberFormat="0" applyFill="0" applyBorder="0" applyAlignment="0" applyProtection="0">
      <alignment horizontal="left"/>
    </xf>
    <xf numFmtId="0" fontId="63" fillId="0" borderId="0"/>
    <xf numFmtId="0" fontId="57" fillId="0" borderId="0"/>
    <xf numFmtId="196" fontId="154" fillId="0" borderId="0" applyFill="0" applyBorder="0" applyAlignment="0" applyProtection="0"/>
    <xf numFmtId="0" fontId="155" fillId="0" borderId="49" applyFill="0" applyProtection="0">
      <alignment horizontal="right" wrapText="1"/>
    </xf>
    <xf numFmtId="0" fontId="156" fillId="0" borderId="0" applyAlignment="0" applyProtection="0"/>
    <xf numFmtId="2" fontId="157" fillId="0" borderId="0">
      <alignment horizontal="left" vertical="center"/>
      <protection locked="0"/>
    </xf>
    <xf numFmtId="0" fontId="125" fillId="0" borderId="50"/>
    <xf numFmtId="0" fontId="158" fillId="0" borderId="0">
      <alignment horizontal="left" indent="1"/>
    </xf>
    <xf numFmtId="0" fontId="136" fillId="0" borderId="0"/>
    <xf numFmtId="40" fontId="159" fillId="0" borderId="0" applyBorder="0">
      <alignment horizontal="right"/>
    </xf>
    <xf numFmtId="0" fontId="160" fillId="0" borderId="0" applyBorder="0" applyProtection="0">
      <alignment vertical="center"/>
    </xf>
    <xf numFmtId="229" fontId="160" fillId="0" borderId="25" applyBorder="0" applyProtection="0">
      <alignment horizontal="right" vertical="center"/>
    </xf>
    <xf numFmtId="0" fontId="161" fillId="35" borderId="0" applyBorder="0" applyProtection="0">
      <alignment horizontal="centerContinuous" vertical="center"/>
    </xf>
    <xf numFmtId="0" fontId="161" fillId="36" borderId="25" applyBorder="0" applyProtection="0">
      <alignment horizontal="centerContinuous" vertical="center"/>
    </xf>
    <xf numFmtId="0" fontId="162" fillId="0" borderId="0" applyFill="0" applyBorder="0" applyProtection="0">
      <alignment horizontal="left"/>
    </xf>
    <xf numFmtId="0" fontId="118" fillId="0" borderId="26" applyFill="0" applyBorder="0" applyProtection="0">
      <alignment horizontal="left" vertical="top"/>
    </xf>
    <xf numFmtId="0" fontId="163" fillId="37" borderId="0"/>
    <xf numFmtId="0" fontId="77" fillId="0" borderId="0"/>
    <xf numFmtId="0" fontId="164" fillId="0" borderId="0" applyFill="0" applyBorder="0" applyProtection="0">
      <alignment horizontal="left" vertical="top"/>
    </xf>
    <xf numFmtId="0" fontId="91" fillId="0" borderId="0" applyNumberFormat="0" applyFill="0" applyBorder="0" applyAlignment="0" applyProtection="0"/>
    <xf numFmtId="0" fontId="165" fillId="0" borderId="0" applyNumberFormat="0" applyFill="0" applyBorder="0" applyAlignment="0" applyProtection="0"/>
    <xf numFmtId="40" fontId="166" fillId="0" borderId="0"/>
    <xf numFmtId="0" fontId="167" fillId="0" borderId="0" applyNumberFormat="0" applyFill="0" applyBorder="0" applyAlignment="0" applyProtection="0">
      <alignment vertical="center"/>
    </xf>
    <xf numFmtId="0" fontId="168" fillId="0" borderId="51" applyNumberFormat="0" applyFill="0" applyAlignment="0" applyProtection="0">
      <alignment vertical="center"/>
    </xf>
    <xf numFmtId="0" fontId="169" fillId="0" borderId="0">
      <alignment horizontal="fill"/>
    </xf>
    <xf numFmtId="203" fontId="2" fillId="0" borderId="0" applyFont="0" applyFill="0" applyBorder="0" applyAlignment="0" applyProtection="0"/>
    <xf numFmtId="195" fontId="2" fillId="0" borderId="0" applyFont="0" applyFill="0" applyBorder="0" applyAlignment="0" applyProtection="0"/>
    <xf numFmtId="0" fontId="170" fillId="0" borderId="0" applyNumberFormat="0" applyFill="0" applyBorder="0" applyAlignment="0" applyProtection="0">
      <alignment vertical="center"/>
    </xf>
    <xf numFmtId="0" fontId="84" fillId="0" borderId="0" applyNumberFormat="0" applyFont="0" applyFill="0" applyBorder="0" applyProtection="0">
      <alignment horizontal="center" vertical="center" wrapText="1"/>
    </xf>
    <xf numFmtId="244" fontId="2" fillId="0" borderId="0" applyFont="0" applyFill="0" applyBorder="0" applyAlignment="0" applyProtection="0"/>
    <xf numFmtId="0" fontId="171" fillId="0" borderId="0"/>
    <xf numFmtId="223" fontId="172" fillId="27" borderId="0">
      <alignment vertical="center"/>
    </xf>
    <xf numFmtId="2" fontId="173" fillId="0" borderId="0" applyFont="0" applyFill="0" applyBorder="0" applyAlignment="0" applyProtection="0"/>
    <xf numFmtId="0" fontId="174" fillId="0" borderId="0" applyNumberFormat="0" applyFill="0" applyBorder="0" applyAlignment="0" applyProtection="0"/>
    <xf numFmtId="0" fontId="175" fillId="0" borderId="0" applyNumberFormat="0" applyFill="0" applyBorder="0" applyAlignment="0" applyProtection="0"/>
    <xf numFmtId="245" fontId="63" fillId="0" borderId="0"/>
    <xf numFmtId="246" fontId="73" fillId="0" borderId="0"/>
    <xf numFmtId="246" fontId="73" fillId="0" borderId="0"/>
    <xf numFmtId="246" fontId="73" fillId="0" borderId="0"/>
    <xf numFmtId="246" fontId="73" fillId="0" borderId="0"/>
    <xf numFmtId="246" fontId="73" fillId="0" borderId="0"/>
    <xf numFmtId="246" fontId="73" fillId="0" borderId="0"/>
    <xf numFmtId="246" fontId="73" fillId="0" borderId="0"/>
    <xf numFmtId="246" fontId="73" fillId="0" borderId="0"/>
    <xf numFmtId="246" fontId="73" fillId="0" borderId="0"/>
    <xf numFmtId="246" fontId="73" fillId="0" borderId="0"/>
    <xf numFmtId="246" fontId="73" fillId="0" borderId="0"/>
    <xf numFmtId="0" fontId="176" fillId="0" borderId="0"/>
    <xf numFmtId="247" fontId="57" fillId="0" borderId="5">
      <alignment horizontal="right" vertical="center" shrinkToFit="1"/>
    </xf>
    <xf numFmtId="248" fontId="73" fillId="0" borderId="24"/>
    <xf numFmtId="0" fontId="173" fillId="0" borderId="0" applyFont="0" applyFill="0" applyBorder="0" applyAlignment="0" applyProtection="0"/>
    <xf numFmtId="1" fontId="69" fillId="0" borderId="5" applyFill="0" applyBorder="0">
      <alignment horizontal="center"/>
    </xf>
    <xf numFmtId="0" fontId="173" fillId="0" borderId="0" applyFont="0" applyFill="0" applyBorder="0" applyAlignment="0" applyProtection="0"/>
    <xf numFmtId="0" fontId="177" fillId="0" borderId="0" applyNumberFormat="0" applyFill="0" applyBorder="0" applyAlignment="0" applyProtection="0">
      <alignment vertical="top"/>
      <protection locked="0"/>
    </xf>
    <xf numFmtId="49" fontId="178" fillId="0" borderId="11">
      <alignment horizontal="left" vertical="center" indent="1"/>
    </xf>
    <xf numFmtId="188" fontId="61" fillId="0" borderId="0">
      <protection locked="0"/>
    </xf>
    <xf numFmtId="188" fontId="61" fillId="0" borderId="0">
      <protection locked="0"/>
    </xf>
    <xf numFmtId="40" fontId="179" fillId="0" borderId="0" applyFont="0" applyFill="0" applyBorder="0" applyAlignment="0" applyProtection="0"/>
    <xf numFmtId="38" fontId="179" fillId="0" borderId="0" applyFont="0" applyFill="0" applyBorder="0" applyAlignment="0" applyProtection="0"/>
    <xf numFmtId="249" fontId="63" fillId="0" borderId="0">
      <alignment vertical="center"/>
    </xf>
    <xf numFmtId="0" fontId="179" fillId="0" borderId="0" applyFont="0" applyFill="0" applyBorder="0" applyAlignment="0" applyProtection="0"/>
    <xf numFmtId="0" fontId="179" fillId="0" borderId="0" applyFont="0" applyFill="0" applyBorder="0" applyAlignment="0" applyProtection="0"/>
    <xf numFmtId="0" fontId="180" fillId="0" borderId="0"/>
    <xf numFmtId="250" fontId="63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251" fontId="91" fillId="0" borderId="0" applyFill="0" applyBorder="0" applyProtection="0">
      <alignment vertical="center"/>
    </xf>
    <xf numFmtId="0" fontId="181" fillId="0" borderId="0"/>
    <xf numFmtId="188" fontId="61" fillId="0" borderId="0">
      <protection locked="0"/>
    </xf>
    <xf numFmtId="0" fontId="63" fillId="0" borderId="0" applyBorder="0"/>
    <xf numFmtId="0" fontId="2" fillId="0" borderId="0"/>
    <xf numFmtId="252" fontId="63" fillId="0" borderId="0" applyFont="0" applyFill="0" applyBorder="0" applyAlignment="0" applyProtection="0"/>
    <xf numFmtId="0" fontId="2" fillId="0" borderId="0" applyFont="0" applyFill="0" applyBorder="0" applyAlignment="0" applyProtection="0"/>
    <xf numFmtId="253" fontId="73" fillId="0" borderId="24">
      <alignment horizontal="left"/>
    </xf>
    <xf numFmtId="37" fontId="58" fillId="0" borderId="23" applyAlignment="0"/>
    <xf numFmtId="223" fontId="182" fillId="27" borderId="5">
      <alignment horizontal="right" vertical="center"/>
      <protection locked="0"/>
    </xf>
    <xf numFmtId="207" fontId="183" fillId="0" borderId="0">
      <alignment vertical="center"/>
    </xf>
    <xf numFmtId="254" fontId="2" fillId="0" borderId="24" applyFill="0" applyBorder="0" applyProtection="0">
      <alignment vertical="center"/>
    </xf>
    <xf numFmtId="41" fontId="2" fillId="0" borderId="0" applyFont="0" applyFill="0" applyBorder="0" applyAlignment="0" applyProtection="0">
      <alignment vertical="center"/>
    </xf>
    <xf numFmtId="223" fontId="4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255" fontId="55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  <xf numFmtId="41" fontId="57" fillId="0" borderId="0" applyFont="0" applyFill="0" applyBorder="0" applyAlignment="0" applyProtection="0"/>
    <xf numFmtId="41" fontId="141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84" fillId="0" borderId="0" applyFont="0" applyFill="0" applyBorder="0" applyAlignment="0" applyProtection="0">
      <alignment vertical="center"/>
    </xf>
    <xf numFmtId="41" fontId="141" fillId="0" borderId="0" applyFont="0" applyFill="0" applyBorder="0" applyAlignment="0" applyProtection="0">
      <alignment vertical="center"/>
    </xf>
    <xf numFmtId="0" fontId="57" fillId="0" borderId="0"/>
    <xf numFmtId="0" fontId="57" fillId="0" borderId="0" applyFont="0" applyFill="0" applyBorder="0" applyAlignment="0" applyProtection="0"/>
    <xf numFmtId="256" fontId="63" fillId="0" borderId="0" applyFont="0" applyFill="0" applyBorder="0" applyAlignment="0" applyProtection="0"/>
    <xf numFmtId="256" fontId="63" fillId="0" borderId="0" applyFont="0" applyFill="0" applyBorder="0" applyAlignment="0" applyProtection="0"/>
    <xf numFmtId="0" fontId="57" fillId="0" borderId="0" applyFont="0" applyFill="0" applyBorder="0" applyAlignment="0" applyProtection="0"/>
    <xf numFmtId="256" fontId="63" fillId="0" borderId="0" applyFont="0" applyFill="0" applyBorder="0" applyAlignment="0" applyProtection="0"/>
    <xf numFmtId="256" fontId="63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57" fillId="0" borderId="0"/>
    <xf numFmtId="0" fontId="57" fillId="0" borderId="0"/>
    <xf numFmtId="0" fontId="57" fillId="0" borderId="0"/>
    <xf numFmtId="256" fontId="63" fillId="0" borderId="0" applyFont="0" applyFill="0" applyBorder="0" applyAlignment="0" applyProtection="0"/>
    <xf numFmtId="0" fontId="57" fillId="0" borderId="0" applyFont="0" applyFill="0" applyBorder="0" applyAlignment="0" applyProtection="0"/>
    <xf numFmtId="256" fontId="63" fillId="0" borderId="0" applyFont="0" applyFill="0" applyBorder="0" applyAlignment="0" applyProtection="0"/>
    <xf numFmtId="256" fontId="63" fillId="0" borderId="0" applyFont="0" applyFill="0" applyBorder="0" applyAlignment="0" applyProtection="0"/>
    <xf numFmtId="0" fontId="57" fillId="0" borderId="0" applyFont="0" applyFill="0" applyBorder="0" applyAlignment="0" applyProtection="0"/>
    <xf numFmtId="234" fontId="63" fillId="0" borderId="22"/>
    <xf numFmtId="234" fontId="63" fillId="0" borderId="22"/>
    <xf numFmtId="234" fontId="63" fillId="0" borderId="22"/>
    <xf numFmtId="234" fontId="63" fillId="0" borderId="22"/>
    <xf numFmtId="234" fontId="63" fillId="0" borderId="22"/>
    <xf numFmtId="234" fontId="63" fillId="0" borderId="22"/>
    <xf numFmtId="257" fontId="185" fillId="0" borderId="0">
      <alignment horizontal="center"/>
    </xf>
    <xf numFmtId="0" fontId="186" fillId="0" borderId="52"/>
    <xf numFmtId="258" fontId="63" fillId="0" borderId="0"/>
    <xf numFmtId="259" fontId="63" fillId="0" borderId="0"/>
    <xf numFmtId="260" fontId="63" fillId="0" borderId="0"/>
    <xf numFmtId="0" fontId="187" fillId="0" borderId="0" applyNumberFormat="0" applyFill="0" applyBorder="0" applyAlignment="0" applyProtection="0">
      <alignment vertical="top"/>
      <protection locked="0"/>
    </xf>
    <xf numFmtId="253" fontId="188" fillId="0" borderId="0" applyFont="0" applyFill="0" applyBorder="0" applyAlignment="0" applyProtection="0"/>
    <xf numFmtId="261" fontId="63" fillId="0" borderId="0" applyFont="0" applyFill="0" applyBorder="0" applyAlignment="0" applyProtection="0"/>
    <xf numFmtId="261" fontId="63" fillId="0" borderId="0" applyFont="0" applyFill="0" applyBorder="0" applyAlignment="0" applyProtection="0"/>
    <xf numFmtId="261" fontId="63" fillId="0" borderId="0" applyFont="0" applyFill="0" applyBorder="0" applyAlignment="0" applyProtection="0"/>
    <xf numFmtId="261" fontId="63" fillId="0" borderId="0" applyFont="0" applyFill="0" applyBorder="0" applyAlignment="0" applyProtection="0"/>
    <xf numFmtId="262" fontId="2" fillId="0" borderId="0" applyFont="0" applyFill="0" applyBorder="0" applyAlignment="0" applyProtection="0"/>
    <xf numFmtId="253" fontId="188" fillId="0" borderId="0" applyFont="0" applyFill="0" applyBorder="0" applyAlignment="0" applyProtection="0"/>
    <xf numFmtId="261" fontId="63" fillId="0" borderId="0" applyFont="0" applyFill="0" applyBorder="0" applyAlignment="0" applyProtection="0"/>
    <xf numFmtId="183" fontId="189" fillId="0" borderId="0" applyFont="0" applyFill="0" applyBorder="0" applyAlignment="0" applyProtection="0"/>
    <xf numFmtId="253" fontId="188" fillId="0" borderId="0" applyFont="0" applyFill="0" applyBorder="0" applyAlignment="0" applyProtection="0"/>
    <xf numFmtId="253" fontId="188" fillId="0" borderId="0" applyFont="0" applyFill="0" applyBorder="0" applyAlignment="0" applyProtection="0"/>
    <xf numFmtId="263" fontId="165" fillId="0" borderId="0" applyFill="0" applyBorder="0" applyProtection="0">
      <alignment horizontal="right"/>
    </xf>
    <xf numFmtId="0" fontId="58" fillId="0" borderId="53">
      <alignment vertical="justify" wrapText="1"/>
    </xf>
    <xf numFmtId="253" fontId="73" fillId="0" borderId="24">
      <alignment horizontal="left"/>
    </xf>
    <xf numFmtId="0" fontId="165" fillId="0" borderId="0"/>
    <xf numFmtId="4" fontId="190" fillId="0" borderId="0" applyFont="0" applyFill="0" applyBorder="0" applyAlignment="0" applyProtection="0"/>
    <xf numFmtId="3" fontId="190" fillId="0" borderId="0" applyFont="0" applyFill="0" applyBorder="0" applyAlignment="0" applyProtection="0"/>
    <xf numFmtId="264" fontId="63" fillId="0" borderId="0">
      <alignment horizontal="center" vertical="center"/>
    </xf>
    <xf numFmtId="265" fontId="63" fillId="0" borderId="0"/>
    <xf numFmtId="266" fontId="63" fillId="0" borderId="0"/>
    <xf numFmtId="249" fontId="63" fillId="0" borderId="0">
      <alignment vertical="center"/>
    </xf>
    <xf numFmtId="249" fontId="63" fillId="0" borderId="0">
      <alignment vertical="center"/>
    </xf>
    <xf numFmtId="267" fontId="63" fillId="0" borderId="5">
      <alignment horizontal="left" vertical="center"/>
    </xf>
    <xf numFmtId="268" fontId="57" fillId="0" borderId="0" applyFill="0" applyBorder="0" applyProtection="0">
      <alignment vertical="center"/>
    </xf>
    <xf numFmtId="269" fontId="185" fillId="0" borderId="0">
      <alignment horizontal="right" vertical="center"/>
    </xf>
    <xf numFmtId="0" fontId="63" fillId="0" borderId="0"/>
    <xf numFmtId="0" fontId="67" fillId="0" borderId="0"/>
    <xf numFmtId="41" fontId="165" fillId="0" borderId="0" applyFont="0" applyFill="0" applyBorder="0" applyAlignment="0" applyProtection="0"/>
    <xf numFmtId="43" fontId="165" fillId="0" borderId="0" applyFont="0" applyFill="0" applyBorder="0" applyAlignment="0" applyProtection="0"/>
    <xf numFmtId="270" fontId="63" fillId="0" borderId="0"/>
    <xf numFmtId="0" fontId="63" fillId="0" borderId="0" applyFont="0" applyFill="0" applyBorder="0" applyAlignment="0" applyProtection="0"/>
    <xf numFmtId="38" fontId="63" fillId="0" borderId="0" applyFont="0" applyFill="0" applyBorder="0" applyAlignment="0" applyProtection="0"/>
    <xf numFmtId="0" fontId="63" fillId="0" borderId="24">
      <alignment vertical="center" shrinkToFit="1"/>
    </xf>
    <xf numFmtId="0" fontId="63" fillId="0" borderId="0" applyFont="0" applyFill="0" applyBorder="0" applyAlignment="0" applyProtection="0"/>
    <xf numFmtId="256" fontId="63" fillId="0" borderId="0" applyFont="0" applyFill="0" applyBorder="0" applyAlignment="0" applyProtection="0"/>
    <xf numFmtId="271" fontId="191" fillId="0" borderId="0" applyFont="0" applyFill="0" applyBorder="0" applyAlignment="0" applyProtection="0"/>
    <xf numFmtId="42" fontId="2" fillId="0" borderId="0" applyFont="0" applyFill="0" applyBorder="0" applyAlignment="0" applyProtection="0">
      <alignment vertical="center"/>
    </xf>
    <xf numFmtId="203" fontId="192" fillId="0" borderId="0" applyFont="0" applyFill="0" applyBorder="0" applyAlignment="0" applyProtection="0">
      <alignment vertical="center"/>
    </xf>
    <xf numFmtId="0" fontId="193" fillId="38" borderId="54"/>
    <xf numFmtId="9" fontId="190" fillId="0" borderId="0" applyFont="0" applyFill="0" applyBorder="0" applyAlignment="0" applyProtection="0"/>
    <xf numFmtId="272" fontId="63" fillId="0" borderId="22"/>
    <xf numFmtId="272" fontId="63" fillId="0" borderId="22"/>
    <xf numFmtId="272" fontId="63" fillId="0" borderId="22"/>
    <xf numFmtId="272" fontId="63" fillId="0" borderId="22"/>
    <xf numFmtId="272" fontId="63" fillId="0" borderId="22"/>
    <xf numFmtId="272" fontId="63" fillId="0" borderId="22"/>
    <xf numFmtId="0" fontId="57" fillId="0" borderId="0"/>
    <xf numFmtId="0" fontId="1" fillId="0" borderId="0">
      <alignment vertical="center"/>
    </xf>
    <xf numFmtId="0" fontId="57" fillId="0" borderId="0"/>
    <xf numFmtId="0" fontId="2" fillId="0" borderId="0">
      <alignment vertical="center"/>
    </xf>
    <xf numFmtId="0" fontId="2" fillId="0" borderId="0">
      <alignment vertical="center"/>
    </xf>
    <xf numFmtId="0" fontId="57" fillId="0" borderId="0"/>
    <xf numFmtId="0" fontId="194" fillId="0" borderId="0"/>
    <xf numFmtId="0" fontId="45" fillId="0" borderId="0">
      <alignment vertical="center"/>
    </xf>
    <xf numFmtId="0" fontId="2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57" fillId="0" borderId="0"/>
    <xf numFmtId="0" fontId="57" fillId="0" borderId="0"/>
    <xf numFmtId="0" fontId="2" fillId="0" borderId="0">
      <alignment vertical="center"/>
    </xf>
    <xf numFmtId="0" fontId="141" fillId="0" borderId="0">
      <alignment vertical="center"/>
    </xf>
    <xf numFmtId="0" fontId="184" fillId="0" borderId="0">
      <alignment vertical="center"/>
    </xf>
    <xf numFmtId="0" fontId="141" fillId="0" borderId="0">
      <alignment vertical="center"/>
    </xf>
    <xf numFmtId="0" fontId="184" fillId="0" borderId="0">
      <alignment vertical="center"/>
    </xf>
    <xf numFmtId="0" fontId="184" fillId="0" borderId="0">
      <alignment vertical="center"/>
    </xf>
    <xf numFmtId="0" fontId="2" fillId="0" borderId="0"/>
    <xf numFmtId="0" fontId="2" fillId="0" borderId="0"/>
    <xf numFmtId="0" fontId="57" fillId="0" borderId="0"/>
    <xf numFmtId="0" fontId="184" fillId="0" borderId="0">
      <alignment vertical="center"/>
    </xf>
    <xf numFmtId="0" fontId="57" fillId="0" borderId="0"/>
    <xf numFmtId="0" fontId="194" fillId="0" borderId="0"/>
    <xf numFmtId="0" fontId="57" fillId="0" borderId="0"/>
    <xf numFmtId="0" fontId="2" fillId="0" borderId="0">
      <alignment vertical="center"/>
    </xf>
    <xf numFmtId="0" fontId="141" fillId="0" borderId="0">
      <alignment vertical="center"/>
    </xf>
    <xf numFmtId="0" fontId="194" fillId="0" borderId="0"/>
    <xf numFmtId="0" fontId="194" fillId="0" borderId="0"/>
    <xf numFmtId="0" fontId="54" fillId="0" borderId="0"/>
    <xf numFmtId="0" fontId="2" fillId="0" borderId="0">
      <alignment vertical="center"/>
    </xf>
    <xf numFmtId="0" fontId="141" fillId="0" borderId="0">
      <alignment vertical="center"/>
    </xf>
    <xf numFmtId="0" fontId="194" fillId="0" borderId="0"/>
    <xf numFmtId="0" fontId="141" fillId="0" borderId="0">
      <alignment vertical="center"/>
    </xf>
    <xf numFmtId="0" fontId="1" fillId="0" borderId="0">
      <alignment vertical="center"/>
    </xf>
    <xf numFmtId="0" fontId="192" fillId="0" borderId="0">
      <alignment vertical="center"/>
    </xf>
    <xf numFmtId="0" fontId="57" fillId="0" borderId="0">
      <alignment vertical="center"/>
    </xf>
    <xf numFmtId="14" fontId="63" fillId="39" borderId="0" applyFont="0" applyFill="0" applyBorder="0" applyAlignment="0"/>
    <xf numFmtId="0" fontId="173" fillId="0" borderId="55" applyNumberFormat="0" applyFont="0" applyFill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38" fontId="192" fillId="0" borderId="0" applyFont="0" applyFill="0" applyBorder="0" applyAlignment="0" applyProtection="0">
      <alignment vertical="center"/>
    </xf>
    <xf numFmtId="6" fontId="63" fillId="0" borderId="0"/>
    <xf numFmtId="273" fontId="165" fillId="0" borderId="0" applyFont="0" applyFill="0" applyBorder="0" applyAlignment="0" applyProtection="0"/>
    <xf numFmtId="274" fontId="165" fillId="0" borderId="0" applyFont="0" applyFill="0" applyBorder="0" applyAlignment="0" applyProtection="0"/>
    <xf numFmtId="203" fontId="63" fillId="0" borderId="0" applyFont="0" applyFill="0" applyBorder="0" applyAlignment="0" applyProtection="0"/>
    <xf numFmtId="203" fontId="63" fillId="0" borderId="0" applyFont="0" applyFill="0" applyBorder="0" applyAlignment="0" applyProtection="0"/>
    <xf numFmtId="223" fontId="172" fillId="0" borderId="0">
      <alignment horizontal="right" vertical="center"/>
    </xf>
    <xf numFmtId="0" fontId="54" fillId="0" borderId="0"/>
    <xf numFmtId="0" fontId="2" fillId="0" borderId="0"/>
    <xf numFmtId="255" fontId="33" fillId="0" borderId="0" applyFont="0" applyFill="0" applyBorder="0" applyAlignment="0" applyProtection="0">
      <alignment vertical="center"/>
    </xf>
  </cellStyleXfs>
  <cellXfs count="579">
    <xf numFmtId="0" fontId="0" fillId="0" borderId="0" xfId="0">
      <alignment vertical="center"/>
    </xf>
    <xf numFmtId="0" fontId="3" fillId="0" borderId="0" xfId="2" applyFont="1" applyFill="1"/>
    <xf numFmtId="0" fontId="5" fillId="0" borderId="0" xfId="2" applyFont="1" applyFill="1" applyAlignment="1">
      <alignment vertical="center"/>
    </xf>
    <xf numFmtId="0" fontId="6" fillId="0" borderId="0" xfId="2" applyFont="1" applyFill="1"/>
    <xf numFmtId="0" fontId="7" fillId="0" borderId="0" xfId="2" applyNumberFormat="1" applyFont="1" applyFill="1" applyAlignment="1">
      <alignment horizontal="center" vertical="center"/>
    </xf>
    <xf numFmtId="0" fontId="8" fillId="0" borderId="0" xfId="2" applyFont="1" applyBorder="1" applyAlignment="1">
      <alignment horizontal="center" vertical="center"/>
    </xf>
    <xf numFmtId="41" fontId="8" fillId="0" borderId="0" xfId="2" applyNumberFormat="1" applyFont="1" applyBorder="1" applyAlignment="1">
      <alignment horizontal="center" vertical="center"/>
    </xf>
    <xf numFmtId="0" fontId="9" fillId="0" borderId="0" xfId="2" applyNumberFormat="1" applyFont="1" applyFill="1" applyAlignment="1">
      <alignment horizontal="left" vertical="center"/>
    </xf>
    <xf numFmtId="0" fontId="10" fillId="0" borderId="0" xfId="2" applyFont="1" applyFill="1" applyBorder="1"/>
    <xf numFmtId="0" fontId="11" fillId="0" borderId="0" xfId="2" applyFont="1" applyFill="1"/>
    <xf numFmtId="41" fontId="12" fillId="0" borderId="0" xfId="3" applyFont="1" applyFill="1" applyAlignment="1">
      <alignment vertical="center"/>
    </xf>
    <xf numFmtId="41" fontId="14" fillId="0" borderId="0" xfId="3" applyFont="1" applyAlignment="1">
      <alignment vertical="center"/>
    </xf>
    <xf numFmtId="0" fontId="8" fillId="0" borderId="0" xfId="2" applyFont="1" applyAlignment="1">
      <alignment vertical="center"/>
    </xf>
    <xf numFmtId="41" fontId="8" fillId="0" borderId="0" xfId="3" applyFont="1" applyFill="1" applyBorder="1" applyAlignment="1">
      <alignment horizontal="center" vertical="center"/>
    </xf>
    <xf numFmtId="41" fontId="8" fillId="0" borderId="0" xfId="2" applyNumberFormat="1" applyFont="1" applyFill="1" applyBorder="1" applyAlignment="1">
      <alignment horizontal="center" vertical="center"/>
    </xf>
    <xf numFmtId="41" fontId="8" fillId="0" borderId="0" xfId="2" applyNumberFormat="1" applyFont="1" applyFill="1" applyAlignment="1">
      <alignment horizontal="center"/>
    </xf>
    <xf numFmtId="0" fontId="8" fillId="0" borderId="0" xfId="2" applyFont="1" applyFill="1" applyAlignment="1">
      <alignment horizontal="center"/>
    </xf>
    <xf numFmtId="0" fontId="8" fillId="0" borderId="0" xfId="2" applyFont="1" applyAlignment="1">
      <alignment horizontal="center" vertical="center"/>
    </xf>
    <xf numFmtId="0" fontId="15" fillId="0" borderId="0" xfId="2" applyFont="1" applyFill="1" applyBorder="1"/>
    <xf numFmtId="0" fontId="16" fillId="0" borderId="0" xfId="2" applyFont="1" applyFill="1"/>
    <xf numFmtId="0" fontId="17" fillId="0" borderId="0" xfId="2" applyFont="1" applyAlignment="1">
      <alignment horizontal="left" vertical="center" indent="1"/>
    </xf>
    <xf numFmtId="0" fontId="17" fillId="0" borderId="0" xfId="2" applyFont="1" applyAlignment="1">
      <alignment horizontal="left" vertical="center" indent="2"/>
    </xf>
    <xf numFmtId="0" fontId="8" fillId="0" borderId="0" xfId="2" applyFont="1" applyFill="1"/>
    <xf numFmtId="0" fontId="18" fillId="0" borderId="0" xfId="2" applyFont="1" applyFill="1"/>
    <xf numFmtId="41" fontId="8" fillId="0" borderId="0" xfId="2" applyNumberFormat="1" applyFont="1" applyFill="1" applyAlignment="1">
      <alignment horizontal="center" vertical="center"/>
    </xf>
    <xf numFmtId="0" fontId="18" fillId="0" borderId="0" xfId="2" applyFont="1" applyFill="1" applyBorder="1"/>
    <xf numFmtId="0" fontId="19" fillId="0" borderId="0" xfId="2" applyFont="1" applyAlignment="1">
      <alignment horizontal="left" vertical="center"/>
    </xf>
    <xf numFmtId="0" fontId="20" fillId="0" borderId="0" xfId="2" applyFont="1" applyAlignment="1">
      <alignment vertical="center"/>
    </xf>
    <xf numFmtId="0" fontId="21" fillId="0" borderId="0" xfId="2" applyFont="1" applyAlignment="1">
      <alignment vertical="center"/>
    </xf>
    <xf numFmtId="0" fontId="8" fillId="0" borderId="0" xfId="2" applyFont="1" applyFill="1" applyBorder="1"/>
    <xf numFmtId="0" fontId="8" fillId="0" borderId="0" xfId="2" applyFont="1" applyFill="1" applyAlignment="1">
      <alignment horizontal="center" vertical="center"/>
    </xf>
    <xf numFmtId="0" fontId="8" fillId="0" borderId="0" xfId="2" applyFont="1" applyAlignment="1">
      <alignment horizontal="left" vertical="center"/>
    </xf>
    <xf numFmtId="0" fontId="22" fillId="2" borderId="1" xfId="2" applyFont="1" applyFill="1" applyBorder="1" applyAlignment="1">
      <alignment horizontal="centerContinuous" vertical="center"/>
    </xf>
    <xf numFmtId="0" fontId="22" fillId="2" borderId="2" xfId="2" applyFont="1" applyFill="1" applyBorder="1" applyAlignment="1">
      <alignment horizontal="centerContinuous" vertical="center"/>
    </xf>
    <xf numFmtId="0" fontId="23" fillId="2" borderId="3" xfId="2" applyFont="1" applyFill="1" applyBorder="1" applyAlignment="1">
      <alignment horizontal="centerContinuous" vertical="center"/>
    </xf>
    <xf numFmtId="0" fontId="22" fillId="2" borderId="4" xfId="2" applyFont="1" applyFill="1" applyBorder="1" applyAlignment="1">
      <alignment horizontal="center" vertical="center"/>
    </xf>
    <xf numFmtId="0" fontId="22" fillId="2" borderId="5" xfId="2" applyFont="1" applyFill="1" applyBorder="1" applyAlignment="1">
      <alignment horizontal="center" vertical="center"/>
    </xf>
    <xf numFmtId="0" fontId="22" fillId="2" borderId="5" xfId="4" applyFont="1" applyFill="1" applyBorder="1" applyAlignment="1">
      <alignment horizontal="center" vertical="center"/>
    </xf>
    <xf numFmtId="0" fontId="23" fillId="2" borderId="6" xfId="2" applyFont="1" applyFill="1" applyBorder="1" applyAlignment="1">
      <alignment horizontal="center" vertical="center"/>
    </xf>
    <xf numFmtId="0" fontId="8" fillId="3" borderId="7" xfId="2" applyFont="1" applyFill="1" applyBorder="1" applyAlignment="1">
      <alignment horizontal="center" vertical="center" wrapText="1"/>
    </xf>
    <xf numFmtId="0" fontId="24" fillId="3" borderId="8" xfId="5" applyFont="1" applyFill="1" applyBorder="1" applyAlignment="1">
      <alignment horizontal="center" vertical="center" wrapText="1"/>
    </xf>
    <xf numFmtId="0" fontId="8" fillId="3" borderId="8" xfId="2" applyFont="1" applyFill="1" applyBorder="1" applyAlignment="1">
      <alignment horizontal="center" vertical="center" wrapText="1"/>
    </xf>
    <xf numFmtId="0" fontId="9" fillId="3" borderId="9" xfId="2" applyFont="1" applyFill="1" applyBorder="1" applyAlignment="1">
      <alignment horizontal="center" vertical="center" wrapText="1"/>
    </xf>
    <xf numFmtId="0" fontId="24" fillId="3" borderId="10" xfId="5" applyFont="1" applyFill="1" applyBorder="1" applyAlignment="1">
      <alignment horizontal="center" vertical="top" wrapText="1"/>
    </xf>
    <xf numFmtId="0" fontId="8" fillId="3" borderId="11" xfId="2" applyFont="1" applyFill="1" applyBorder="1" applyAlignment="1">
      <alignment horizontal="center" vertical="center" wrapText="1"/>
    </xf>
    <xf numFmtId="0" fontId="24" fillId="3" borderId="11" xfId="5" applyFont="1" applyFill="1" applyBorder="1" applyAlignment="1">
      <alignment horizontal="center" vertical="top" wrapText="1"/>
    </xf>
    <xf numFmtId="0" fontId="24" fillId="3" borderId="11" xfId="5" applyFont="1" applyFill="1" applyBorder="1" applyAlignment="1">
      <alignment horizontal="center" vertical="center" wrapText="1"/>
    </xf>
    <xf numFmtId="0" fontId="8" fillId="3" borderId="11" xfId="2" applyFont="1" applyFill="1" applyBorder="1" applyAlignment="1">
      <alignment horizontal="center" vertical="top" wrapText="1"/>
    </xf>
    <xf numFmtId="0" fontId="9" fillId="3" borderId="12" xfId="2" applyFont="1" applyFill="1" applyBorder="1" applyAlignment="1">
      <alignment horizontal="center" vertical="top" wrapText="1"/>
    </xf>
    <xf numFmtId="0" fontId="29" fillId="0" borderId="0" xfId="2" applyFont="1" applyFill="1" applyBorder="1"/>
    <xf numFmtId="0" fontId="5" fillId="0" borderId="13" xfId="2" applyFont="1" applyFill="1" applyBorder="1" applyAlignment="1">
      <alignment horizontal="center" vertical="center"/>
    </xf>
    <xf numFmtId="41" fontId="8" fillId="0" borderId="14" xfId="3" applyFont="1" applyFill="1" applyBorder="1" applyAlignment="1">
      <alignment horizontal="center" vertical="center"/>
    </xf>
    <xf numFmtId="0" fontId="26" fillId="0" borderId="14" xfId="2" applyFont="1" applyFill="1" applyBorder="1" applyAlignment="1">
      <alignment horizontal="center" vertical="center"/>
    </xf>
    <xf numFmtId="0" fontId="27" fillId="0" borderId="14" xfId="2" applyFont="1" applyFill="1" applyBorder="1" applyAlignment="1">
      <alignment horizontal="left" vertical="center" shrinkToFit="1"/>
    </xf>
    <xf numFmtId="0" fontId="24" fillId="0" borderId="14" xfId="2" applyFont="1" applyFill="1" applyBorder="1" applyAlignment="1">
      <alignment horizontal="center"/>
    </xf>
    <xf numFmtId="41" fontId="27" fillId="0" borderId="14" xfId="1" applyFont="1" applyFill="1" applyBorder="1" applyAlignment="1">
      <alignment horizontal="center" vertical="center" shrinkToFit="1"/>
    </xf>
    <xf numFmtId="41" fontId="24" fillId="0" borderId="14" xfId="3" applyFont="1" applyFill="1" applyBorder="1" applyAlignment="1">
      <alignment horizontal="center"/>
    </xf>
    <xf numFmtId="41" fontId="24" fillId="0" borderId="14" xfId="6" applyFont="1" applyFill="1" applyBorder="1" applyAlignment="1">
      <alignment horizontal="center"/>
    </xf>
    <xf numFmtId="0" fontId="28" fillId="0" borderId="15" xfId="2" applyFont="1" applyFill="1" applyBorder="1" applyAlignment="1">
      <alignment horizontal="left"/>
    </xf>
    <xf numFmtId="0" fontId="5" fillId="0" borderId="16" xfId="2" applyFont="1" applyFill="1" applyBorder="1" applyAlignment="1">
      <alignment horizontal="center" vertical="center"/>
    </xf>
    <xf numFmtId="41" fontId="8" fillId="0" borderId="17" xfId="3" applyFont="1" applyFill="1" applyBorder="1" applyAlignment="1">
      <alignment horizontal="center" vertical="center"/>
    </xf>
    <xf numFmtId="0" fontId="26" fillId="0" borderId="17" xfId="2" applyFont="1" applyFill="1" applyBorder="1" applyAlignment="1">
      <alignment horizontal="center" vertical="center"/>
    </xf>
    <xf numFmtId="0" fontId="27" fillId="0" borderId="17" xfId="2" applyFont="1" applyFill="1" applyBorder="1" applyAlignment="1">
      <alignment horizontal="left" vertical="center" shrinkToFit="1"/>
    </xf>
    <xf numFmtId="0" fontId="24" fillId="0" borderId="17" xfId="2" applyFont="1" applyFill="1" applyBorder="1" applyAlignment="1">
      <alignment horizontal="center"/>
    </xf>
    <xf numFmtId="41" fontId="27" fillId="0" borderId="17" xfId="1" applyFont="1" applyFill="1" applyBorder="1" applyAlignment="1">
      <alignment horizontal="center" vertical="center" shrinkToFit="1"/>
    </xf>
    <xf numFmtId="41" fontId="24" fillId="0" borderId="17" xfId="3" applyFont="1" applyFill="1" applyBorder="1" applyAlignment="1">
      <alignment horizontal="center"/>
    </xf>
    <xf numFmtId="41" fontId="24" fillId="0" borderId="17" xfId="6" applyFont="1" applyFill="1" applyBorder="1" applyAlignment="1">
      <alignment horizontal="center"/>
    </xf>
    <xf numFmtId="0" fontId="28" fillId="0" borderId="18" xfId="2" applyFont="1" applyFill="1" applyBorder="1" applyAlignment="1">
      <alignment horizontal="left"/>
    </xf>
    <xf numFmtId="41" fontId="8" fillId="0" borderId="17" xfId="6" applyFont="1" applyFill="1" applyBorder="1" applyAlignment="1">
      <alignment horizontal="center" vertical="center"/>
    </xf>
    <xf numFmtId="0" fontId="30" fillId="0" borderId="0" xfId="2" applyFont="1" applyFill="1" applyBorder="1"/>
    <xf numFmtId="0" fontId="31" fillId="0" borderId="17" xfId="4" applyFont="1" applyFill="1" applyBorder="1" applyAlignment="1">
      <alignment horizontal="center"/>
    </xf>
    <xf numFmtId="0" fontId="7" fillId="0" borderId="0" xfId="2" applyFont="1" applyFill="1" applyBorder="1"/>
    <xf numFmtId="0" fontId="7" fillId="0" borderId="0" xfId="2" applyFont="1" applyFill="1"/>
    <xf numFmtId="0" fontId="7" fillId="0" borderId="0" xfId="2" applyFont="1" applyFill="1" applyAlignment="1">
      <alignment horizontal="center"/>
    </xf>
    <xf numFmtId="0" fontId="9" fillId="0" borderId="0" xfId="2" applyFont="1" applyFill="1" applyAlignment="1">
      <alignment horizontal="left"/>
    </xf>
    <xf numFmtId="0" fontId="32" fillId="0" borderId="0" xfId="4" applyNumberFormat="1" applyFont="1" applyFill="1" applyAlignment="1">
      <alignment vertical="center"/>
    </xf>
    <xf numFmtId="0" fontId="33" fillId="0" borderId="0" xfId="4" applyFont="1" applyFill="1" applyAlignment="1">
      <alignment vertical="center"/>
    </xf>
    <xf numFmtId="0" fontId="33" fillId="0" borderId="0" xfId="4" applyFont="1" applyFill="1"/>
    <xf numFmtId="0" fontId="32" fillId="0" borderId="0" xfId="4" applyNumberFormat="1" applyFont="1" applyFill="1" applyAlignment="1">
      <alignment horizontal="center" vertical="center"/>
    </xf>
    <xf numFmtId="0" fontId="34" fillId="0" borderId="0" xfId="4" applyFont="1" applyFill="1" applyBorder="1"/>
    <xf numFmtId="41" fontId="35" fillId="0" borderId="0" xfId="3" applyFont="1" applyFill="1" applyAlignment="1">
      <alignment vertical="center"/>
    </xf>
    <xf numFmtId="41" fontId="36" fillId="0" borderId="0" xfId="3" applyFont="1" applyFill="1" applyAlignment="1">
      <alignment vertical="center"/>
    </xf>
    <xf numFmtId="0" fontId="32" fillId="0" borderId="0" xfId="4" applyFont="1" applyFill="1" applyAlignment="1">
      <alignment vertical="center"/>
    </xf>
    <xf numFmtId="0" fontId="32" fillId="0" borderId="0" xfId="4" applyFont="1" applyFill="1" applyAlignment="1">
      <alignment horizontal="center" vertical="center"/>
    </xf>
    <xf numFmtId="41" fontId="32" fillId="0" borderId="0" xfId="3" applyFont="1" applyFill="1" applyAlignment="1">
      <alignment vertical="center"/>
    </xf>
    <xf numFmtId="41" fontId="32" fillId="0" borderId="0" xfId="4" applyNumberFormat="1" applyFont="1" applyFill="1" applyBorder="1" applyAlignment="1">
      <alignment vertical="center"/>
    </xf>
    <xf numFmtId="41" fontId="32" fillId="0" borderId="0" xfId="4" applyNumberFormat="1" applyFont="1" applyFill="1" applyAlignment="1">
      <alignment horizontal="center" vertical="center"/>
    </xf>
    <xf numFmtId="0" fontId="32" fillId="0" borderId="0" xfId="4" applyFont="1" applyFill="1"/>
    <xf numFmtId="0" fontId="12" fillId="0" borderId="0" xfId="4" applyFont="1" applyFill="1" applyAlignment="1">
      <alignment horizontal="left" vertical="center" indent="2"/>
    </xf>
    <xf numFmtId="176" fontId="32" fillId="0" borderId="0" xfId="4" applyNumberFormat="1" applyFont="1" applyFill="1" applyAlignment="1">
      <alignment vertical="center"/>
    </xf>
    <xf numFmtId="0" fontId="32" fillId="0" borderId="0" xfId="3" applyNumberFormat="1" applyFont="1" applyFill="1" applyBorder="1" applyAlignment="1">
      <alignment horizontal="center" vertical="center"/>
    </xf>
    <xf numFmtId="0" fontId="32" fillId="0" borderId="0" xfId="4" applyFont="1" applyFill="1" applyBorder="1" applyAlignment="1">
      <alignment horizontal="center" vertical="center"/>
    </xf>
    <xf numFmtId="41" fontId="32" fillId="0" borderId="0" xfId="3" applyFont="1" applyFill="1" applyBorder="1" applyAlignment="1">
      <alignment horizontal="center" vertical="center"/>
    </xf>
    <xf numFmtId="0" fontId="37" fillId="0" borderId="0" xfId="4" applyFont="1" applyFill="1" applyAlignment="1">
      <alignment horizontal="left" vertical="center" indent="2"/>
    </xf>
    <xf numFmtId="14" fontId="32" fillId="0" borderId="0" xfId="4" applyNumberFormat="1" applyFont="1" applyFill="1" applyBorder="1" applyAlignment="1">
      <alignment horizontal="center" vertical="center"/>
    </xf>
    <xf numFmtId="177" fontId="32" fillId="0" borderId="0" xfId="4" applyNumberFormat="1" applyFont="1" applyFill="1" applyBorder="1" applyAlignment="1">
      <alignment horizontal="center" vertical="center"/>
    </xf>
    <xf numFmtId="178" fontId="32" fillId="0" borderId="0" xfId="4" applyNumberFormat="1" applyFont="1" applyFill="1" applyBorder="1" applyAlignment="1">
      <alignment horizontal="center" vertical="center"/>
    </xf>
    <xf numFmtId="0" fontId="32" fillId="0" borderId="0" xfId="4" applyNumberFormat="1" applyFont="1" applyFill="1" applyBorder="1" applyAlignment="1">
      <alignment horizontal="center" vertical="center"/>
    </xf>
    <xf numFmtId="41" fontId="32" fillId="0" borderId="0" xfId="4" applyNumberFormat="1" applyFont="1" applyBorder="1" applyAlignment="1">
      <alignment horizontal="center" vertical="center"/>
    </xf>
    <xf numFmtId="0" fontId="38" fillId="0" borderId="0" xfId="4" applyFont="1" applyFill="1" applyAlignment="1">
      <alignment horizontal="left" vertical="center" indent="2"/>
    </xf>
    <xf numFmtId="0" fontId="38" fillId="0" borderId="0" xfId="4" applyFont="1" applyFill="1" applyAlignment="1">
      <alignment vertical="center"/>
    </xf>
    <xf numFmtId="0" fontId="39" fillId="0" borderId="0" xfId="4" applyFont="1" applyFill="1" applyAlignment="1">
      <alignment vertical="center"/>
    </xf>
    <xf numFmtId="0" fontId="34" fillId="0" borderId="0" xfId="4" applyFont="1" applyFill="1"/>
    <xf numFmtId="0" fontId="40" fillId="2" borderId="1" xfId="4" applyFont="1" applyFill="1" applyBorder="1" applyAlignment="1">
      <alignment horizontal="centerContinuous" vertical="center"/>
    </xf>
    <xf numFmtId="0" fontId="40" fillId="2" borderId="2" xfId="4" applyFont="1" applyFill="1" applyBorder="1" applyAlignment="1">
      <alignment horizontal="centerContinuous" vertical="center"/>
    </xf>
    <xf numFmtId="0" fontId="40" fillId="2" borderId="3" xfId="4" applyFont="1" applyFill="1" applyBorder="1" applyAlignment="1">
      <alignment horizontal="centerContinuous" vertical="center"/>
    </xf>
    <xf numFmtId="0" fontId="40" fillId="2" borderId="4" xfId="4" applyFont="1" applyFill="1" applyBorder="1" applyAlignment="1">
      <alignment horizontal="center" vertical="center"/>
    </xf>
    <xf numFmtId="0" fontId="40" fillId="2" borderId="5" xfId="4" applyFont="1" applyFill="1" applyBorder="1" applyAlignment="1">
      <alignment horizontal="center" vertical="center"/>
    </xf>
    <xf numFmtId="0" fontId="40" fillId="2" borderId="5" xfId="4" applyFont="1" applyFill="1" applyBorder="1" applyAlignment="1">
      <alignment horizontal="centerContinuous" vertical="center"/>
    </xf>
    <xf numFmtId="0" fontId="40" fillId="2" borderId="6" xfId="4" applyFont="1" applyFill="1" applyBorder="1" applyAlignment="1">
      <alignment horizontal="center" vertical="center"/>
    </xf>
    <xf numFmtId="0" fontId="32" fillId="3" borderId="7" xfId="4" applyFont="1" applyFill="1" applyBorder="1" applyAlignment="1">
      <alignment horizontal="center" vertical="center" wrapText="1"/>
    </xf>
    <xf numFmtId="0" fontId="31" fillId="3" borderId="8" xfId="5" applyFont="1" applyFill="1" applyBorder="1" applyAlignment="1">
      <alignment horizontal="center" vertical="center" wrapText="1"/>
    </xf>
    <xf numFmtId="0" fontId="32" fillId="3" borderId="8" xfId="4" applyFont="1" applyFill="1" applyBorder="1" applyAlignment="1">
      <alignment horizontal="center" vertical="center" wrapText="1"/>
    </xf>
    <xf numFmtId="0" fontId="32" fillId="3" borderId="8" xfId="4" applyFont="1" applyFill="1" applyBorder="1" applyAlignment="1">
      <alignment horizontal="centerContinuous" vertical="center" wrapText="1"/>
    </xf>
    <xf numFmtId="0" fontId="32" fillId="3" borderId="9" xfId="4" applyFont="1" applyFill="1" applyBorder="1" applyAlignment="1">
      <alignment horizontal="center" vertical="center" wrapText="1"/>
    </xf>
    <xf numFmtId="0" fontId="31" fillId="3" borderId="10" xfId="7" applyFont="1" applyFill="1" applyBorder="1" applyAlignment="1">
      <alignment horizontal="center" vertical="top" wrapText="1"/>
    </xf>
    <xf numFmtId="0" fontId="32" fillId="3" borderId="11" xfId="4" applyFont="1" applyFill="1" applyBorder="1" applyAlignment="1">
      <alignment horizontal="center" vertical="center" wrapText="1"/>
    </xf>
    <xf numFmtId="0" fontId="31" fillId="3" borderId="11" xfId="5" applyFont="1" applyFill="1" applyBorder="1" applyAlignment="1">
      <alignment horizontal="center" vertical="top" wrapText="1"/>
    </xf>
    <xf numFmtId="0" fontId="32" fillId="3" borderId="11" xfId="4" applyFont="1" applyFill="1" applyBorder="1" applyAlignment="1">
      <alignment horizontal="center" vertical="top" wrapText="1"/>
    </xf>
    <xf numFmtId="0" fontId="32" fillId="3" borderId="11" xfId="4" applyFont="1" applyFill="1" applyBorder="1" applyAlignment="1">
      <alignment horizontal="centerContinuous" vertical="top"/>
    </xf>
    <xf numFmtId="0" fontId="32" fillId="3" borderId="12" xfId="4" applyFont="1" applyFill="1" applyBorder="1" applyAlignment="1">
      <alignment horizontal="center" vertical="top" wrapText="1"/>
    </xf>
    <xf numFmtId="0" fontId="31" fillId="0" borderId="0" xfId="4" applyFont="1" applyFill="1" applyBorder="1"/>
    <xf numFmtId="0" fontId="31" fillId="0" borderId="13" xfId="4" applyFont="1" applyFill="1" applyBorder="1" applyAlignment="1">
      <alignment horizontal="center"/>
    </xf>
    <xf numFmtId="0" fontId="31" fillId="0" borderId="14" xfId="4" applyFont="1" applyFill="1" applyBorder="1" applyAlignment="1">
      <alignment horizontal="center"/>
    </xf>
    <xf numFmtId="179" fontId="31" fillId="0" borderId="14" xfId="8" applyNumberFormat="1" applyFont="1" applyFill="1" applyBorder="1" applyAlignment="1">
      <alignment horizontal="center"/>
    </xf>
    <xf numFmtId="0" fontId="26" fillId="0" borderId="14" xfId="4" applyFont="1" applyFill="1" applyBorder="1" applyAlignment="1">
      <alignment horizontal="left" vertical="center" shrinkToFit="1"/>
    </xf>
    <xf numFmtId="0" fontId="26" fillId="0" borderId="14" xfId="9" applyFont="1" applyFill="1" applyBorder="1" applyAlignment="1">
      <alignment horizontal="left" vertical="center" shrinkToFit="1"/>
    </xf>
    <xf numFmtId="180" fontId="32" fillId="0" borderId="14" xfId="10" applyNumberFormat="1" applyFont="1" applyFill="1" applyBorder="1" applyAlignment="1" applyProtection="1">
      <alignment horizontal="center" vertical="center"/>
      <protection locked="0"/>
    </xf>
    <xf numFmtId="181" fontId="32" fillId="0" borderId="14" xfId="10" applyNumberFormat="1" applyFont="1" applyFill="1" applyBorder="1" applyAlignment="1" applyProtection="1">
      <alignment horizontal="center" vertical="center"/>
      <protection locked="0"/>
    </xf>
    <xf numFmtId="10" fontId="31" fillId="0" borderId="14" xfId="11" applyNumberFormat="1" applyFont="1" applyFill="1" applyBorder="1"/>
    <xf numFmtId="0" fontId="31" fillId="0" borderId="14" xfId="9" applyNumberFormat="1" applyFont="1" applyFill="1" applyBorder="1" applyAlignment="1">
      <alignment horizontal="center" vertical="center"/>
    </xf>
    <xf numFmtId="14" fontId="31" fillId="0" borderId="14" xfId="9" applyNumberFormat="1" applyFont="1" applyFill="1" applyBorder="1" applyAlignment="1">
      <alignment horizontal="center" vertical="center"/>
    </xf>
    <xf numFmtId="41" fontId="31" fillId="0" borderId="14" xfId="3" applyFont="1" applyFill="1" applyBorder="1" applyAlignment="1">
      <alignment horizontal="center" vertical="center"/>
    </xf>
    <xf numFmtId="14" fontId="31" fillId="0" borderId="14" xfId="3" applyNumberFormat="1" applyFont="1" applyFill="1" applyBorder="1" applyAlignment="1">
      <alignment horizontal="center" vertical="center"/>
    </xf>
    <xf numFmtId="41" fontId="31" fillId="0" borderId="14" xfId="1" applyFont="1" applyFill="1" applyBorder="1" applyAlignment="1">
      <alignment vertical="center"/>
    </xf>
    <xf numFmtId="41" fontId="31" fillId="0" borderId="14" xfId="3" applyFont="1" applyFill="1" applyBorder="1" applyAlignment="1">
      <alignment vertical="center"/>
    </xf>
    <xf numFmtId="0" fontId="31" fillId="0" borderId="15" xfId="4" applyFont="1" applyFill="1" applyBorder="1" applyAlignment="1">
      <alignment vertical="center" wrapText="1"/>
    </xf>
    <xf numFmtId="0" fontId="31" fillId="0" borderId="16" xfId="4" applyFont="1" applyFill="1" applyBorder="1" applyAlignment="1">
      <alignment horizontal="center"/>
    </xf>
    <xf numFmtId="179" fontId="31" fillId="0" borderId="17" xfId="8" applyNumberFormat="1" applyFont="1" applyFill="1" applyBorder="1" applyAlignment="1">
      <alignment horizontal="center"/>
    </xf>
    <xf numFmtId="0" fontId="26" fillId="0" borderId="17" xfId="4" applyFont="1" applyFill="1" applyBorder="1" applyAlignment="1">
      <alignment horizontal="left" vertical="center" shrinkToFit="1"/>
    </xf>
    <xf numFmtId="0" fontId="26" fillId="0" borderId="17" xfId="9" applyFont="1" applyFill="1" applyBorder="1" applyAlignment="1">
      <alignment horizontal="left" vertical="center" shrinkToFit="1"/>
    </xf>
    <xf numFmtId="180" fontId="32" fillId="0" borderId="17" xfId="10" applyNumberFormat="1" applyFont="1" applyFill="1" applyBorder="1" applyAlignment="1" applyProtection="1">
      <alignment horizontal="center" vertical="center"/>
      <protection locked="0"/>
    </xf>
    <xf numFmtId="181" fontId="32" fillId="0" borderId="17" xfId="10" applyNumberFormat="1" applyFont="1" applyFill="1" applyBorder="1" applyAlignment="1" applyProtection="1">
      <alignment horizontal="center" vertical="center"/>
      <protection locked="0"/>
    </xf>
    <xf numFmtId="10" fontId="31" fillId="0" borderId="17" xfId="11" applyNumberFormat="1" applyFont="1" applyFill="1" applyBorder="1"/>
    <xf numFmtId="0" fontId="31" fillId="0" borderId="17" xfId="9" applyNumberFormat="1" applyFont="1" applyFill="1" applyBorder="1" applyAlignment="1">
      <alignment horizontal="center" vertical="center"/>
    </xf>
    <xf numFmtId="14" fontId="31" fillId="0" borderId="17" xfId="9" applyNumberFormat="1" applyFont="1" applyFill="1" applyBorder="1" applyAlignment="1">
      <alignment horizontal="center" vertical="center"/>
    </xf>
    <xf numFmtId="41" fontId="31" fillId="0" borderId="17" xfId="3" applyFont="1" applyFill="1" applyBorder="1" applyAlignment="1">
      <alignment horizontal="center" vertical="center"/>
    </xf>
    <xf numFmtId="14" fontId="31" fillId="0" borderId="17" xfId="3" applyNumberFormat="1" applyFont="1" applyFill="1" applyBorder="1" applyAlignment="1">
      <alignment horizontal="center" vertical="center"/>
    </xf>
    <xf numFmtId="41" fontId="31" fillId="0" borderId="17" xfId="1" applyFont="1" applyFill="1" applyBorder="1" applyAlignment="1">
      <alignment vertical="center"/>
    </xf>
    <xf numFmtId="41" fontId="31" fillId="0" borderId="17" xfId="3" applyFont="1" applyFill="1" applyBorder="1" applyAlignment="1">
      <alignment vertical="center"/>
    </xf>
    <xf numFmtId="0" fontId="31" fillId="0" borderId="18" xfId="4" applyFont="1" applyFill="1" applyBorder="1" applyAlignment="1">
      <alignment vertical="center" wrapText="1"/>
    </xf>
    <xf numFmtId="0" fontId="28" fillId="0" borderId="18" xfId="2" applyFont="1" applyFill="1" applyBorder="1" applyAlignment="1">
      <alignment horizontal="left" wrapText="1"/>
    </xf>
    <xf numFmtId="0" fontId="31" fillId="0" borderId="21" xfId="4" applyFont="1" applyFill="1" applyBorder="1" applyAlignment="1">
      <alignment vertical="center" wrapText="1"/>
    </xf>
    <xf numFmtId="14" fontId="32" fillId="0" borderId="0" xfId="4" applyNumberFormat="1" applyFont="1" applyFill="1" applyAlignment="1">
      <alignment horizontal="center" vertical="center"/>
    </xf>
    <xf numFmtId="41" fontId="32" fillId="0" borderId="0" xfId="3" applyFont="1" applyFill="1" applyAlignment="1">
      <alignment horizontal="center" vertical="center"/>
    </xf>
    <xf numFmtId="0" fontId="42" fillId="0" borderId="0" xfId="9" applyFont="1" applyFill="1" applyAlignment="1"/>
    <xf numFmtId="0" fontId="43" fillId="0" borderId="0" xfId="9" applyFont="1" applyFill="1" applyAlignment="1">
      <alignment vertical="center"/>
    </xf>
    <xf numFmtId="0" fontId="27" fillId="0" borderId="0" xfId="9" applyFont="1" applyFill="1" applyAlignment="1"/>
    <xf numFmtId="0" fontId="9" fillId="0" borderId="0" xfId="9" applyNumberFormat="1" applyFont="1" applyFill="1" applyAlignment="1">
      <alignment horizontal="center" vertical="center"/>
    </xf>
    <xf numFmtId="0" fontId="9" fillId="0" borderId="0" xfId="9" applyFont="1" applyBorder="1" applyAlignment="1">
      <alignment horizontal="center" vertical="center"/>
    </xf>
    <xf numFmtId="41" fontId="9" fillId="0" borderId="0" xfId="9" applyNumberFormat="1" applyFont="1" applyBorder="1" applyAlignment="1">
      <alignment horizontal="center" vertical="center"/>
    </xf>
    <xf numFmtId="0" fontId="9" fillId="0" borderId="0" xfId="9" applyNumberFormat="1" applyFont="1" applyFill="1" applyAlignment="1">
      <alignment horizontal="left" vertical="center"/>
    </xf>
    <xf numFmtId="0" fontId="9" fillId="0" borderId="0" xfId="9" applyFont="1" applyFill="1" applyAlignment="1"/>
    <xf numFmtId="0" fontId="44" fillId="0" borderId="0" xfId="9" applyFont="1" applyFill="1" applyAlignment="1"/>
    <xf numFmtId="41" fontId="44" fillId="0" borderId="0" xfId="12" applyFont="1" applyFill="1" applyBorder="1" applyAlignment="1"/>
    <xf numFmtId="0" fontId="44" fillId="0" borderId="0" xfId="9" applyFont="1" applyFill="1" applyBorder="1" applyAlignment="1"/>
    <xf numFmtId="41" fontId="46" fillId="0" borderId="0" xfId="3" applyFont="1" applyFill="1" applyAlignment="1">
      <alignment vertical="center"/>
    </xf>
    <xf numFmtId="41" fontId="48" fillId="0" borderId="0" xfId="3" applyFont="1" applyAlignment="1">
      <alignment vertical="center"/>
    </xf>
    <xf numFmtId="0" fontId="9" fillId="0" borderId="0" xfId="9" applyFont="1" applyAlignment="1">
      <alignment vertical="center"/>
    </xf>
    <xf numFmtId="41" fontId="9" fillId="0" borderId="0" xfId="3" applyFont="1" applyFill="1" applyBorder="1" applyAlignment="1">
      <alignment horizontal="center" vertical="center"/>
    </xf>
    <xf numFmtId="41" fontId="9" fillId="0" borderId="0" xfId="9" applyNumberFormat="1" applyFont="1" applyFill="1" applyBorder="1" applyAlignment="1">
      <alignment horizontal="center" vertical="center"/>
    </xf>
    <xf numFmtId="41" fontId="9" fillId="0" borderId="0" xfId="9" applyNumberFormat="1" applyFont="1" applyFill="1" applyAlignment="1">
      <alignment horizontal="center"/>
    </xf>
    <xf numFmtId="0" fontId="9" fillId="0" borderId="0" xfId="9" applyFont="1" applyFill="1" applyAlignment="1">
      <alignment horizontal="center"/>
    </xf>
    <xf numFmtId="0" fontId="9" fillId="0" borderId="0" xfId="9" applyFont="1" applyAlignment="1">
      <alignment horizontal="center" vertical="center"/>
    </xf>
    <xf numFmtId="0" fontId="49" fillId="0" borderId="0" xfId="9" applyFont="1" applyFill="1" applyAlignment="1"/>
    <xf numFmtId="0" fontId="50" fillId="0" borderId="0" xfId="9" applyFont="1" applyAlignment="1">
      <alignment horizontal="left" vertical="center" indent="1"/>
    </xf>
    <xf numFmtId="0" fontId="50" fillId="0" borderId="0" xfId="9" applyFont="1" applyAlignment="1">
      <alignment horizontal="left" vertical="center" indent="2"/>
    </xf>
    <xf numFmtId="0" fontId="19" fillId="0" borderId="0" xfId="9" applyFont="1" applyFill="1" applyAlignment="1"/>
    <xf numFmtId="41" fontId="9" fillId="0" borderId="0" xfId="9" applyNumberFormat="1" applyFont="1" applyFill="1" applyAlignment="1">
      <alignment horizontal="center" vertical="center"/>
    </xf>
    <xf numFmtId="41" fontId="19" fillId="0" borderId="0" xfId="12" applyFont="1" applyFill="1" applyBorder="1" applyAlignment="1"/>
    <xf numFmtId="0" fontId="19" fillId="0" borderId="0" xfId="9" applyFont="1" applyFill="1" applyBorder="1" applyAlignment="1"/>
    <xf numFmtId="0" fontId="19" fillId="0" borderId="0" xfId="9" applyFont="1" applyAlignment="1">
      <alignment horizontal="left" vertical="center"/>
    </xf>
    <xf numFmtId="0" fontId="51" fillId="0" borderId="0" xfId="9" applyFont="1" applyFill="1" applyAlignment="1">
      <alignment vertical="center"/>
    </xf>
    <xf numFmtId="0" fontId="52" fillId="0" borderId="0" xfId="9" applyFont="1" applyFill="1" applyAlignment="1">
      <alignment vertical="center"/>
    </xf>
    <xf numFmtId="0" fontId="9" fillId="0" borderId="0" xfId="9" applyFont="1" applyFill="1" applyBorder="1" applyAlignment="1"/>
    <xf numFmtId="0" fontId="9" fillId="0" borderId="0" xfId="9" applyFont="1" applyFill="1" applyAlignment="1">
      <alignment horizontal="center" vertical="center"/>
    </xf>
    <xf numFmtId="0" fontId="9" fillId="0" borderId="0" xfId="9" applyFont="1" applyFill="1" applyAlignment="1">
      <alignment horizontal="left" vertical="center"/>
    </xf>
    <xf numFmtId="0" fontId="22" fillId="0" borderId="0" xfId="13" applyFont="1">
      <alignment vertical="center"/>
    </xf>
    <xf numFmtId="0" fontId="22" fillId="2" borderId="1" xfId="13" applyFont="1" applyFill="1" applyBorder="1" applyAlignment="1">
      <alignment horizontal="centerContinuous" vertical="center"/>
    </xf>
    <xf numFmtId="0" fontId="22" fillId="2" borderId="2" xfId="13" applyFont="1" applyFill="1" applyBorder="1" applyAlignment="1">
      <alignment horizontal="centerContinuous" vertical="center"/>
    </xf>
    <xf numFmtId="0" fontId="22" fillId="2" borderId="3" xfId="13" applyFont="1" applyFill="1" applyBorder="1" applyAlignment="1">
      <alignment horizontal="centerContinuous" vertical="center"/>
    </xf>
    <xf numFmtId="182" fontId="23" fillId="2" borderId="4" xfId="9" applyNumberFormat="1" applyFont="1" applyFill="1" applyBorder="1" applyAlignment="1">
      <alignment horizontal="center" vertical="center"/>
    </xf>
    <xf numFmtId="182" fontId="40" fillId="2" borderId="5" xfId="15" applyNumberFormat="1" applyFont="1" applyFill="1" applyBorder="1" applyAlignment="1">
      <alignment horizontal="center" vertical="center"/>
    </xf>
    <xf numFmtId="182" fontId="40" fillId="2" borderId="6" xfId="15" applyNumberFormat="1" applyFont="1" applyFill="1" applyBorder="1" applyAlignment="1">
      <alignment horizontal="center" vertical="center"/>
    </xf>
    <xf numFmtId="0" fontId="24" fillId="0" borderId="0" xfId="13" applyFont="1">
      <alignment vertical="center"/>
    </xf>
    <xf numFmtId="0" fontId="32" fillId="3" borderId="7" xfId="15" applyFont="1" applyFill="1" applyBorder="1" applyAlignment="1">
      <alignment horizontal="center" vertical="center" wrapText="1"/>
    </xf>
    <xf numFmtId="0" fontId="32" fillId="3" borderId="8" xfId="15" applyFont="1" applyFill="1" applyBorder="1" applyAlignment="1">
      <alignment horizontal="center" vertical="center" wrapText="1"/>
    </xf>
    <xf numFmtId="0" fontId="32" fillId="3" borderId="9" xfId="15" applyFont="1" applyFill="1" applyBorder="1" applyAlignment="1">
      <alignment horizontal="center" vertical="center" wrapText="1"/>
    </xf>
    <xf numFmtId="0" fontId="8" fillId="0" borderId="0" xfId="13" applyFont="1" applyFill="1">
      <alignment vertical="center"/>
    </xf>
    <xf numFmtId="0" fontId="8" fillId="0" borderId="16" xfId="17" applyNumberFormat="1" applyFont="1" applyFill="1" applyBorder="1" applyAlignment="1">
      <alignment horizontal="center" vertical="center"/>
    </xf>
    <xf numFmtId="0" fontId="8" fillId="0" borderId="17" xfId="17" applyNumberFormat="1" applyFont="1" applyFill="1" applyBorder="1" applyAlignment="1">
      <alignment horizontal="center" vertical="center"/>
    </xf>
    <xf numFmtId="0" fontId="8" fillId="0" borderId="17" xfId="17" applyNumberFormat="1" applyFont="1" applyFill="1" applyBorder="1" applyAlignment="1">
      <alignment horizontal="left" vertical="center"/>
    </xf>
    <xf numFmtId="183" fontId="8" fillId="0" borderId="17" xfId="18" applyNumberFormat="1" applyFont="1" applyFill="1" applyBorder="1" applyAlignment="1">
      <alignment horizontal="center" vertical="center"/>
    </xf>
    <xf numFmtId="43" fontId="8" fillId="0" borderId="17" xfId="17" applyNumberFormat="1" applyFont="1" applyFill="1" applyBorder="1" applyAlignment="1">
      <alignment horizontal="left" vertical="center"/>
    </xf>
    <xf numFmtId="184" fontId="8" fillId="0" borderId="17" xfId="19" applyNumberFormat="1" applyFont="1" applyFill="1" applyBorder="1" applyAlignment="1">
      <alignment horizontal="center" vertical="center"/>
    </xf>
    <xf numFmtId="43" fontId="8" fillId="0" borderId="17" xfId="17" applyNumberFormat="1" applyFont="1" applyFill="1" applyBorder="1" applyAlignment="1">
      <alignment horizontal="center" vertical="center"/>
    </xf>
    <xf numFmtId="14" fontId="8" fillId="0" borderId="17" xfId="17" applyNumberFormat="1" applyFont="1" applyFill="1" applyBorder="1" applyAlignment="1">
      <alignment horizontal="center" vertical="center"/>
    </xf>
    <xf numFmtId="0" fontId="8" fillId="0" borderId="17" xfId="17" applyFont="1" applyFill="1" applyBorder="1" applyAlignment="1">
      <alignment horizontal="center" vertical="center"/>
    </xf>
    <xf numFmtId="41" fontId="8" fillId="0" borderId="17" xfId="20" applyNumberFormat="1" applyFont="1" applyFill="1" applyBorder="1" applyAlignment="1">
      <alignment horizontal="center" vertical="center"/>
    </xf>
    <xf numFmtId="41" fontId="8" fillId="0" borderId="17" xfId="17" applyNumberFormat="1" applyFont="1" applyFill="1" applyBorder="1" applyAlignment="1">
      <alignment horizontal="center" vertical="center"/>
    </xf>
    <xf numFmtId="41" fontId="8" fillId="0" borderId="17" xfId="21" applyFont="1" applyFill="1" applyBorder="1" applyAlignment="1">
      <alignment horizontal="center" vertical="center"/>
    </xf>
    <xf numFmtId="41" fontId="8" fillId="0" borderId="17" xfId="21" applyNumberFormat="1" applyFont="1" applyFill="1" applyBorder="1" applyAlignment="1">
      <alignment vertical="center"/>
    </xf>
    <xf numFmtId="41" fontId="8" fillId="0" borderId="17" xfId="17" applyNumberFormat="1" applyFont="1" applyFill="1" applyBorder="1" applyAlignment="1">
      <alignment vertical="center"/>
    </xf>
    <xf numFmtId="0" fontId="8" fillId="0" borderId="17" xfId="21" applyNumberFormat="1" applyFont="1" applyFill="1" applyBorder="1" applyAlignment="1">
      <alignment horizontal="left" vertical="center"/>
    </xf>
    <xf numFmtId="0" fontId="8" fillId="0" borderId="0" xfId="14" applyFont="1" applyFill="1" applyAlignment="1">
      <alignment vertical="center"/>
    </xf>
    <xf numFmtId="0" fontId="8" fillId="0" borderId="0" xfId="14" applyFont="1" applyFill="1" applyAlignment="1">
      <alignment horizontal="left" vertical="center"/>
    </xf>
    <xf numFmtId="0" fontId="8" fillId="0" borderId="0" xfId="22" applyFont="1" applyFill="1" applyAlignment="1">
      <alignment horizontal="center" vertical="center"/>
    </xf>
    <xf numFmtId="0" fontId="8" fillId="0" borderId="0" xfId="22" applyFont="1" applyFill="1" applyAlignment="1">
      <alignment horizontal="left" vertical="center"/>
    </xf>
    <xf numFmtId="41" fontId="8" fillId="0" borderId="0" xfId="3" applyFont="1" applyFill="1" applyAlignment="1">
      <alignment vertical="center"/>
    </xf>
    <xf numFmtId="0" fontId="8" fillId="0" borderId="0" xfId="14" applyFont="1" applyFill="1" applyAlignment="1">
      <alignment horizontal="center" vertical="center"/>
    </xf>
    <xf numFmtId="41" fontId="8" fillId="0" borderId="0" xfId="3" applyFont="1" applyFill="1" applyAlignment="1">
      <alignment horizontal="center" vertical="center"/>
    </xf>
    <xf numFmtId="41" fontId="8" fillId="0" borderId="0" xfId="3" applyFont="1" applyFill="1" applyAlignment="1">
      <alignment horizontal="left" vertical="center"/>
    </xf>
    <xf numFmtId="14" fontId="8" fillId="0" borderId="0" xfId="14" applyNumberFormat="1" applyFont="1" applyFill="1" applyAlignment="1">
      <alignment vertical="center"/>
    </xf>
    <xf numFmtId="0" fontId="8" fillId="0" borderId="0" xfId="23" applyNumberFormat="1" applyFont="1" applyFill="1" applyAlignment="1"/>
    <xf numFmtId="0" fontId="22" fillId="0" borderId="0" xfId="13" applyFont="1" applyFill="1">
      <alignment vertical="center"/>
    </xf>
    <xf numFmtId="182" fontId="23" fillId="2" borderId="5" xfId="9" applyNumberFormat="1" applyFont="1" applyFill="1" applyBorder="1" applyAlignment="1">
      <alignment horizontal="center" vertical="center"/>
    </xf>
    <xf numFmtId="182" fontId="23" fillId="2" borderId="6" xfId="9" applyNumberFormat="1" applyFont="1" applyFill="1" applyBorder="1" applyAlignment="1">
      <alignment horizontal="center" vertical="center"/>
    </xf>
    <xf numFmtId="0" fontId="8" fillId="3" borderId="7" xfId="13" applyFont="1" applyFill="1" applyBorder="1" applyAlignment="1">
      <alignment horizontal="center" vertical="center" wrapText="1"/>
    </xf>
    <xf numFmtId="0" fontId="8" fillId="3" borderId="8" xfId="13" applyFont="1" applyFill="1" applyBorder="1" applyAlignment="1">
      <alignment horizontal="center" vertical="center" wrapText="1"/>
    </xf>
    <xf numFmtId="185" fontId="24" fillId="3" borderId="8" xfId="24" applyNumberFormat="1" applyFont="1" applyFill="1" applyBorder="1" applyAlignment="1">
      <alignment horizontal="center" vertical="center" wrapText="1"/>
    </xf>
    <xf numFmtId="0" fontId="24" fillId="3" borderId="8" xfId="13" applyFont="1" applyFill="1" applyBorder="1" applyAlignment="1">
      <alignment horizontal="center" vertical="center" wrapText="1"/>
    </xf>
    <xf numFmtId="0" fontId="24" fillId="3" borderId="9" xfId="13" applyFont="1" applyFill="1" applyBorder="1" applyAlignment="1">
      <alignment horizontal="center" vertical="center" wrapText="1"/>
    </xf>
    <xf numFmtId="0" fontId="24" fillId="0" borderId="0" xfId="13" applyFont="1" applyFill="1">
      <alignment vertical="center"/>
    </xf>
    <xf numFmtId="43" fontId="8" fillId="0" borderId="17" xfId="3" applyNumberFormat="1" applyFont="1" applyFill="1" applyBorder="1" applyAlignment="1">
      <alignment horizontal="right" vertical="center"/>
    </xf>
    <xf numFmtId="0" fontId="8" fillId="0" borderId="0" xfId="14" applyFont="1" applyFill="1"/>
    <xf numFmtId="0" fontId="8" fillId="0" borderId="0" xfId="14" applyNumberFormat="1" applyFont="1" applyFill="1"/>
    <xf numFmtId="0" fontId="8" fillId="0" borderId="0" xfId="14" applyNumberFormat="1" applyFont="1" applyFill="1" applyAlignment="1">
      <alignment wrapText="1"/>
    </xf>
    <xf numFmtId="0" fontId="8" fillId="0" borderId="0" xfId="25" applyNumberFormat="1" applyFont="1" applyFill="1" applyAlignment="1">
      <alignment horizontal="center" vertical="center"/>
    </xf>
    <xf numFmtId="0" fontId="8" fillId="0" borderId="0" xfId="25" applyNumberFormat="1" applyFont="1" applyFill="1" applyAlignment="1">
      <alignment horizontal="left" vertical="center"/>
    </xf>
    <xf numFmtId="0" fontId="8" fillId="0" borderId="0" xfId="14" applyNumberFormat="1" applyFont="1" applyFill="1" applyAlignment="1">
      <alignment horizontal="center"/>
    </xf>
    <xf numFmtId="0" fontId="8" fillId="0" borderId="0" xfId="14" applyNumberFormat="1" applyFont="1" applyFill="1" applyAlignment="1">
      <alignment horizontal="center" vertical="center"/>
    </xf>
    <xf numFmtId="0" fontId="8" fillId="0" borderId="0" xfId="14" applyNumberFormat="1" applyFont="1" applyFill="1" applyAlignment="1">
      <alignment horizontal="left" wrapText="1"/>
    </xf>
    <xf numFmtId="0" fontId="8" fillId="0" borderId="0" xfId="14" applyNumberFormat="1" applyFont="1" applyFill="1" applyAlignment="1">
      <alignment vertical="center"/>
    </xf>
    <xf numFmtId="0" fontId="8" fillId="0" borderId="0" xfId="22" applyNumberFormat="1" applyFont="1" applyFill="1" applyAlignment="1">
      <alignment vertical="center"/>
    </xf>
    <xf numFmtId="0" fontId="2" fillId="0" borderId="0" xfId="14"/>
    <xf numFmtId="0" fontId="17" fillId="0" borderId="0" xfId="14" applyFont="1" applyFill="1" applyAlignment="1">
      <alignment horizontal="left" vertical="center" indent="1"/>
    </xf>
    <xf numFmtId="41" fontId="8" fillId="0" borderId="0" xfId="14" applyNumberFormat="1" applyFont="1" applyFill="1" applyAlignment="1">
      <alignment vertical="center"/>
    </xf>
    <xf numFmtId="41" fontId="8" fillId="0" borderId="0" xfId="14" applyNumberFormat="1" applyFont="1" applyFill="1" applyBorder="1" applyAlignment="1">
      <alignment vertical="center"/>
    </xf>
    <xf numFmtId="41" fontId="8" fillId="3" borderId="8" xfId="26" applyFont="1" applyFill="1" applyBorder="1" applyAlignment="1">
      <alignment horizontal="center" vertical="center" wrapText="1"/>
    </xf>
    <xf numFmtId="0" fontId="8" fillId="3" borderId="9" xfId="13" applyFont="1" applyFill="1" applyBorder="1" applyAlignment="1">
      <alignment horizontal="center" vertical="center" wrapText="1"/>
    </xf>
    <xf numFmtId="0" fontId="8" fillId="0" borderId="16" xfId="13" applyFont="1" applyFill="1" applyBorder="1" applyAlignment="1">
      <alignment horizontal="center" vertical="center"/>
    </xf>
    <xf numFmtId="0" fontId="8" fillId="0" borderId="17" xfId="13" applyFont="1" applyFill="1" applyBorder="1" applyAlignment="1">
      <alignment horizontal="center" vertical="center"/>
    </xf>
    <xf numFmtId="41" fontId="8" fillId="0" borderId="17" xfId="17" applyNumberFormat="1" applyFont="1" applyFill="1" applyBorder="1" applyAlignment="1">
      <alignment horizontal="right" vertical="center"/>
    </xf>
    <xf numFmtId="186" fontId="8" fillId="0" borderId="17" xfId="26" applyNumberFormat="1" applyFont="1" applyFill="1" applyBorder="1" applyAlignment="1">
      <alignment horizontal="center" vertical="center"/>
    </xf>
    <xf numFmtId="0" fontId="8" fillId="0" borderId="18" xfId="13" applyFont="1" applyFill="1" applyBorder="1" applyAlignment="1">
      <alignment vertical="center" wrapText="1"/>
    </xf>
    <xf numFmtId="0" fontId="8" fillId="0" borderId="18" xfId="17" applyNumberFormat="1" applyFont="1" applyFill="1" applyBorder="1" applyAlignment="1">
      <alignment horizontal="left" vertical="center"/>
    </xf>
    <xf numFmtId="0" fontId="2" fillId="0" borderId="0" xfId="14" applyFill="1"/>
    <xf numFmtId="0" fontId="8" fillId="0" borderId="0" xfId="23" applyNumberFormat="1" applyFont="1" applyFill="1" applyAlignment="1">
      <alignment vertical="center"/>
    </xf>
    <xf numFmtId="0" fontId="56" fillId="0" borderId="0" xfId="23" applyFont="1" applyFill="1" applyAlignment="1">
      <alignment vertical="center"/>
    </xf>
    <xf numFmtId="0" fontId="56" fillId="0" borderId="0" xfId="23" applyFont="1" applyFill="1" applyAlignment="1"/>
    <xf numFmtId="0" fontId="8" fillId="0" borderId="0" xfId="23" applyNumberFormat="1" applyFont="1" applyFill="1" applyAlignment="1">
      <alignment horizontal="center" vertical="center"/>
    </xf>
    <xf numFmtId="0" fontId="8" fillId="0" borderId="0" xfId="23" applyNumberFormat="1" applyFont="1" applyFill="1" applyAlignment="1">
      <alignment horizontal="center" vertical="center" wrapText="1"/>
    </xf>
    <xf numFmtId="0" fontId="8" fillId="0" borderId="0" xfId="23" applyFont="1" applyFill="1" applyAlignment="1"/>
    <xf numFmtId="14" fontId="8" fillId="0" borderId="0" xfId="25" applyNumberFormat="1" applyFont="1" applyFill="1" applyAlignment="1">
      <alignment horizontal="center" vertical="center"/>
    </xf>
    <xf numFmtId="0" fontId="8" fillId="0" borderId="0" xfId="23" applyFont="1" applyFill="1" applyAlignment="1">
      <alignment wrapText="1"/>
    </xf>
    <xf numFmtId="41" fontId="20" fillId="0" borderId="0" xfId="3" applyFont="1" applyFill="1" applyAlignment="1">
      <alignment vertical="center"/>
    </xf>
    <xf numFmtId="0" fontId="8" fillId="0" borderId="0" xfId="23" applyFont="1" applyFill="1" applyAlignment="1">
      <alignment horizontal="center" vertical="center"/>
    </xf>
    <xf numFmtId="0" fontId="8" fillId="0" borderId="0" xfId="23" applyFont="1" applyFill="1" applyAlignment="1">
      <alignment vertical="center"/>
    </xf>
    <xf numFmtId="0" fontId="8" fillId="0" borderId="0" xfId="23" applyFont="1" applyFill="1" applyAlignment="1">
      <alignment vertical="center" wrapText="1"/>
    </xf>
    <xf numFmtId="0" fontId="8" fillId="0" borderId="0" xfId="25" applyFont="1" applyFill="1" applyAlignment="1">
      <alignment vertical="center"/>
    </xf>
    <xf numFmtId="0" fontId="17" fillId="0" borderId="0" xfId="23" applyFont="1" applyFill="1" applyAlignment="1">
      <alignment horizontal="left" vertical="center" indent="1"/>
    </xf>
    <xf numFmtId="0" fontId="8" fillId="0" borderId="0" xfId="23" applyFont="1" applyFill="1" applyBorder="1" applyAlignment="1">
      <alignment vertical="center"/>
    </xf>
    <xf numFmtId="0" fontId="8" fillId="0" borderId="0" xfId="23" applyNumberFormat="1" applyFont="1" applyFill="1" applyAlignment="1">
      <alignment vertical="center" wrapText="1"/>
    </xf>
    <xf numFmtId="0" fontId="20" fillId="0" borderId="0" xfId="23" applyFont="1" applyFill="1" applyAlignment="1">
      <alignment horizontal="left" vertical="center" indent="2"/>
    </xf>
    <xf numFmtId="0" fontId="21" fillId="0" borderId="0" xfId="23" applyFont="1" applyFill="1" applyAlignment="1">
      <alignment vertical="center"/>
    </xf>
    <xf numFmtId="0" fontId="22" fillId="2" borderId="2" xfId="27" applyFont="1" applyFill="1" applyBorder="1" applyAlignment="1">
      <alignment horizontal="centerContinuous" vertical="center"/>
    </xf>
    <xf numFmtId="0" fontId="8" fillId="3" borderId="8" xfId="27" applyNumberFormat="1" applyFont="1" applyFill="1" applyBorder="1" applyAlignment="1">
      <alignment horizontal="center" vertical="center" wrapText="1"/>
    </xf>
    <xf numFmtId="0" fontId="8" fillId="3" borderId="8" xfId="27" applyFont="1" applyFill="1" applyBorder="1" applyAlignment="1">
      <alignment horizontal="center" vertical="center" wrapText="1"/>
    </xf>
    <xf numFmtId="3" fontId="8" fillId="3" borderId="8" xfId="15" applyNumberFormat="1" applyFont="1" applyFill="1" applyBorder="1" applyAlignment="1">
      <alignment horizontal="center" vertical="center" wrapText="1"/>
    </xf>
    <xf numFmtId="0" fontId="8" fillId="0" borderId="16" xfId="27" applyNumberFormat="1" applyFont="1" applyFill="1" applyBorder="1" applyAlignment="1">
      <alignment horizontal="center" vertical="center"/>
    </xf>
    <xf numFmtId="0" fontId="8" fillId="0" borderId="17" xfId="28" applyFont="1" applyFill="1" applyBorder="1" applyAlignment="1">
      <alignment horizontal="center" vertical="center" shrinkToFit="1"/>
    </xf>
    <xf numFmtId="0" fontId="8" fillId="0" borderId="17" xfId="29" applyFont="1" applyFill="1" applyBorder="1" applyAlignment="1">
      <alignment horizontal="left" vertical="center" shrinkToFit="1"/>
    </xf>
    <xf numFmtId="180" fontId="8" fillId="0" borderId="17" xfId="6" applyNumberFormat="1" applyFont="1" applyFill="1" applyBorder="1" applyAlignment="1">
      <alignment horizontal="center" vertical="center"/>
    </xf>
    <xf numFmtId="181" fontId="8" fillId="0" borderId="17" xfId="28" applyNumberFormat="1" applyFont="1" applyFill="1" applyBorder="1" applyAlignment="1">
      <alignment horizontal="center" vertical="center" shrinkToFit="1"/>
    </xf>
    <xf numFmtId="0" fontId="8" fillId="0" borderId="17" xfId="27" applyFont="1" applyFill="1" applyBorder="1" applyAlignment="1">
      <alignment horizontal="center" vertical="center" shrinkToFit="1"/>
    </xf>
    <xf numFmtId="14" fontId="8" fillId="0" borderId="17" xfId="28" applyNumberFormat="1" applyFont="1" applyFill="1" applyBorder="1" applyAlignment="1">
      <alignment horizontal="center" vertical="center" shrinkToFit="1"/>
    </xf>
    <xf numFmtId="9" fontId="8" fillId="0" borderId="17" xfId="11" applyFont="1" applyFill="1" applyBorder="1" applyAlignment="1">
      <alignment horizontal="center" vertical="center"/>
    </xf>
    <xf numFmtId="41" fontId="8" fillId="0" borderId="17" xfId="3" applyFont="1" applyFill="1" applyBorder="1" applyAlignment="1">
      <alignment vertical="center" shrinkToFit="1"/>
    </xf>
    <xf numFmtId="0" fontId="8" fillId="0" borderId="18" xfId="28" applyFont="1" applyFill="1" applyBorder="1" applyAlignment="1">
      <alignment vertical="center"/>
    </xf>
    <xf numFmtId="181" fontId="8" fillId="0" borderId="17" xfId="28" quotePrefix="1" applyNumberFormat="1" applyFont="1" applyFill="1" applyBorder="1" applyAlignment="1">
      <alignment horizontal="center" vertical="center" shrinkToFit="1"/>
    </xf>
    <xf numFmtId="0" fontId="8" fillId="0" borderId="19" xfId="27" applyNumberFormat="1" applyFont="1" applyFill="1" applyBorder="1" applyAlignment="1">
      <alignment horizontal="center" vertical="center"/>
    </xf>
    <xf numFmtId="0" fontId="8" fillId="0" borderId="20" xfId="28" applyFont="1" applyFill="1" applyBorder="1" applyAlignment="1">
      <alignment horizontal="center" vertical="center" shrinkToFit="1"/>
    </xf>
    <xf numFmtId="0" fontId="8" fillId="0" borderId="20" xfId="29" applyFont="1" applyFill="1" applyBorder="1" applyAlignment="1">
      <alignment horizontal="left" vertical="center" shrinkToFit="1"/>
    </xf>
    <xf numFmtId="180" fontId="8" fillId="0" borderId="20" xfId="6" applyNumberFormat="1" applyFont="1" applyFill="1" applyBorder="1" applyAlignment="1">
      <alignment horizontal="center" vertical="center"/>
    </xf>
    <xf numFmtId="0" fontId="8" fillId="0" borderId="20" xfId="27" applyFont="1" applyFill="1" applyBorder="1" applyAlignment="1">
      <alignment horizontal="center" vertical="center" shrinkToFit="1"/>
    </xf>
    <xf numFmtId="14" fontId="8" fillId="0" borderId="20" xfId="28" applyNumberFormat="1" applyFont="1" applyFill="1" applyBorder="1" applyAlignment="1">
      <alignment horizontal="center" vertical="center" shrinkToFit="1"/>
    </xf>
    <xf numFmtId="9" fontId="8" fillId="0" borderId="20" xfId="11" applyFont="1" applyFill="1" applyBorder="1" applyAlignment="1">
      <alignment horizontal="center" vertical="center"/>
    </xf>
    <xf numFmtId="41" fontId="8" fillId="0" borderId="20" xfId="3" applyFont="1" applyFill="1" applyBorder="1" applyAlignment="1">
      <alignment vertical="center" shrinkToFit="1"/>
    </xf>
    <xf numFmtId="0" fontId="8" fillId="0" borderId="21" xfId="28" applyFont="1" applyFill="1" applyBorder="1" applyAlignment="1">
      <alignment vertical="center"/>
    </xf>
    <xf numFmtId="0" fontId="14" fillId="0" borderId="0" xfId="23" applyFont="1" applyFill="1" applyAlignment="1">
      <alignment horizontal="center"/>
    </xf>
    <xf numFmtId="0" fontId="15" fillId="0" borderId="0" xfId="23" applyFont="1" applyFill="1" applyAlignment="1"/>
    <xf numFmtId="0" fontId="29" fillId="0" borderId="0" xfId="23" applyFont="1" applyFill="1" applyAlignment="1"/>
    <xf numFmtId="0" fontId="10" fillId="0" borderId="0" xfId="23" applyFont="1" applyFill="1" applyAlignment="1"/>
    <xf numFmtId="0" fontId="6" fillId="0" borderId="17" xfId="0" applyFont="1" applyFill="1" applyBorder="1" applyAlignment="1">
      <alignment horizontal="center" vertical="center"/>
    </xf>
    <xf numFmtId="0" fontId="31" fillId="0" borderId="19" xfId="4" applyFont="1" applyFill="1" applyBorder="1" applyAlignment="1">
      <alignment horizontal="center"/>
    </xf>
    <xf numFmtId="0" fontId="31" fillId="0" borderId="20" xfId="4" applyFont="1" applyFill="1" applyBorder="1" applyAlignment="1">
      <alignment horizontal="center"/>
    </xf>
    <xf numFmtId="179" fontId="31" fillId="0" borderId="20" xfId="8" applyNumberFormat="1" applyFont="1" applyFill="1" applyBorder="1" applyAlignment="1">
      <alignment horizontal="center"/>
    </xf>
    <xf numFmtId="0" fontId="26" fillId="0" borderId="20" xfId="4" applyFont="1" applyFill="1" applyBorder="1" applyAlignment="1">
      <alignment horizontal="left" vertical="center" shrinkToFit="1"/>
    </xf>
    <xf numFmtId="0" fontId="26" fillId="0" borderId="20" xfId="9" applyFont="1" applyFill="1" applyBorder="1" applyAlignment="1">
      <alignment horizontal="left" vertical="center" shrinkToFit="1"/>
    </xf>
    <xf numFmtId="180" fontId="32" fillId="0" borderId="20" xfId="10" applyNumberFormat="1" applyFont="1" applyFill="1" applyBorder="1" applyAlignment="1" applyProtection="1">
      <alignment horizontal="center" vertical="center"/>
      <protection locked="0"/>
    </xf>
    <xf numFmtId="181" fontId="32" fillId="0" borderId="20" xfId="10" applyNumberFormat="1" applyFont="1" applyFill="1" applyBorder="1" applyAlignment="1" applyProtection="1">
      <alignment horizontal="center" vertical="center"/>
      <protection locked="0"/>
    </xf>
    <xf numFmtId="10" fontId="31" fillId="0" borderId="20" xfId="11" applyNumberFormat="1" applyFont="1" applyFill="1" applyBorder="1"/>
    <xf numFmtId="0" fontId="31" fillId="0" borderId="20" xfId="9" applyNumberFormat="1" applyFont="1" applyFill="1" applyBorder="1" applyAlignment="1">
      <alignment horizontal="center" vertical="center"/>
    </xf>
    <xf numFmtId="14" fontId="31" fillId="0" borderId="20" xfId="9" applyNumberFormat="1" applyFont="1" applyFill="1" applyBorder="1" applyAlignment="1">
      <alignment horizontal="center" vertical="center"/>
    </xf>
    <xf numFmtId="41" fontId="31" fillId="0" borderId="20" xfId="3" applyFont="1" applyFill="1" applyBorder="1" applyAlignment="1">
      <alignment horizontal="center" vertical="center"/>
    </xf>
    <xf numFmtId="14" fontId="31" fillId="0" borderId="20" xfId="3" applyNumberFormat="1" applyFont="1" applyFill="1" applyBorder="1" applyAlignment="1">
      <alignment horizontal="center" vertical="center"/>
    </xf>
    <xf numFmtId="41" fontId="31" fillId="0" borderId="20" xfId="1" applyFont="1" applyFill="1" applyBorder="1" applyAlignment="1">
      <alignment vertical="center"/>
    </xf>
    <xf numFmtId="41" fontId="31" fillId="0" borderId="20" xfId="3" applyFont="1" applyFill="1" applyBorder="1" applyAlignment="1">
      <alignment vertical="center"/>
    </xf>
    <xf numFmtId="0" fontId="8" fillId="0" borderId="19" xfId="17" applyNumberFormat="1" applyFont="1" applyFill="1" applyBorder="1" applyAlignment="1">
      <alignment horizontal="center" vertical="center"/>
    </xf>
    <xf numFmtId="0" fontId="8" fillId="0" borderId="20" xfId="17" applyNumberFormat="1" applyFont="1" applyFill="1" applyBorder="1" applyAlignment="1">
      <alignment horizontal="center" vertical="center"/>
    </xf>
    <xf numFmtId="0" fontId="8" fillId="0" borderId="20" xfId="17" applyNumberFormat="1" applyFont="1" applyFill="1" applyBorder="1" applyAlignment="1">
      <alignment horizontal="left" vertical="center"/>
    </xf>
    <xf numFmtId="183" fontId="8" fillId="0" borderId="20" xfId="18" applyNumberFormat="1" applyFont="1" applyFill="1" applyBorder="1" applyAlignment="1">
      <alignment horizontal="center" vertical="center"/>
    </xf>
    <xf numFmtId="43" fontId="8" fillId="0" borderId="20" xfId="17" applyNumberFormat="1" applyFont="1" applyFill="1" applyBorder="1" applyAlignment="1">
      <alignment horizontal="left" vertical="center"/>
    </xf>
    <xf numFmtId="184" fontId="8" fillId="0" borderId="20" xfId="19" applyNumberFormat="1" applyFont="1" applyFill="1" applyBorder="1" applyAlignment="1">
      <alignment horizontal="center" vertical="center"/>
    </xf>
    <xf numFmtId="43" fontId="8" fillId="0" borderId="20" xfId="17" applyNumberFormat="1" applyFont="1" applyFill="1" applyBorder="1" applyAlignment="1">
      <alignment horizontal="center" vertical="center"/>
    </xf>
    <xf numFmtId="14" fontId="8" fillId="0" borderId="20" xfId="17" applyNumberFormat="1" applyFont="1" applyFill="1" applyBorder="1" applyAlignment="1">
      <alignment horizontal="center" vertical="center"/>
    </xf>
    <xf numFmtId="41" fontId="8" fillId="0" borderId="20" xfId="20" applyNumberFormat="1" applyFont="1" applyFill="1" applyBorder="1" applyAlignment="1">
      <alignment horizontal="center" vertical="center"/>
    </xf>
    <xf numFmtId="0" fontId="8" fillId="0" borderId="20" xfId="17" applyFont="1" applyFill="1" applyBorder="1" applyAlignment="1">
      <alignment horizontal="center" vertical="center"/>
    </xf>
    <xf numFmtId="41" fontId="8" fillId="0" borderId="20" xfId="17" applyNumberFormat="1" applyFont="1" applyFill="1" applyBorder="1" applyAlignment="1">
      <alignment horizontal="center" vertical="center"/>
    </xf>
    <xf numFmtId="41" fontId="8" fillId="0" borderId="20" xfId="21" applyFont="1" applyFill="1" applyBorder="1" applyAlignment="1">
      <alignment horizontal="center" vertical="center"/>
    </xf>
    <xf numFmtId="41" fontId="8" fillId="0" borderId="20" xfId="21" applyNumberFormat="1" applyFont="1" applyFill="1" applyBorder="1" applyAlignment="1">
      <alignment vertical="center"/>
    </xf>
    <xf numFmtId="41" fontId="8" fillId="0" borderId="20" xfId="17" applyNumberFormat="1" applyFont="1" applyFill="1" applyBorder="1" applyAlignment="1">
      <alignment vertical="center"/>
    </xf>
    <xf numFmtId="0" fontId="8" fillId="0" borderId="18" xfId="17" applyNumberFormat="1" applyFont="1" applyFill="1" applyBorder="1" applyAlignment="1">
      <alignment horizontal="left" vertical="center" wrapText="1"/>
    </xf>
    <xf numFmtId="0" fontId="8" fillId="0" borderId="20" xfId="21" applyNumberFormat="1" applyFont="1" applyFill="1" applyBorder="1" applyAlignment="1">
      <alignment horizontal="left" vertical="center"/>
    </xf>
    <xf numFmtId="0" fontId="8" fillId="0" borderId="21" xfId="17" applyNumberFormat="1" applyFont="1" applyFill="1" applyBorder="1" applyAlignment="1">
      <alignment horizontal="left" vertical="center"/>
    </xf>
    <xf numFmtId="43" fontId="8" fillId="0" borderId="20" xfId="3" applyNumberFormat="1" applyFont="1" applyFill="1" applyBorder="1" applyAlignment="1">
      <alignment horizontal="right" vertical="center"/>
    </xf>
    <xf numFmtId="41" fontId="8" fillId="0" borderId="20" xfId="3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41" fontId="8" fillId="0" borderId="20" xfId="17" applyNumberFormat="1" applyFont="1" applyFill="1" applyBorder="1" applyAlignment="1">
      <alignment horizontal="right" vertical="center"/>
    </xf>
    <xf numFmtId="0" fontId="8" fillId="0" borderId="19" xfId="13" applyFont="1" applyFill="1" applyBorder="1" applyAlignment="1">
      <alignment horizontal="center" vertical="center"/>
    </xf>
    <xf numFmtId="0" fontId="8" fillId="0" borderId="20" xfId="13" applyFont="1" applyFill="1" applyBorder="1" applyAlignment="1">
      <alignment horizontal="center" vertical="center"/>
    </xf>
    <xf numFmtId="186" fontId="8" fillId="0" borderId="20" xfId="26" applyNumberFormat="1" applyFont="1" applyFill="1" applyBorder="1" applyAlignment="1">
      <alignment horizontal="center" vertical="center"/>
    </xf>
    <xf numFmtId="0" fontId="8" fillId="0" borderId="21" xfId="13" applyFont="1" applyFill="1" applyBorder="1" applyAlignment="1">
      <alignment vertical="center" wrapText="1"/>
    </xf>
    <xf numFmtId="0" fontId="31" fillId="0" borderId="29" xfId="4" applyFont="1" applyFill="1" applyBorder="1" applyAlignment="1">
      <alignment horizontal="center"/>
    </xf>
    <xf numFmtId="0" fontId="31" fillId="0" borderId="30" xfId="4" applyFont="1" applyFill="1" applyBorder="1" applyAlignment="1">
      <alignment horizontal="center"/>
    </xf>
    <xf numFmtId="179" fontId="31" fillId="0" borderId="30" xfId="8" applyNumberFormat="1" applyFont="1" applyFill="1" applyBorder="1" applyAlignment="1">
      <alignment horizontal="center"/>
    </xf>
    <xf numFmtId="0" fontId="26" fillId="0" borderId="30" xfId="4" applyFont="1" applyFill="1" applyBorder="1" applyAlignment="1">
      <alignment horizontal="left" vertical="center" shrinkToFit="1"/>
    </xf>
    <xf numFmtId="0" fontId="26" fillId="0" borderId="30" xfId="9" applyFont="1" applyFill="1" applyBorder="1" applyAlignment="1">
      <alignment horizontal="left" vertical="center" shrinkToFit="1"/>
    </xf>
    <xf numFmtId="180" fontId="32" fillId="0" borderId="30" xfId="10" applyNumberFormat="1" applyFont="1" applyFill="1" applyBorder="1" applyAlignment="1" applyProtection="1">
      <alignment horizontal="center" vertical="center"/>
      <protection locked="0"/>
    </xf>
    <xf numFmtId="181" fontId="32" fillId="0" borderId="30" xfId="10" applyNumberFormat="1" applyFont="1" applyFill="1" applyBorder="1" applyAlignment="1" applyProtection="1">
      <alignment horizontal="center" vertical="center"/>
      <protection locked="0"/>
    </xf>
    <xf numFmtId="10" fontId="31" fillId="0" borderId="30" xfId="11" applyNumberFormat="1" applyFont="1" applyFill="1" applyBorder="1"/>
    <xf numFmtId="0" fontId="31" fillId="0" borderId="30" xfId="9" applyNumberFormat="1" applyFont="1" applyFill="1" applyBorder="1" applyAlignment="1">
      <alignment horizontal="center" vertical="center"/>
    </xf>
    <xf numFmtId="14" fontId="31" fillId="0" borderId="30" xfId="9" applyNumberFormat="1" applyFont="1" applyFill="1" applyBorder="1" applyAlignment="1">
      <alignment horizontal="center" vertical="center"/>
    </xf>
    <xf numFmtId="41" fontId="31" fillId="0" borderId="30" xfId="3" applyFont="1" applyFill="1" applyBorder="1" applyAlignment="1">
      <alignment horizontal="center" vertical="center"/>
    </xf>
    <xf numFmtId="14" fontId="31" fillId="0" borderId="30" xfId="3" applyNumberFormat="1" applyFont="1" applyFill="1" applyBorder="1" applyAlignment="1">
      <alignment horizontal="center" vertical="center"/>
    </xf>
    <xf numFmtId="41" fontId="31" fillId="0" borderId="30" xfId="1" applyFont="1" applyFill="1" applyBorder="1" applyAlignment="1">
      <alignment vertical="center"/>
    </xf>
    <xf numFmtId="41" fontId="31" fillId="0" borderId="30" xfId="3" applyFont="1" applyFill="1" applyBorder="1" applyAlignment="1">
      <alignment vertical="center"/>
    </xf>
    <xf numFmtId="0" fontId="31" fillId="0" borderId="57" xfId="4" applyFont="1" applyFill="1" applyBorder="1" applyAlignment="1">
      <alignment vertical="center" wrapText="1"/>
    </xf>
    <xf numFmtId="0" fontId="8" fillId="0" borderId="0" xfId="0" applyFont="1" applyFill="1" applyAlignment="1"/>
    <xf numFmtId="0" fontId="22" fillId="2" borderId="58" xfId="0" applyFont="1" applyFill="1" applyBorder="1" applyAlignment="1">
      <alignment horizontal="centerContinuous" vertical="center"/>
    </xf>
    <xf numFmtId="0" fontId="0" fillId="2" borderId="56" xfId="0" applyFill="1" applyBorder="1" applyAlignment="1">
      <alignment horizontal="centerContinuous" vertical="center"/>
    </xf>
    <xf numFmtId="0" fontId="22" fillId="2" borderId="58" xfId="27" applyFont="1" applyFill="1" applyBorder="1" applyAlignment="1">
      <alignment horizontal="centerContinuous" vertical="center"/>
    </xf>
    <xf numFmtId="0" fontId="22" fillId="2" borderId="56" xfId="27" applyFont="1" applyFill="1" applyBorder="1" applyAlignment="1">
      <alignment horizontal="centerContinuous" vertical="center"/>
    </xf>
    <xf numFmtId="0" fontId="22" fillId="2" borderId="56" xfId="27" applyFont="1" applyFill="1" applyBorder="1" applyAlignment="1">
      <alignment horizontal="centerContinuous" vertical="center" wrapText="1"/>
    </xf>
    <xf numFmtId="0" fontId="22" fillId="2" borderId="59" xfId="27" applyFont="1" applyFill="1" applyBorder="1" applyAlignment="1">
      <alignment horizontal="centerContinuous" vertical="center"/>
    </xf>
    <xf numFmtId="0" fontId="22" fillId="2" borderId="60" xfId="27" applyFont="1" applyFill="1" applyBorder="1" applyAlignment="1">
      <alignment horizontal="center" vertical="center" wrapText="1"/>
    </xf>
    <xf numFmtId="275" fontId="22" fillId="2" borderId="4" xfId="0" applyNumberFormat="1" applyFont="1" applyFill="1" applyBorder="1" applyAlignment="1">
      <alignment horizontal="center" vertical="center"/>
    </xf>
    <xf numFmtId="275" fontId="22" fillId="2" borderId="5" xfId="0" applyNumberFormat="1" applyFont="1" applyFill="1" applyBorder="1" applyAlignment="1">
      <alignment horizontal="center" vertical="center"/>
    </xf>
    <xf numFmtId="275" fontId="22" fillId="2" borderId="6" xfId="0" applyNumberFormat="1" applyFont="1" applyFill="1" applyBorder="1" applyAlignment="1">
      <alignment horizontal="center" vertical="center"/>
    </xf>
    <xf numFmtId="275" fontId="22" fillId="2" borderId="61" xfId="0" applyNumberFormat="1" applyFont="1" applyFill="1" applyBorder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0" fontId="8" fillId="3" borderId="8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8" fillId="3" borderId="7" xfId="27" applyNumberFormat="1" applyFont="1" applyFill="1" applyBorder="1" applyAlignment="1">
      <alignment horizontal="center" vertical="center" wrapText="1"/>
    </xf>
    <xf numFmtId="0" fontId="8" fillId="3" borderId="62" xfId="27" applyFont="1" applyFill="1" applyBorder="1" applyAlignment="1">
      <alignment horizontal="center" vertical="center" wrapText="1"/>
    </xf>
    <xf numFmtId="0" fontId="8" fillId="3" borderId="63" xfId="27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0" fontId="24" fillId="3" borderId="64" xfId="5" applyFont="1" applyFill="1" applyBorder="1" applyAlignment="1">
      <alignment horizontal="center" vertical="center" wrapText="1"/>
    </xf>
    <xf numFmtId="0" fontId="24" fillId="3" borderId="65" xfId="5" applyFont="1" applyFill="1" applyBorder="1" applyAlignment="1">
      <alignment horizontal="center" vertical="center" wrapText="1"/>
    </xf>
    <xf numFmtId="0" fontId="24" fillId="3" borderId="66" xfId="5" applyFont="1" applyFill="1" applyBorder="1" applyAlignment="1">
      <alignment horizontal="center" vertical="center" wrapText="1"/>
    </xf>
    <xf numFmtId="183" fontId="8" fillId="3" borderId="64" xfId="0" applyNumberFormat="1" applyFont="1" applyFill="1" applyBorder="1" applyAlignment="1">
      <alignment horizontal="center" vertical="center" wrapText="1"/>
    </xf>
    <xf numFmtId="0" fontId="8" fillId="3" borderId="65" xfId="27" applyFont="1" applyFill="1" applyBorder="1" applyAlignment="1">
      <alignment horizontal="center" vertical="center" wrapText="1"/>
    </xf>
    <xf numFmtId="183" fontId="8" fillId="3" borderId="65" xfId="0" applyNumberFormat="1" applyFont="1" applyFill="1" applyBorder="1" applyAlignment="1">
      <alignment horizontal="center" vertical="center" wrapText="1"/>
    </xf>
    <xf numFmtId="3" fontId="8" fillId="3" borderId="65" xfId="15" applyNumberFormat="1" applyFont="1" applyFill="1" applyBorder="1" applyAlignment="1">
      <alignment horizontal="center" vertical="center" wrapText="1"/>
    </xf>
    <xf numFmtId="0" fontId="8" fillId="3" borderId="67" xfId="27" applyFont="1" applyFill="1" applyBorder="1" applyAlignment="1">
      <alignment horizontal="center" vertical="center" wrapText="1"/>
    </xf>
    <xf numFmtId="0" fontId="8" fillId="3" borderId="68" xfId="27" applyFont="1" applyFill="1" applyBorder="1" applyAlignment="1">
      <alignment horizontal="center" vertical="center" wrapText="1"/>
    </xf>
    <xf numFmtId="0" fontId="8" fillId="0" borderId="0" xfId="0" applyNumberFormat="1" applyFont="1" applyFill="1" applyAlignment="1"/>
    <xf numFmtId="181" fontId="8" fillId="0" borderId="20" xfId="28" applyNumberFormat="1" applyFont="1" applyFill="1" applyBorder="1" applyAlignment="1">
      <alignment horizontal="center" vertical="center" shrinkToFit="1"/>
    </xf>
    <xf numFmtId="0" fontId="22" fillId="2" borderId="56" xfId="0" applyFont="1" applyFill="1" applyBorder="1" applyAlignment="1">
      <alignment horizontal="centerContinuous" vertical="center"/>
    </xf>
    <xf numFmtId="0" fontId="22" fillId="2" borderId="31" xfId="27" applyFont="1" applyFill="1" applyBorder="1" applyAlignment="1">
      <alignment horizontal="centerContinuous" vertical="center"/>
    </xf>
    <xf numFmtId="0" fontId="195" fillId="0" borderId="0" xfId="2" applyFont="1" applyFill="1"/>
    <xf numFmtId="181" fontId="8" fillId="0" borderId="17" xfId="17" quotePrefix="1" applyNumberFormat="1" applyFont="1" applyFill="1" applyBorder="1" applyAlignment="1">
      <alignment horizontal="center" vertical="center"/>
    </xf>
    <xf numFmtId="181" fontId="8" fillId="0" borderId="20" xfId="17" quotePrefix="1" applyNumberFormat="1" applyFont="1" applyFill="1" applyBorder="1" applyAlignment="1">
      <alignment horizontal="center" vertical="center"/>
    </xf>
    <xf numFmtId="41" fontId="8" fillId="0" borderId="0" xfId="23" applyNumberFormat="1" applyFont="1" applyFill="1" applyAlignment="1"/>
    <xf numFmtId="0" fontId="22" fillId="2" borderId="69" xfId="13" applyFont="1" applyFill="1" applyBorder="1" applyAlignment="1">
      <alignment horizontal="centerContinuous" vertical="center"/>
    </xf>
    <xf numFmtId="0" fontId="15" fillId="2" borderId="70" xfId="14" applyFont="1" applyFill="1" applyBorder="1" applyAlignment="1">
      <alignment horizontal="centerContinuous" vertical="center"/>
    </xf>
    <xf numFmtId="0" fontId="15" fillId="2" borderId="71" xfId="14" applyFont="1" applyFill="1" applyBorder="1" applyAlignment="1">
      <alignment horizontal="centerContinuous" vertical="center"/>
    </xf>
    <xf numFmtId="0" fontId="22" fillId="2" borderId="72" xfId="13" applyFont="1" applyFill="1" applyBorder="1" applyAlignment="1">
      <alignment horizontal="centerContinuous" vertical="center"/>
    </xf>
    <xf numFmtId="0" fontId="22" fillId="2" borderId="73" xfId="13" applyFont="1" applyFill="1" applyBorder="1" applyAlignment="1">
      <alignment horizontal="centerContinuous" vertical="center"/>
    </xf>
    <xf numFmtId="0" fontId="22" fillId="2" borderId="75" xfId="13" applyFont="1" applyFill="1" applyBorder="1" applyAlignment="1">
      <alignment horizontal="centerContinuous" vertical="center"/>
    </xf>
    <xf numFmtId="41" fontId="22" fillId="2" borderId="75" xfId="3" applyFont="1" applyFill="1" applyBorder="1" applyAlignment="1">
      <alignment horizontal="centerContinuous" vertical="center"/>
    </xf>
    <xf numFmtId="0" fontId="22" fillId="2" borderId="60" xfId="13" applyFont="1" applyFill="1" applyBorder="1" applyAlignment="1">
      <alignment horizontal="centerContinuous" vertical="center"/>
    </xf>
    <xf numFmtId="182" fontId="40" fillId="2" borderId="4" xfId="15" applyNumberFormat="1" applyFont="1" applyFill="1" applyBorder="1" applyAlignment="1">
      <alignment horizontal="center" vertical="center"/>
    </xf>
    <xf numFmtId="182" fontId="40" fillId="2" borderId="76" xfId="15" applyNumberFormat="1" applyFont="1" applyFill="1" applyBorder="1" applyAlignment="1">
      <alignment horizontal="center" vertical="center"/>
    </xf>
    <xf numFmtId="182" fontId="40" fillId="2" borderId="61" xfId="15" applyNumberFormat="1" applyFont="1" applyFill="1" applyBorder="1" applyAlignment="1">
      <alignment horizontal="center" vertical="center"/>
    </xf>
    <xf numFmtId="0" fontId="32" fillId="3" borderId="62" xfId="15" applyFont="1" applyFill="1" applyBorder="1" applyAlignment="1">
      <alignment horizontal="center" vertical="center" wrapText="1"/>
    </xf>
    <xf numFmtId="0" fontId="32" fillId="3" borderId="5" xfId="15" applyFont="1" applyFill="1" applyBorder="1" applyAlignment="1">
      <alignment horizontal="center" vertical="center" wrapText="1"/>
    </xf>
    <xf numFmtId="0" fontId="32" fillId="3" borderId="63" xfId="15" applyFont="1" applyFill="1" applyBorder="1" applyAlignment="1">
      <alignment horizontal="center" vertical="center" wrapText="1"/>
    </xf>
    <xf numFmtId="0" fontId="32" fillId="3" borderId="64" xfId="15" applyFont="1" applyFill="1" applyBorder="1" applyAlignment="1">
      <alignment horizontal="center" vertical="center" wrapText="1"/>
    </xf>
    <xf numFmtId="0" fontId="32" fillId="3" borderId="65" xfId="15" applyFont="1" applyFill="1" applyBorder="1" applyAlignment="1">
      <alignment horizontal="center" vertical="center" wrapText="1"/>
    </xf>
    <xf numFmtId="0" fontId="32" fillId="3" borderId="66" xfId="15" applyFont="1" applyFill="1" applyBorder="1" applyAlignment="1">
      <alignment horizontal="center" vertical="center" wrapText="1"/>
    </xf>
    <xf numFmtId="0" fontId="32" fillId="3" borderId="67" xfId="15" applyFont="1" applyFill="1" applyBorder="1" applyAlignment="1">
      <alignment horizontal="center" vertical="center" wrapText="1"/>
    </xf>
    <xf numFmtId="0" fontId="8" fillId="3" borderId="65" xfId="16" applyFont="1" applyFill="1" applyBorder="1" applyAlignment="1">
      <alignment horizontal="centerContinuous" vertical="center" wrapText="1"/>
    </xf>
    <xf numFmtId="0" fontId="24" fillId="3" borderId="65" xfId="16" applyFont="1" applyFill="1" applyBorder="1" applyAlignment="1">
      <alignment horizontal="center" vertical="center" wrapText="1"/>
    </xf>
    <xf numFmtId="0" fontId="24" fillId="3" borderId="65" xfId="13" applyFont="1" applyFill="1" applyBorder="1" applyAlignment="1">
      <alignment horizontal="center" vertical="center" wrapText="1"/>
    </xf>
    <xf numFmtId="0" fontId="24" fillId="3" borderId="66" xfId="16" applyFont="1" applyFill="1" applyBorder="1" applyAlignment="1">
      <alignment horizontal="center" vertical="center" wrapText="1"/>
    </xf>
    <xf numFmtId="0" fontId="24" fillId="3" borderId="64" xfId="13" applyFont="1" applyFill="1" applyBorder="1" applyAlignment="1">
      <alignment horizontal="center" vertical="center" wrapText="1"/>
    </xf>
    <xf numFmtId="0" fontId="24" fillId="3" borderId="66" xfId="13" applyFont="1" applyFill="1" applyBorder="1" applyAlignment="1">
      <alignment horizontal="center" vertical="center" wrapText="1"/>
    </xf>
    <xf numFmtId="41" fontId="24" fillId="3" borderId="66" xfId="3" applyFont="1" applyFill="1" applyBorder="1" applyAlignment="1">
      <alignment horizontal="center" vertical="center" wrapText="1"/>
    </xf>
    <xf numFmtId="0" fontId="24" fillId="3" borderId="68" xfId="13" applyFont="1" applyFill="1" applyBorder="1" applyAlignment="1">
      <alignment horizontal="center" vertical="center" wrapText="1"/>
    </xf>
    <xf numFmtId="0" fontId="22" fillId="2" borderId="77" xfId="13" applyFont="1" applyFill="1" applyBorder="1" applyAlignment="1">
      <alignment horizontal="centerContinuous" vertical="center"/>
    </xf>
    <xf numFmtId="0" fontId="2" fillId="2" borderId="78" xfId="14" applyFill="1" applyBorder="1" applyAlignment="1">
      <alignment horizontal="centerContinuous" vertical="center"/>
    </xf>
    <xf numFmtId="0" fontId="2" fillId="2" borderId="79" xfId="14" applyFill="1" applyBorder="1" applyAlignment="1">
      <alignment horizontal="centerContinuous" vertical="center"/>
    </xf>
    <xf numFmtId="0" fontId="2" fillId="2" borderId="80" xfId="14" applyFill="1" applyBorder="1" applyAlignment="1">
      <alignment horizontal="centerContinuous" vertical="center"/>
    </xf>
    <xf numFmtId="0" fontId="15" fillId="2" borderId="78" xfId="24" applyFont="1" applyFill="1" applyBorder="1" applyAlignment="1">
      <alignment horizontal="centerContinuous" vertical="center"/>
    </xf>
    <xf numFmtId="0" fontId="15" fillId="2" borderId="80" xfId="24" applyFont="1" applyFill="1" applyBorder="1" applyAlignment="1">
      <alignment horizontal="centerContinuous" vertical="center"/>
    </xf>
    <xf numFmtId="0" fontId="22" fillId="2" borderId="78" xfId="13" applyFont="1" applyFill="1" applyBorder="1" applyAlignment="1">
      <alignment horizontal="centerContinuous" vertical="center"/>
    </xf>
    <xf numFmtId="0" fontId="22" fillId="2" borderId="80" xfId="13" applyFont="1" applyFill="1" applyBorder="1" applyAlignment="1">
      <alignment horizontal="centerContinuous" vertical="center"/>
    </xf>
    <xf numFmtId="0" fontId="15" fillId="2" borderId="79" xfId="24" applyFont="1" applyFill="1" applyBorder="1" applyAlignment="1">
      <alignment horizontal="centerContinuous" vertical="center"/>
    </xf>
    <xf numFmtId="0" fontId="22" fillId="2" borderId="81" xfId="13" applyFont="1" applyFill="1" applyBorder="1" applyAlignment="1">
      <alignment horizontal="center" vertical="center"/>
    </xf>
    <xf numFmtId="182" fontId="23" fillId="2" borderId="76" xfId="9" applyNumberFormat="1" applyFont="1" applyFill="1" applyBorder="1" applyAlignment="1">
      <alignment horizontal="center" vertical="center"/>
    </xf>
    <xf numFmtId="182" fontId="23" fillId="2" borderId="82" xfId="9" applyNumberFormat="1" applyFont="1" applyFill="1" applyBorder="1" applyAlignment="1">
      <alignment horizontal="center" vertical="center"/>
    </xf>
    <xf numFmtId="0" fontId="24" fillId="3" borderId="7" xfId="13" applyFont="1" applyFill="1" applyBorder="1" applyAlignment="1">
      <alignment horizontal="center" vertical="center" wrapText="1"/>
    </xf>
    <xf numFmtId="0" fontId="24" fillId="3" borderId="83" xfId="13" applyFont="1" applyFill="1" applyBorder="1" applyAlignment="1">
      <alignment horizontal="center" vertical="center" wrapText="1"/>
    </xf>
    <xf numFmtId="0" fontId="8" fillId="3" borderId="64" xfId="13" applyFont="1" applyFill="1" applyBorder="1" applyAlignment="1">
      <alignment horizontal="center" vertical="center" wrapText="1"/>
    </xf>
    <xf numFmtId="0" fontId="8" fillId="3" borderId="65" xfId="13" applyFont="1" applyFill="1" applyBorder="1" applyAlignment="1">
      <alignment horizontal="center" vertical="center" wrapText="1"/>
    </xf>
    <xf numFmtId="0" fontId="24" fillId="3" borderId="84" xfId="13" applyFont="1" applyFill="1" applyBorder="1" applyAlignment="1">
      <alignment horizontal="center" vertical="center" wrapText="1"/>
    </xf>
    <xf numFmtId="181" fontId="8" fillId="0" borderId="17" xfId="18" applyNumberFormat="1" applyFont="1" applyFill="1" applyBorder="1" applyAlignment="1">
      <alignment horizontal="left" vertical="center"/>
    </xf>
    <xf numFmtId="184" fontId="8" fillId="0" borderId="17" xfId="3" applyNumberFormat="1" applyFont="1" applyFill="1" applyBorder="1" applyAlignment="1">
      <alignment horizontal="center" vertical="center"/>
    </xf>
    <xf numFmtId="181" fontId="8" fillId="0" borderId="17" xfId="18" applyNumberFormat="1" applyFont="1" applyFill="1" applyBorder="1" applyAlignment="1">
      <alignment horizontal="center" vertical="center"/>
    </xf>
    <xf numFmtId="41" fontId="8" fillId="0" borderId="17" xfId="17" applyNumberFormat="1" applyFont="1" applyFill="1" applyBorder="1" applyAlignment="1">
      <alignment horizontal="left" vertical="center"/>
    </xf>
    <xf numFmtId="43" fontId="8" fillId="0" borderId="17" xfId="3" applyNumberFormat="1" applyFont="1" applyFill="1" applyBorder="1" applyAlignment="1">
      <alignment horizontal="center" vertical="center"/>
    </xf>
    <xf numFmtId="276" fontId="8" fillId="0" borderId="17" xfId="17" applyNumberFormat="1" applyFont="1" applyFill="1" applyBorder="1" applyAlignment="1">
      <alignment horizontal="left" vertical="center"/>
    </xf>
    <xf numFmtId="181" fontId="8" fillId="0" borderId="20" xfId="18" applyNumberFormat="1" applyFont="1" applyFill="1" applyBorder="1" applyAlignment="1">
      <alignment horizontal="left" vertical="center"/>
    </xf>
    <xf numFmtId="184" fontId="8" fillId="0" borderId="20" xfId="3" applyNumberFormat="1" applyFont="1" applyFill="1" applyBorder="1" applyAlignment="1">
      <alignment horizontal="center" vertical="center"/>
    </xf>
    <xf numFmtId="41" fontId="8" fillId="0" borderId="20" xfId="17" applyNumberFormat="1" applyFont="1" applyFill="1" applyBorder="1" applyAlignment="1">
      <alignment horizontal="left" vertical="center"/>
    </xf>
    <xf numFmtId="0" fontId="22" fillId="2" borderId="85" xfId="13" applyFont="1" applyFill="1" applyBorder="1" applyAlignment="1">
      <alignment horizontal="centerContinuous" vertical="center"/>
    </xf>
    <xf numFmtId="0" fontId="22" fillId="2" borderId="86" xfId="13" applyFont="1" applyFill="1" applyBorder="1" applyAlignment="1">
      <alignment horizontal="centerContinuous" vertical="center"/>
    </xf>
    <xf numFmtId="0" fontId="22" fillId="2" borderId="87" xfId="13" applyFont="1" applyFill="1" applyBorder="1" applyAlignment="1">
      <alignment horizontal="centerContinuous" vertical="center"/>
    </xf>
    <xf numFmtId="0" fontId="22" fillId="2" borderId="88" xfId="13" applyFont="1" applyFill="1" applyBorder="1" applyAlignment="1">
      <alignment horizontal="centerContinuous" vertical="center"/>
    </xf>
    <xf numFmtId="0" fontId="15" fillId="2" borderId="86" xfId="14" applyFont="1" applyFill="1" applyBorder="1" applyAlignment="1">
      <alignment horizontal="centerContinuous" vertical="center"/>
    </xf>
    <xf numFmtId="0" fontId="15" fillId="2" borderId="89" xfId="14" applyFont="1" applyFill="1" applyBorder="1" applyAlignment="1">
      <alignment horizontal="centerContinuous" vertical="center"/>
    </xf>
    <xf numFmtId="0" fontId="15" fillId="2" borderId="90" xfId="14" applyFont="1" applyFill="1" applyBorder="1" applyAlignment="1">
      <alignment horizontal="centerContinuous" vertical="center"/>
    </xf>
    <xf numFmtId="0" fontId="15" fillId="2" borderId="87" xfId="14" applyFont="1" applyFill="1" applyBorder="1" applyAlignment="1">
      <alignment horizontal="centerContinuous" vertical="center"/>
    </xf>
    <xf numFmtId="0" fontId="22" fillId="2" borderId="91" xfId="13" applyFont="1" applyFill="1" applyBorder="1" applyAlignment="1">
      <alignment horizontal="centerContinuous" vertical="center"/>
    </xf>
    <xf numFmtId="275" fontId="22" fillId="2" borderId="92" xfId="13" applyNumberFormat="1" applyFont="1" applyFill="1" applyBorder="1" applyAlignment="1">
      <alignment horizontal="center" vertical="center"/>
    </xf>
    <xf numFmtId="275" fontId="22" fillId="2" borderId="93" xfId="13" applyNumberFormat="1" applyFont="1" applyFill="1" applyBorder="1" applyAlignment="1">
      <alignment horizontal="center" vertical="center"/>
    </xf>
    <xf numFmtId="275" fontId="22" fillId="2" borderId="94" xfId="13" applyNumberFormat="1" applyFont="1" applyFill="1" applyBorder="1" applyAlignment="1">
      <alignment horizontal="center" vertical="center"/>
    </xf>
    <xf numFmtId="275" fontId="22" fillId="2" borderId="95" xfId="13" applyNumberFormat="1" applyFont="1" applyFill="1" applyBorder="1" applyAlignment="1">
      <alignment horizontal="center" vertical="center"/>
    </xf>
    <xf numFmtId="275" fontId="22" fillId="2" borderId="96" xfId="13" applyNumberFormat="1" applyFont="1" applyFill="1" applyBorder="1" applyAlignment="1">
      <alignment horizontal="center" vertical="center"/>
    </xf>
    <xf numFmtId="275" fontId="22" fillId="2" borderId="97" xfId="13" applyNumberFormat="1" applyFont="1" applyFill="1" applyBorder="1" applyAlignment="1">
      <alignment horizontal="center" vertical="center"/>
    </xf>
    <xf numFmtId="0" fontId="8" fillId="3" borderId="63" xfId="13" applyFont="1" applyFill="1" applyBorder="1" applyAlignment="1">
      <alignment horizontal="center" vertical="center" wrapText="1"/>
    </xf>
    <xf numFmtId="41" fontId="8" fillId="3" borderId="65" xfId="26" applyFont="1" applyFill="1" applyBorder="1" applyAlignment="1">
      <alignment horizontal="center" vertical="center" wrapText="1"/>
    </xf>
    <xf numFmtId="0" fontId="8" fillId="3" borderId="66" xfId="13" applyFont="1" applyFill="1" applyBorder="1" applyAlignment="1">
      <alignment horizontal="center" vertical="center" wrapText="1"/>
    </xf>
    <xf numFmtId="0" fontId="8" fillId="3" borderId="68" xfId="13" applyFont="1" applyFill="1" applyBorder="1" applyAlignment="1">
      <alignment horizontal="center" vertical="center" wrapText="1"/>
    </xf>
    <xf numFmtId="14" fontId="8" fillId="0" borderId="17" xfId="769" applyNumberFormat="1" applyFont="1" applyFill="1" applyBorder="1" applyAlignment="1">
      <alignment horizontal="center" vertical="center"/>
    </xf>
    <xf numFmtId="41" fontId="8" fillId="40" borderId="17" xfId="17" applyNumberFormat="1" applyFont="1" applyFill="1" applyBorder="1" applyAlignment="1">
      <alignment horizontal="center" vertical="center"/>
    </xf>
    <xf numFmtId="41" fontId="8" fillId="40" borderId="20" xfId="17" applyNumberFormat="1" applyFont="1" applyFill="1" applyBorder="1" applyAlignment="1">
      <alignment horizontal="center" vertical="center"/>
    </xf>
    <xf numFmtId="180" fontId="8" fillId="0" borderId="17" xfId="6" quotePrefix="1" applyNumberFormat="1" applyFont="1" applyFill="1" applyBorder="1" applyAlignment="1">
      <alignment horizontal="center" vertical="center"/>
    </xf>
    <xf numFmtId="0" fontId="32" fillId="40" borderId="5" xfId="719" applyFont="1" applyFill="1" applyBorder="1" applyAlignment="1">
      <alignment horizontal="center" vertical="center"/>
    </xf>
    <xf numFmtId="0" fontId="54" fillId="0" borderId="0" xfId="770" applyFont="1" applyFill="1" applyAlignment="1">
      <alignment vertical="center"/>
    </xf>
    <xf numFmtId="0" fontId="2" fillId="0" borderId="0" xfId="770" applyFill="1" applyAlignment="1">
      <alignment vertical="center"/>
    </xf>
    <xf numFmtId="0" fontId="32" fillId="40" borderId="5" xfId="719" applyFont="1" applyFill="1" applyBorder="1" applyAlignment="1">
      <alignment horizontal="center" vertical="center" shrinkToFit="1"/>
    </xf>
    <xf numFmtId="0" fontId="32" fillId="0" borderId="5" xfId="719" applyFont="1" applyBorder="1" applyAlignment="1">
      <alignment vertical="center"/>
    </xf>
    <xf numFmtId="0" fontId="32" fillId="0" borderId="5" xfId="719" applyFont="1" applyBorder="1" applyAlignment="1">
      <alignment horizontal="center" vertical="center"/>
    </xf>
    <xf numFmtId="9" fontId="32" fillId="0" borderId="5" xfId="719" applyNumberFormat="1" applyFont="1" applyBorder="1" applyAlignment="1">
      <alignment horizontal="center" vertical="center"/>
    </xf>
    <xf numFmtId="255" fontId="32" fillId="0" borderId="5" xfId="771" applyFont="1" applyBorder="1" applyAlignment="1">
      <alignment vertical="center"/>
    </xf>
    <xf numFmtId="0" fontId="32" fillId="0" borderId="0" xfId="719" applyFont="1" applyAlignment="1">
      <alignment horizontal="center" vertical="center"/>
    </xf>
    <xf numFmtId="0" fontId="8" fillId="0" borderId="98" xfId="13" applyFont="1" applyFill="1" applyBorder="1" applyAlignment="1">
      <alignment horizontal="center" vertical="center"/>
    </xf>
    <xf numFmtId="0" fontId="8" fillId="0" borderId="100" xfId="13" applyFont="1" applyFill="1" applyBorder="1" applyAlignment="1">
      <alignment horizontal="center" vertical="center"/>
    </xf>
    <xf numFmtId="0" fontId="8" fillId="0" borderId="101" xfId="13" applyFont="1" applyFill="1" applyBorder="1" applyAlignment="1">
      <alignment horizontal="center" vertical="center"/>
    </xf>
    <xf numFmtId="0" fontId="15" fillId="0" borderId="0" xfId="13" applyFont="1" applyAlignment="1">
      <alignment horizontal="center" vertical="center"/>
    </xf>
    <xf numFmtId="0" fontId="8" fillId="0" borderId="0" xfId="13" applyFont="1" applyAlignment="1">
      <alignment horizontal="center" vertical="center"/>
    </xf>
    <xf numFmtId="0" fontId="8" fillId="0" borderId="0" xfId="13" applyFont="1" applyFill="1" applyAlignment="1">
      <alignment horizontal="center" vertical="center"/>
    </xf>
    <xf numFmtId="0" fontId="8" fillId="0" borderId="0" xfId="0" applyNumberFormat="1" applyFont="1" applyFill="1" applyAlignment="1">
      <alignment horizontal="center" vertical="center"/>
    </xf>
    <xf numFmtId="0" fontId="2" fillId="0" borderId="0" xfId="14" applyFill="1" applyAlignment="1">
      <alignment vertical="center"/>
    </xf>
    <xf numFmtId="0" fontId="8" fillId="0" borderId="0" xfId="0" applyNumberFormat="1" applyFont="1" applyFill="1" applyAlignment="1">
      <alignment vertical="center"/>
    </xf>
    <xf numFmtId="0" fontId="9" fillId="0" borderId="0" xfId="9" applyFont="1" applyFill="1" applyAlignment="1">
      <alignment vertical="center"/>
    </xf>
    <xf numFmtId="0" fontId="44" fillId="0" borderId="0" xfId="9" applyFont="1" applyFill="1" applyAlignment="1">
      <alignment vertical="center"/>
    </xf>
    <xf numFmtId="41" fontId="44" fillId="0" borderId="0" xfId="12" applyFont="1" applyFill="1" applyBorder="1" applyAlignment="1">
      <alignment vertical="center"/>
    </xf>
    <xf numFmtId="0" fontId="44" fillId="0" borderId="0" xfId="9" applyFont="1" applyFill="1" applyBorder="1" applyAlignment="1">
      <alignment vertical="center"/>
    </xf>
    <xf numFmtId="0" fontId="15" fillId="0" borderId="0" xfId="13" applyFont="1" applyAlignment="1">
      <alignment vertical="center"/>
    </xf>
    <xf numFmtId="0" fontId="19" fillId="0" borderId="0" xfId="9" applyFont="1" applyFill="1" applyAlignment="1">
      <alignment vertical="center"/>
    </xf>
    <xf numFmtId="41" fontId="19" fillId="0" borderId="0" xfId="12" applyFont="1" applyFill="1" applyBorder="1" applyAlignment="1">
      <alignment vertical="center"/>
    </xf>
    <xf numFmtId="0" fontId="19" fillId="0" borderId="0" xfId="9" applyFont="1" applyFill="1" applyBorder="1" applyAlignment="1">
      <alignment vertical="center"/>
    </xf>
    <xf numFmtId="0" fontId="9" fillId="0" borderId="0" xfId="9" applyFont="1" applyFill="1" applyBorder="1" applyAlignment="1">
      <alignment vertical="center"/>
    </xf>
    <xf numFmtId="0" fontId="44" fillId="40" borderId="0" xfId="9" applyFont="1" applyFill="1" applyBorder="1" applyAlignment="1">
      <alignment vertical="center"/>
    </xf>
    <xf numFmtId="0" fontId="22" fillId="0" borderId="0" xfId="13" applyFont="1" applyAlignment="1">
      <alignment vertical="center"/>
    </xf>
    <xf numFmtId="0" fontId="24" fillId="0" borderId="0" xfId="13" applyFont="1" applyAlignment="1">
      <alignment vertical="center"/>
    </xf>
    <xf numFmtId="0" fontId="8" fillId="0" borderId="0" xfId="13" applyFont="1" applyAlignment="1">
      <alignment vertical="center"/>
    </xf>
    <xf numFmtId="41" fontId="8" fillId="0" borderId="17" xfId="1" applyFont="1" applyFill="1" applyBorder="1" applyAlignment="1">
      <alignment vertical="center"/>
    </xf>
    <xf numFmtId="0" fontId="8" fillId="0" borderId="17" xfId="13" applyFont="1" applyFill="1" applyBorder="1" applyAlignment="1">
      <alignment vertical="center"/>
    </xf>
    <xf numFmtId="0" fontId="8" fillId="0" borderId="99" xfId="13" applyFont="1" applyFill="1" applyBorder="1" applyAlignment="1">
      <alignment vertical="center"/>
    </xf>
    <xf numFmtId="0" fontId="8" fillId="0" borderId="0" xfId="13" applyFont="1" applyFill="1" applyAlignment="1">
      <alignment vertical="center"/>
    </xf>
    <xf numFmtId="41" fontId="8" fillId="0" borderId="101" xfId="1" applyFont="1" applyFill="1" applyBorder="1" applyAlignment="1">
      <alignment vertical="center"/>
    </xf>
    <xf numFmtId="0" fontId="8" fillId="0" borderId="101" xfId="13" applyFont="1" applyFill="1" applyBorder="1" applyAlignment="1">
      <alignment vertical="center"/>
    </xf>
    <xf numFmtId="0" fontId="8" fillId="0" borderId="102" xfId="13" applyFont="1" applyFill="1" applyBorder="1" applyAlignment="1">
      <alignment vertical="center"/>
    </xf>
    <xf numFmtId="41" fontId="8" fillId="0" borderId="0" xfId="13" applyNumberFormat="1" applyFont="1" applyAlignment="1">
      <alignment vertical="center"/>
    </xf>
    <xf numFmtId="0" fontId="8" fillId="0" borderId="15" xfId="13" applyFont="1" applyFill="1" applyBorder="1" applyAlignment="1">
      <alignment vertical="center"/>
    </xf>
    <xf numFmtId="41" fontId="8" fillId="0" borderId="20" xfId="1" applyFont="1" applyFill="1" applyBorder="1" applyAlignment="1">
      <alignment vertical="center"/>
    </xf>
    <xf numFmtId="0" fontId="8" fillId="0" borderId="107" xfId="13" applyFont="1" applyFill="1" applyBorder="1" applyAlignment="1">
      <alignment vertical="center"/>
    </xf>
    <xf numFmtId="0" fontId="8" fillId="0" borderId="14" xfId="13" applyFont="1" applyFill="1" applyBorder="1" applyAlignment="1">
      <alignment vertical="center"/>
    </xf>
    <xf numFmtId="0" fontId="8" fillId="0" borderId="20" xfId="13" applyFont="1" applyFill="1" applyBorder="1" applyAlignment="1">
      <alignment vertical="center"/>
    </xf>
    <xf numFmtId="41" fontId="8" fillId="0" borderId="30" xfId="1" applyFont="1" applyFill="1" applyBorder="1" applyAlignment="1">
      <alignment vertical="center"/>
    </xf>
    <xf numFmtId="41" fontId="8" fillId="0" borderId="14" xfId="1" applyFont="1" applyFill="1" applyBorder="1" applyAlignment="1">
      <alignment vertical="center"/>
    </xf>
    <xf numFmtId="0" fontId="8" fillId="0" borderId="30" xfId="13" applyFont="1" applyFill="1" applyBorder="1" applyAlignment="1">
      <alignment vertical="center"/>
    </xf>
    <xf numFmtId="0" fontId="8" fillId="0" borderId="21" xfId="13" applyFont="1" applyFill="1" applyBorder="1" applyAlignment="1">
      <alignment vertical="center"/>
    </xf>
    <xf numFmtId="0" fontId="8" fillId="0" borderId="17" xfId="13" applyFont="1" applyFill="1" applyBorder="1" applyAlignment="1">
      <alignment horizontal="center" vertical="center"/>
    </xf>
    <xf numFmtId="0" fontId="8" fillId="0" borderId="101" xfId="13" applyFont="1" applyFill="1" applyBorder="1" applyAlignment="1">
      <alignment horizontal="center" vertical="center"/>
    </xf>
    <xf numFmtId="0" fontId="8" fillId="0" borderId="13" xfId="13" applyFont="1" applyFill="1" applyBorder="1" applyAlignment="1">
      <alignment horizontal="center" vertical="center"/>
    </xf>
    <xf numFmtId="0" fontId="8" fillId="0" borderId="14" xfId="13" applyFont="1" applyFill="1" applyBorder="1" applyAlignment="1">
      <alignment horizontal="center" vertical="center"/>
    </xf>
    <xf numFmtId="0" fontId="8" fillId="0" borderId="17" xfId="13" applyFont="1" applyFill="1" applyBorder="1" applyAlignment="1">
      <alignment horizontal="center" vertical="center"/>
    </xf>
    <xf numFmtId="0" fontId="8" fillId="0" borderId="19" xfId="13" applyFont="1" applyFill="1" applyBorder="1" applyAlignment="1">
      <alignment horizontal="center" vertical="center"/>
    </xf>
    <xf numFmtId="0" fontId="8" fillId="0" borderId="20" xfId="13" applyFont="1" applyFill="1" applyBorder="1" applyAlignment="1">
      <alignment horizontal="center" vertical="center"/>
    </xf>
    <xf numFmtId="0" fontId="32" fillId="0" borderId="103" xfId="719" applyFont="1" applyBorder="1" applyAlignment="1">
      <alignment horizontal="center" vertical="center"/>
    </xf>
    <xf numFmtId="0" fontId="32" fillId="0" borderId="104" xfId="719" applyFont="1" applyBorder="1" applyAlignment="1">
      <alignment horizontal="center" vertical="center"/>
    </xf>
    <xf numFmtId="0" fontId="32" fillId="0" borderId="104" xfId="719" applyFont="1" applyBorder="1" applyAlignment="1">
      <alignment horizontal="center" vertical="center" wrapText="1"/>
    </xf>
    <xf numFmtId="0" fontId="32" fillId="0" borderId="105" xfId="719" applyFont="1" applyBorder="1" applyAlignment="1">
      <alignment horizontal="center" vertical="center"/>
    </xf>
    <xf numFmtId="0" fontId="8" fillId="0" borderId="106" xfId="13" applyFont="1" applyFill="1" applyBorder="1" applyAlignment="1">
      <alignment horizontal="center" vertical="center"/>
    </xf>
    <xf numFmtId="0" fontId="8" fillId="0" borderId="30" xfId="13" applyFont="1" applyFill="1" applyBorder="1" applyAlignment="1">
      <alignment horizontal="center" vertical="center"/>
    </xf>
    <xf numFmtId="0" fontId="8" fillId="40" borderId="17" xfId="13" applyFont="1" applyFill="1" applyBorder="1" applyAlignment="1">
      <alignment horizontal="center" vertical="center"/>
    </xf>
    <xf numFmtId="0" fontId="8" fillId="40" borderId="30" xfId="13" applyFont="1" applyFill="1" applyBorder="1" applyAlignment="1">
      <alignment horizontal="center" vertical="center"/>
    </xf>
    <xf numFmtId="0" fontId="8" fillId="0" borderId="17" xfId="13" applyFont="1" applyFill="1" applyBorder="1">
      <alignment vertical="center"/>
    </xf>
    <xf numFmtId="0" fontId="8" fillId="0" borderId="99" xfId="13" applyFont="1" applyFill="1" applyBorder="1">
      <alignment vertical="center"/>
    </xf>
    <xf numFmtId="0" fontId="8" fillId="0" borderId="17" xfId="13" applyFont="1" applyFill="1" applyBorder="1">
      <alignment vertical="center"/>
    </xf>
    <xf numFmtId="0" fontId="52" fillId="0" borderId="0" xfId="9" applyFont="1" applyFill="1" applyAlignment="1">
      <alignment vertical="center"/>
    </xf>
    <xf numFmtId="0" fontId="8" fillId="0" borderId="17" xfId="17" applyNumberFormat="1" applyFont="1" applyFill="1" applyBorder="1" applyAlignment="1">
      <alignment horizontal="left" vertical="center"/>
    </xf>
    <xf numFmtId="0" fontId="8" fillId="0" borderId="20" xfId="17" applyNumberFormat="1" applyFont="1" applyFill="1" applyBorder="1" applyAlignment="1">
      <alignment horizontal="left" vertical="center"/>
    </xf>
    <xf numFmtId="0" fontId="8" fillId="0" borderId="0" xfId="14" applyFont="1" applyFill="1" applyAlignment="1">
      <alignment horizontal="left" vertical="center"/>
    </xf>
    <xf numFmtId="0" fontId="8" fillId="0" borderId="17" xfId="13" applyFont="1" applyFill="1" applyBorder="1" applyAlignment="1">
      <alignment horizontal="center" vertical="center"/>
    </xf>
    <xf numFmtId="0" fontId="8" fillId="0" borderId="17" xfId="13" applyFont="1" applyFill="1" applyBorder="1">
      <alignment vertical="center"/>
    </xf>
    <xf numFmtId="0" fontId="8" fillId="0" borderId="99" xfId="13" applyFont="1" applyFill="1" applyBorder="1">
      <alignment vertical="center"/>
    </xf>
    <xf numFmtId="0" fontId="22" fillId="2" borderId="108" xfId="13" applyFont="1" applyFill="1" applyBorder="1" applyAlignment="1">
      <alignment horizontal="centerContinuous" vertical="center"/>
    </xf>
    <xf numFmtId="182" fontId="40" fillId="2" borderId="27" xfId="15" applyNumberFormat="1" applyFont="1" applyFill="1" applyBorder="1" applyAlignment="1">
      <alignment horizontal="center" vertical="center"/>
    </xf>
    <xf numFmtId="0" fontId="8" fillId="40" borderId="17" xfId="13" applyFont="1" applyFill="1" applyBorder="1" applyAlignment="1">
      <alignment horizontal="center" vertical="center"/>
    </xf>
    <xf numFmtId="0" fontId="22" fillId="2" borderId="72" xfId="13" applyFont="1" applyFill="1" applyBorder="1" applyAlignment="1">
      <alignment horizontal="center" vertical="center"/>
    </xf>
    <xf numFmtId="0" fontId="22" fillId="2" borderId="73" xfId="13" applyFont="1" applyFill="1" applyBorder="1" applyAlignment="1">
      <alignment horizontal="center" vertical="center"/>
    </xf>
    <xf numFmtId="0" fontId="22" fillId="2" borderId="74" xfId="13" applyFont="1" applyFill="1" applyBorder="1" applyAlignment="1">
      <alignment horizontal="center" vertical="center"/>
    </xf>
    <xf numFmtId="0" fontId="22" fillId="2" borderId="75" xfId="13" applyFont="1" applyFill="1" applyBorder="1" applyAlignment="1">
      <alignment horizontal="center" vertical="center"/>
    </xf>
    <xf numFmtId="0" fontId="15" fillId="2" borderId="73" xfId="14" applyFont="1" applyFill="1" applyBorder="1" applyAlignment="1">
      <alignment horizontal="center" vertical="center"/>
    </xf>
    <xf numFmtId="0" fontId="15" fillId="2" borderId="75" xfId="14" applyFont="1" applyFill="1" applyBorder="1" applyAlignment="1">
      <alignment horizontal="center" vertical="center"/>
    </xf>
    <xf numFmtId="0" fontId="22" fillId="2" borderId="56" xfId="0" applyFont="1" applyFill="1" applyBorder="1" applyAlignment="1">
      <alignment horizontal="center" vertical="center"/>
    </xf>
    <xf numFmtId="0" fontId="0" fillId="2" borderId="56" xfId="0" applyFill="1" applyBorder="1" applyAlignment="1">
      <alignment horizontal="center" vertical="center"/>
    </xf>
    <xf numFmtId="0" fontId="24" fillId="41" borderId="8" xfId="13" applyFont="1" applyFill="1" applyBorder="1" applyAlignment="1">
      <alignment horizontal="center" vertical="center" wrapText="1"/>
    </xf>
    <xf numFmtId="0" fontId="24" fillId="41" borderId="9" xfId="13" applyFont="1" applyFill="1" applyBorder="1" applyAlignment="1">
      <alignment horizontal="center" vertical="center" wrapText="1"/>
    </xf>
    <xf numFmtId="0" fontId="24" fillId="41" borderId="7" xfId="13" applyFont="1" applyFill="1" applyBorder="1" applyAlignment="1">
      <alignment horizontal="center" vertical="center" wrapText="1"/>
    </xf>
    <xf numFmtId="0" fontId="24" fillId="41" borderId="65" xfId="13" applyFont="1" applyFill="1" applyBorder="1" applyAlignment="1">
      <alignment horizontal="center" vertical="center" wrapText="1"/>
    </xf>
    <xf numFmtId="0" fontId="24" fillId="41" borderId="66" xfId="13" applyFont="1" applyFill="1" applyBorder="1" applyAlignment="1">
      <alignment horizontal="center" vertical="center" wrapText="1"/>
    </xf>
    <xf numFmtId="0" fontId="24" fillId="41" borderId="64" xfId="13" applyFont="1" applyFill="1" applyBorder="1" applyAlignment="1">
      <alignment horizontal="center" vertical="center" wrapText="1"/>
    </xf>
    <xf numFmtId="0" fontId="8" fillId="41" borderId="8" xfId="13" applyFont="1" applyFill="1" applyBorder="1" applyAlignment="1">
      <alignment horizontal="center" vertical="center" wrapText="1"/>
    </xf>
    <xf numFmtId="0" fontId="8" fillId="41" borderId="62" xfId="13" applyFont="1" applyFill="1" applyBorder="1" applyAlignment="1">
      <alignment horizontal="center" vertical="center" wrapText="1"/>
    </xf>
    <xf numFmtId="185" fontId="24" fillId="41" borderId="7" xfId="24" applyNumberFormat="1" applyFont="1" applyFill="1" applyBorder="1" applyAlignment="1">
      <alignment horizontal="center" vertical="center" wrapText="1"/>
    </xf>
    <xf numFmtId="0" fontId="8" fillId="41" borderId="65" xfId="13" applyFont="1" applyFill="1" applyBorder="1" applyAlignment="1">
      <alignment horizontal="center" vertical="center" wrapText="1"/>
    </xf>
    <xf numFmtId="0" fontId="8" fillId="41" borderId="67" xfId="13" applyFont="1" applyFill="1" applyBorder="1" applyAlignment="1">
      <alignment horizontal="center" vertical="center" wrapText="1"/>
    </xf>
    <xf numFmtId="0" fontId="8" fillId="41" borderId="8" xfId="2" applyFont="1" applyFill="1" applyBorder="1" applyAlignment="1">
      <alignment horizontal="center" vertical="center" wrapText="1"/>
    </xf>
    <xf numFmtId="0" fontId="24" fillId="41" borderId="11" xfId="5" applyFont="1" applyFill="1" applyBorder="1" applyAlignment="1">
      <alignment horizontal="center" vertical="top" wrapText="1"/>
    </xf>
    <xf numFmtId="0" fontId="8" fillId="41" borderId="11" xfId="2" applyFont="1" applyFill="1" applyBorder="1" applyAlignment="1">
      <alignment horizontal="center" vertical="center" wrapText="1"/>
    </xf>
    <xf numFmtId="0" fontId="24" fillId="41" borderId="11" xfId="5" applyFont="1" applyFill="1" applyBorder="1" applyAlignment="1">
      <alignment horizontal="center" vertical="center" wrapText="1"/>
    </xf>
    <xf numFmtId="0" fontId="32" fillId="41" borderId="8" xfId="15" applyFont="1" applyFill="1" applyBorder="1" applyAlignment="1">
      <alignment horizontal="center" vertical="center" wrapText="1"/>
    </xf>
    <xf numFmtId="0" fontId="32" fillId="41" borderId="9" xfId="15" applyFont="1" applyFill="1" applyBorder="1" applyAlignment="1">
      <alignment horizontal="center" vertical="center" wrapText="1"/>
    </xf>
    <xf numFmtId="0" fontId="32" fillId="41" borderId="23" xfId="15" applyFont="1" applyFill="1" applyBorder="1" applyAlignment="1">
      <alignment horizontal="center" vertical="center" wrapText="1"/>
    </xf>
    <xf numFmtId="0" fontId="32" fillId="41" borderId="65" xfId="15" applyFont="1" applyFill="1" applyBorder="1" applyAlignment="1">
      <alignment horizontal="center" vertical="center" wrapText="1"/>
    </xf>
    <xf numFmtId="0" fontId="32" fillId="41" borderId="66" xfId="15" applyFont="1" applyFill="1" applyBorder="1" applyAlignment="1">
      <alignment horizontal="center" vertical="center" wrapText="1"/>
    </xf>
    <xf numFmtId="0" fontId="32" fillId="41" borderId="32" xfId="15" applyFont="1" applyFill="1" applyBorder="1" applyAlignment="1">
      <alignment horizontal="center" vertical="center" wrapText="1"/>
    </xf>
    <xf numFmtId="0" fontId="32" fillId="41" borderId="7" xfId="15" applyFont="1" applyFill="1" applyBorder="1" applyAlignment="1">
      <alignment horizontal="center" vertical="center" wrapText="1"/>
    </xf>
    <xf numFmtId="0" fontId="32" fillId="41" borderId="64" xfId="15" applyFont="1" applyFill="1" applyBorder="1" applyAlignment="1">
      <alignment horizontal="center" vertical="center" wrapText="1"/>
    </xf>
    <xf numFmtId="0" fontId="32" fillId="41" borderId="5" xfId="15" applyFont="1" applyFill="1" applyBorder="1" applyAlignment="1">
      <alignment horizontal="center" vertical="center" wrapText="1"/>
    </xf>
    <xf numFmtId="0" fontId="32" fillId="40" borderId="8" xfId="15" applyFont="1" applyFill="1" applyBorder="1" applyAlignment="1">
      <alignment horizontal="center" vertical="center" wrapText="1"/>
    </xf>
    <xf numFmtId="0" fontId="24" fillId="40" borderId="65" xfId="16" applyFont="1" applyFill="1" applyBorder="1" applyAlignment="1">
      <alignment horizontal="center" vertical="center" wrapText="1"/>
    </xf>
  </cellXfs>
  <cellStyles count="772">
    <cellStyle name="          _x000d__x000a_386grabber=vga.3gr_x000d__x000a_" xfId="30"/>
    <cellStyle name="          _x000d__x000a_shell=progman.exe_x000d__x000a_m" xfId="31"/>
    <cellStyle name="_x000a_386grabber=M" xfId="32"/>
    <cellStyle name="$" xfId="33"/>
    <cellStyle name="$_db진흥" xfId="34"/>
    <cellStyle name="$_견적2" xfId="35"/>
    <cellStyle name="$_기아" xfId="36"/>
    <cellStyle name="_x001f_?--_x0004_ _x000c_ _x0003__x000b__x0001__x000a__x000b__x0002_--_x0008__x0004__x0002__x0002__x0007__x0007__x0007__x0007__x0007__x0007__x0007__x0007__x0007__x0007__x0007__x0007__x0007__x0007__x0002_-_x0004_ _x000c_ _x0003__x000b__x0001__x000a__x000b__x0002_--_x0008__x0002_" xfId="37"/>
    <cellStyle name="?? [0.00]_pr" xfId="38"/>
    <cellStyle name="?? [0]_??? " xfId="39"/>
    <cellStyle name="??&amp;O?&amp;H?_x0008__x000f__x0007_?_x0007__x0001__x0001_" xfId="40"/>
    <cellStyle name="??&amp;O?&amp;H?_x0008_??_x0007__x0001__x0001_" xfId="41"/>
    <cellStyle name="??&amp;O?&amp;H?_x0008_x_x000b_P_x000c__x0007__x0001__x0001_" xfId="42"/>
    <cellStyle name="???­" xfId="43"/>
    <cellStyle name="???­ [0]" xfId="44"/>
    <cellStyle name="???? [0.00]_1997 Turns" xfId="45"/>
    <cellStyle name="???? [0]_????? " xfId="46"/>
    <cellStyle name="?????_VERA" xfId="47"/>
    <cellStyle name="????_????? " xfId="48"/>
    <cellStyle name="???­_¸???" xfId="49"/>
    <cellStyle name="???ø" xfId="50"/>
    <cellStyle name="??_??? " xfId="51"/>
    <cellStyle name="?þ¸¶" xfId="52"/>
    <cellStyle name="?þ¸¶ [0]" xfId="53"/>
    <cellStyle name="?þ¸¶_¸???" xfId="54"/>
    <cellStyle name="?W?_laroux" xfId="55"/>
    <cellStyle name="?霖_?寇bal" xfId="56"/>
    <cellStyle name="?핺_CASH FLOW " xfId="57"/>
    <cellStyle name="]_^[꺞_x0008_?" xfId="58"/>
    <cellStyle name="_(07-07-19)1사분기 영업실적(잠정) 자료제출요구서(양식-일반)(1)" xfId="59"/>
    <cellStyle name="_-* #,##0_-;-* #,##0_-;_-* &quot;-&quot;_-;_-@_-" xfId="60"/>
    <cellStyle name="_-* #,##0_-;-* #,##0_-;_-* &quot;-&quot;_-;_-@_-_예외적립품의_0910(완료)" xfId="61"/>
    <cellStyle name="_-* #,##0_-;-* #,##0_-;_-* &quot;-&quot;_-;_-@_-_요약자료_20090831" xfId="62"/>
    <cellStyle name="_-* #,##0_-;-* #,##0_-;_-* &quot;-&quot;_-;_-@_-_재무지원부충당금" xfId="63"/>
    <cellStyle name="_-* #,##0_-;-* #,##0_-;_-* &quot;-&quot;_-;_-@_-_재무지원부충당금_1" xfId="64"/>
    <cellStyle name="_-* #,##0_-;-* #,##0_-;_-* &quot;-&quot;_-;_-@_-_재무지원부충당금_1_예외적립품의_0910(완료)" xfId="65"/>
    <cellStyle name="_-* #,##0_-;-* #,##0_-;_-* &quot;-&quot;_-;_-@_-_재무지원부충당금_1_추가적립업체명세(완료)V_3황동인대리님" xfId="66"/>
    <cellStyle name="_-* #,##0_-;-* #,##0_-;_-* &quot;-&quot;_-;_-@_-_추가적립명세_0908" xfId="67"/>
    <cellStyle name="_-* #,##0_-;-* #,##0_-;_-* &quot;-&quot;_-;_-@_-_추가적립명세_0908_예외적립품의_0910(완료)" xfId="68"/>
    <cellStyle name="_-* #,##0_-;-* #,##0_-;_-* &quot;-&quot;_-;_-@_-_추가적립명세_0908_추가적립업체명세(완료)V_3황동인대리님" xfId="69"/>
    <cellStyle name="_-* #,##0_-;-* #,##0_-;_-* &quot;-&quot;_-;_-@_-_추가적립업체명세(완료)V_3황동인대리님" xfId="70"/>
    <cellStyle name="_-* #,##0_-;-* #,##0_-;_-* &quot;-&quot;_-;_-@_-_추가충당금명세_0812_v1" xfId="71"/>
    <cellStyle name="_-* #,##0_-;-* #,##0_-;_-* &quot;-&quot;_-;_-@_-_파생상품관련충당금파일0910_v2(영광스텐반영후)" xfId="72"/>
    <cellStyle name="_~MF3326" xfId="73"/>
    <cellStyle name="_~MF3326_1" xfId="74"/>
    <cellStyle name="_~MF3326_2" xfId="75"/>
    <cellStyle name="_~MF3326_3" xfId="76"/>
    <cellStyle name="_~MF3326_4" xfId="77"/>
    <cellStyle name="_~MF3326_5" xfId="78"/>
    <cellStyle name="_~MF3326_자회사배당익불산고려(7(1).18)" xfId="79"/>
    <cellStyle name="_00 개정내용(종합)(2400~2500)(개정)" xfId="80"/>
    <cellStyle name="_030820 Final 확정업무보고서(2003.2분기)" xfId="81"/>
    <cellStyle name="_0609 해외여신잔액" xfId="82"/>
    <cellStyle name="_08_공지_영업본부편성상세" xfId="83"/>
    <cellStyle name="_1.2차구조조정_20090630_v1.0(완료)" xfId="84"/>
    <cellStyle name="_1-4분기업평점수(구신한,시너지,적립식자동이체)(1)" xfId="85"/>
    <cellStyle name="_175기3분기주석(통합은행)" xfId="86"/>
    <cellStyle name="_175기주석(양식)" xfId="87"/>
    <cellStyle name="_2003.3_4분기_경영관리팀_82~83_제출_현호씨" xfId="88"/>
    <cellStyle name="_2003.3_4분기_경영관리팀_할부금융,비용" xfId="89"/>
    <cellStyle name="_2003.4_4분기_경영관리팀(김기배대리)" xfId="90"/>
    <cellStyle name="_2003.4_4분기_경영관리팀(김기배대리)_20040316" xfId="91"/>
    <cellStyle name="_2라_자산건전성(051223)" xfId="92"/>
    <cellStyle name="_2마_수익성(061222)" xfId="93"/>
    <cellStyle name="_6월자산건전성분류(최종)8월26일s" xfId="94"/>
    <cellStyle name="_6월자산건전성분류_최종" xfId="95"/>
    <cellStyle name="_7월누적투자" xfId="96"/>
    <cellStyle name="_9810총집계" xfId="97"/>
    <cellStyle name="_9810총집계_1" xfId="98"/>
    <cellStyle name="_9810총집계_2" xfId="99"/>
    <cellStyle name="_9810총집계_3" xfId="100"/>
    <cellStyle name="_9810총집계_4" xfId="101"/>
    <cellStyle name="_9810총집계_5" xfId="102"/>
    <cellStyle name="_9810총집계_6" xfId="103"/>
    <cellStyle name="_9810총집계_7" xfId="104"/>
    <cellStyle name="_9810총집계_8" xfId="105"/>
    <cellStyle name="_9810총집계_9" xfId="106"/>
    <cellStyle name="_9810총집계_A" xfId="107"/>
    <cellStyle name="_9810총집계_B" xfId="108"/>
    <cellStyle name="_9810총집계_C" xfId="109"/>
    <cellStyle name="_9810총집계_D" xfId="110"/>
    <cellStyle name="_9810총집계_E" xfId="111"/>
    <cellStyle name="_b2402-shb-0609-총괄(1)" xfId="112"/>
    <cellStyle name="_B2403F5(0606)_060710" xfId="113"/>
    <cellStyle name="_B2403F5(0606)_060710(최종)" xfId="114"/>
    <cellStyle name="_B2403F5(0610)_061115" xfId="115"/>
    <cellStyle name="_B2506(구조흥)200609" xfId="116"/>
    <cellStyle name="_Book1" xfId="117"/>
    <cellStyle name="_foxz" xfId="118"/>
    <cellStyle name="_leadsheet(스파클)" xfId="119"/>
    <cellStyle name="_PF_요주의" xfId="120"/>
    <cellStyle name="_Research_Report용(2001년말).xls Chart 1" xfId="121"/>
    <cellStyle name="_Research_Report용(2001년말).xls Chart 10" xfId="122"/>
    <cellStyle name="_Research_Report용(2001년말).xls Chart 11" xfId="123"/>
    <cellStyle name="_Research_Report용(2001년말).xls Chart 12" xfId="124"/>
    <cellStyle name="_Research_Report용(2001년말).xls Chart 13" xfId="125"/>
    <cellStyle name="_Research_Report용(2001년말).xls Chart 14" xfId="126"/>
    <cellStyle name="_Research_Report용(2001년말).xls Chart 15" xfId="127"/>
    <cellStyle name="_Research_Report용(2001년말).xls Chart 16" xfId="128"/>
    <cellStyle name="_Research_Report용(2001년말).xls Chart 17" xfId="129"/>
    <cellStyle name="_Research_Report용(2001년말).xls Chart 18" xfId="130"/>
    <cellStyle name="_Research_Report용(2001년말).xls Chart 19" xfId="131"/>
    <cellStyle name="_Research_Report용(2001년말).xls Chart 2" xfId="132"/>
    <cellStyle name="_Research_Report용(2001년말).xls Chart 20" xfId="133"/>
    <cellStyle name="_Research_Report용(2001년말).xls Chart 21" xfId="134"/>
    <cellStyle name="_Research_Report용(2001년말).xls Chart 3" xfId="135"/>
    <cellStyle name="_Research_Report용(2001년말).xls Chart 4" xfId="136"/>
    <cellStyle name="_Research_Report용(2001년말).xls Chart 5" xfId="137"/>
    <cellStyle name="_Research_Report용(2001년말).xls Chart 6" xfId="138"/>
    <cellStyle name="_Research_Report용(2001년말).xls Chart 7" xfId="139"/>
    <cellStyle name="_Research_Report용(2001년말).xls Chart 8" xfId="140"/>
    <cellStyle name="_Research_Report용(2001년말).xls Chart 9" xfId="141"/>
    <cellStyle name="_Row1" xfId="142"/>
    <cellStyle name="_SC Bank 2003 CTR WP" xfId="143"/>
    <cellStyle name="_감독원용재무제표0606" xfId="144"/>
    <cellStyle name="_개발비상각1" xfId="145"/>
    <cellStyle name="_건설및조선업에대한추가적립_200812" xfId="146"/>
    <cellStyle name="_결산200412_0124_v1_감사후_bs pl" xfId="147"/>
    <cellStyle name="_경영관리3분기_박정호대리비용" xfId="148"/>
    <cellStyle name="_경영관리비용(0204김기배)" xfId="149"/>
    <cellStyle name="_경영관리비용(0304김기배최종)" xfId="150"/>
    <cellStyle name="_경영관리팀(2002.4_4분기)" xfId="151"/>
    <cellStyle name="_리스크관리부" xfId="152"/>
    <cellStyle name="_박지현 회계사(20050323)" xfId="153"/>
    <cellStyle name="_소코드1" xfId="154"/>
    <cellStyle name="_수정사항(8월26일)" xfId="155"/>
    <cellStyle name="_업무보고서(2003.6월)미수금예수금조정" xfId="156"/>
    <cellStyle name="_영업외손익 LS" xfId="157"/>
    <cellStyle name="_오호석부장1014" xfId="158"/>
    <cellStyle name="_오호석차장0625" xfId="159"/>
    <cellStyle name="_오호석차장0723" xfId="160"/>
    <cellStyle name="_이재민과장0206_무형자산상각" xfId="161"/>
    <cellStyle name="_이진우대리(0540725)" xfId="162"/>
    <cellStyle name="_이진우氏0204(2)" xfId="163"/>
    <cellStyle name="_이진우氏0727" xfId="164"/>
    <cellStyle name="_자회사배당익불산고려(7(1).18)" xfId="165"/>
    <cellStyle name="_재무지원부충당금" xfId="166"/>
    <cellStyle name="_채권명세_090205_기초_발송(090209)" xfId="167"/>
    <cellStyle name="_충당금결산_200906_v3(완료-파생MTM충당금반영)" xfId="168"/>
    <cellStyle name="_판관,제조경비" xfId="169"/>
    <cellStyle name="_판관비 LS" xfId="170"/>
    <cellStyle name="_품의파일" xfId="171"/>
    <cellStyle name="’E‰Y [0.00]_laroux" xfId="172"/>
    <cellStyle name="’E‰Y_laroux" xfId="173"/>
    <cellStyle name="æøè [0.00" xfId="174"/>
    <cellStyle name="æØè [0.00]_PRODUCT DETAIL Q1" xfId="175"/>
    <cellStyle name="æøè [0.00_2. 은행분담금 추정 (20090930기준)_작업_2" xfId="176"/>
    <cellStyle name="æøè_produ" xfId="177"/>
    <cellStyle name="êý [0.00]_pr" xfId="178"/>
    <cellStyle name="êý_product d" xfId="179"/>
    <cellStyle name="W?_BOOKSHIP" xfId="180"/>
    <cellStyle name="W_BOOKSHIP" xfId="181"/>
    <cellStyle name="0" xfId="182"/>
    <cellStyle name="0_재무지원부충당금" xfId="183"/>
    <cellStyle name="0_재무지원부충당금_1" xfId="184"/>
    <cellStyle name="0_재무지원부충당금_1_예외적립품의_0910(완료)" xfId="185"/>
    <cellStyle name="0_재무지원부충당금_1_추가적립업체명세(완료)V_3황동인대리님" xfId="186"/>
    <cellStyle name="0_추가충당금명세_0630_V3" xfId="187"/>
    <cellStyle name="¹?ºð?²" xfId="188"/>
    <cellStyle name="123" xfId="189"/>
    <cellStyle name="19990216" xfId="190"/>
    <cellStyle name="¹éºðà²" xfId="191"/>
    <cellStyle name="¹eºÐA²_AIAIC°AuCoE² " xfId="192"/>
    <cellStyle name="20% - Accent1" xfId="193"/>
    <cellStyle name="20% - Accent2" xfId="194"/>
    <cellStyle name="20% - Accent3" xfId="195"/>
    <cellStyle name="20% - Accent4" xfId="196"/>
    <cellStyle name="20% - Accent5" xfId="197"/>
    <cellStyle name="20% - Accent6" xfId="198"/>
    <cellStyle name="40% - Accent1" xfId="199"/>
    <cellStyle name="40% - Accent2" xfId="200"/>
    <cellStyle name="40% - Accent3" xfId="201"/>
    <cellStyle name="40% - Accent4" xfId="202"/>
    <cellStyle name="40% - Accent5" xfId="203"/>
    <cellStyle name="40% - Accent6" xfId="204"/>
    <cellStyle name="60% - Accent1" xfId="205"/>
    <cellStyle name="60% - Accent2" xfId="206"/>
    <cellStyle name="60% - Accent3" xfId="207"/>
    <cellStyle name="60% - Accent4" xfId="208"/>
    <cellStyle name="60% - Accent5" xfId="209"/>
    <cellStyle name="60% - Accent6" xfId="210"/>
    <cellStyle name="Ⅰ" xfId="211"/>
    <cellStyle name="Ⅰ_재무지원부충당금" xfId="212"/>
    <cellStyle name="Ⅰ_재무지원부충당금_1" xfId="213"/>
    <cellStyle name="Ⅰ_재무지원부충당금_1_예외적립품의_0910(완료)" xfId="214"/>
    <cellStyle name="Ⅰ_재무지원부충당금_1_추가적립업체명세(완료)V_3황동인대리님" xfId="215"/>
    <cellStyle name="Ⅰ_추가충당금명세_0630_V3" xfId="216"/>
    <cellStyle name="A¨­￠￢￠O [0]_10￠?u2AO " xfId="217"/>
    <cellStyle name="A¨­￠￢￠O_10￠?u2AO " xfId="218"/>
    <cellStyle name="Accent1" xfId="219"/>
    <cellStyle name="Accent2" xfId="220"/>
    <cellStyle name="Accent3" xfId="221"/>
    <cellStyle name="Accent4" xfId="222"/>
    <cellStyle name="Accent5" xfId="223"/>
    <cellStyle name="Accent6" xfId="224"/>
    <cellStyle name="Åëè­" xfId="225"/>
    <cellStyle name="Åëè­ [0]" xfId="226"/>
    <cellStyle name="AeE­ [0]_´e¼OAæ´c±Y" xfId="227"/>
    <cellStyle name="ÅëÈ­ [0]_¸ÅÃâ" xfId="228"/>
    <cellStyle name="AeE­ [0]_±aA¸" xfId="229"/>
    <cellStyle name="ÅëÈ­ [0]_½ÂÀÎ¾÷Ã¼" xfId="230"/>
    <cellStyle name="AeE­ [0]_10¿u2AO " xfId="231"/>
    <cellStyle name="ÅëÈ­ [0]_97MBO" xfId="232"/>
    <cellStyle name="AeE­ [0]_97MBO (2)" xfId="233"/>
    <cellStyle name="ÅëÈ­ [0]_97MBO (2)" xfId="234"/>
    <cellStyle name="AeE­ [0]_Ao±C Project" xfId="235"/>
    <cellStyle name="ÅëÈ­ [0]_Áõ±Ç Project" xfId="236"/>
    <cellStyle name="AeE­ [0]_COºI project" xfId="237"/>
    <cellStyle name="ÅëÈ­ [0]_ÇÒºÎ project" xfId="238"/>
    <cellStyle name="AeE­ [0]_INQUIRY ¿μ¾÷AßAø " xfId="239"/>
    <cellStyle name="ÅëÈ­ [0]_laroux" xfId="240"/>
    <cellStyle name="AeE­ [0]_laroux_1" xfId="241"/>
    <cellStyle name="ÅëÈ­ [0]_laroux_1" xfId="242"/>
    <cellStyle name="AeE­ [0]_laroux_2" xfId="243"/>
    <cellStyle name="ÅëÈ­ [0]_laroux_2" xfId="244"/>
    <cellStyle name="AeE­ [0]_laroux_3" xfId="245"/>
    <cellStyle name="ÅëÈ­ [0]_laroux_3" xfId="246"/>
    <cellStyle name="AeE­ [0]_laroux_4" xfId="247"/>
    <cellStyle name="ÅëÈ­ [0]_laroux_4" xfId="248"/>
    <cellStyle name="AeE­ [0]_laroux_5" xfId="249"/>
    <cellStyle name="ÅëÈ­ [0]_laroux_5" xfId="250"/>
    <cellStyle name="AeE­ [0]_MBO_0" xfId="251"/>
    <cellStyle name="ÅëÈ­ [0]_MBO_0" xfId="252"/>
    <cellStyle name="AeE­ [0]_MBO96_1" xfId="253"/>
    <cellStyle name="ÅëÈ­ [0]_MBO96_1" xfId="254"/>
    <cellStyle name="AeE­ [0]_PERSONAL" xfId="255"/>
    <cellStyle name="AeE­_´e¼OAæ´c±Y" xfId="256"/>
    <cellStyle name="ÅëÈ­_¸ÅÃâ" xfId="257"/>
    <cellStyle name="AeE­_±aA¸" xfId="258"/>
    <cellStyle name="ÅëÈ­_½ÂÀÎ¾÷Ã¼" xfId="259"/>
    <cellStyle name="AeE­_10¿u2AO " xfId="260"/>
    <cellStyle name="ÅëÈ­_97MBO" xfId="261"/>
    <cellStyle name="AeE­_97MBO (2)" xfId="262"/>
    <cellStyle name="ÅëÈ­_97MBO (2)" xfId="263"/>
    <cellStyle name="AeE­_A|Aa¿e" xfId="264"/>
    <cellStyle name="ÅëÈ­_Á¦Ãâ¿ë" xfId="265"/>
    <cellStyle name="AeE­_Ao±C Project" xfId="266"/>
    <cellStyle name="ÅëÈ­_Áõ±Ç Project" xfId="267"/>
    <cellStyle name="AeE­_COºI project" xfId="268"/>
    <cellStyle name="ÅëÈ­_ÇÒºÎ project" xfId="269"/>
    <cellStyle name="AeE­_INQUIRY ¿μ¾÷AßAø " xfId="270"/>
    <cellStyle name="ÅëÈ­_laroux" xfId="271"/>
    <cellStyle name="AeE­_laroux_1" xfId="272"/>
    <cellStyle name="ÅëÈ­_laroux_1" xfId="273"/>
    <cellStyle name="AeE­_laroux_2" xfId="274"/>
    <cellStyle name="ÅëÈ­_laroux_2" xfId="275"/>
    <cellStyle name="AeE­_laroux_3" xfId="276"/>
    <cellStyle name="ÅëÈ­_laroux_3" xfId="277"/>
    <cellStyle name="AeE­_laroux_4" xfId="278"/>
    <cellStyle name="ÅëÈ­_laroux_4" xfId="279"/>
    <cellStyle name="AeE­_laroux_5" xfId="280"/>
    <cellStyle name="ÅëÈ­_laroux_5" xfId="281"/>
    <cellStyle name="AeE­_MBO_0" xfId="282"/>
    <cellStyle name="ÅëÈ­_MBO_0" xfId="283"/>
    <cellStyle name="AeE­_MBO96_1" xfId="284"/>
    <cellStyle name="ÅëÈ­_MBO96_1" xfId="285"/>
    <cellStyle name="AeE¡ⓒ [0]_10￠?u2AO " xfId="286"/>
    <cellStyle name="AeE¡ⓒ_10￠?u2AO " xfId="287"/>
    <cellStyle name="ALIGNMENT" xfId="288"/>
    <cellStyle name="Arial 10" xfId="289"/>
    <cellStyle name="Arial 12" xfId="290"/>
    <cellStyle name="Äþ¸¶" xfId="291"/>
    <cellStyle name="Äþ¸¶ [0]" xfId="292"/>
    <cellStyle name="AÞ¸¶ [0]_´eºnC￥" xfId="293"/>
    <cellStyle name="ÄÞ¸¶ [0]_¸ÅÃâ°ü·Ã¾ç½Ä" xfId="294"/>
    <cellStyle name="AÞ¸¶ [0]_±aA¸" xfId="295"/>
    <cellStyle name="Äþ¸¶ [0]_2. 은행분담금 추정 (20090930기준)_작업_2" xfId="296"/>
    <cellStyle name="AÞ¸¶ [0]_97MBO (2)" xfId="297"/>
    <cellStyle name="ÄÞ¸¶ [0]_97MBO (2)" xfId="298"/>
    <cellStyle name="AÞ¸¶ [0]_Ao±C Project" xfId="299"/>
    <cellStyle name="ÄÞ¸¶ [0]_Áõ±Ç Project" xfId="300"/>
    <cellStyle name="AÞ¸¶ [0]_COºI project" xfId="301"/>
    <cellStyle name="ÄÞ¸¶ [0]_ÇÒºÎ project" xfId="302"/>
    <cellStyle name="AÞ¸¶ [0]_INQUIRY ¿μ¾÷AßAø " xfId="303"/>
    <cellStyle name="ÄÞ¸¶ [0]_laroux" xfId="304"/>
    <cellStyle name="AÞ¸¶ [0]_laroux_1" xfId="305"/>
    <cellStyle name="ÄÞ¸¶ [0]_laroux_1" xfId="306"/>
    <cellStyle name="AÞ¸¶ [0]_laroux_2" xfId="307"/>
    <cellStyle name="ÄÞ¸¶ [0]_laroux_2" xfId="308"/>
    <cellStyle name="AÞ¸¶ [0]_laroux_3" xfId="309"/>
    <cellStyle name="ÄÞ¸¶ [0]_laroux_3" xfId="310"/>
    <cellStyle name="AÞ¸¶ [0]_MBO_0" xfId="311"/>
    <cellStyle name="ÄÞ¸¶ [0]_MBO_0" xfId="312"/>
    <cellStyle name="AÞ¸¶ [0]_MBO96_1" xfId="313"/>
    <cellStyle name="ÄÞ¸¶ [0]_MBO96_1" xfId="314"/>
    <cellStyle name="AÞ¸¶_´eºnC￥" xfId="315"/>
    <cellStyle name="ÄÞ¸¶_¸ÅÃâ" xfId="316"/>
    <cellStyle name="AÞ¸¶_±aA¸" xfId="317"/>
    <cellStyle name="ÄÞ¸¶_½ÂÀÎ¾÷Ã¼" xfId="318"/>
    <cellStyle name="AÞ¸¶_10¿u2AO " xfId="319"/>
    <cellStyle name="ÄÞ¸¶_97MBO" xfId="320"/>
    <cellStyle name="AÞ¸¶_97MBO (2)" xfId="321"/>
    <cellStyle name="ÄÞ¸¶_97MBO (2)" xfId="322"/>
    <cellStyle name="AÞ¸¶_A|Aa¿e" xfId="323"/>
    <cellStyle name="ÄÞ¸¶_Á¦Ãâ¿ë" xfId="324"/>
    <cellStyle name="AÞ¸¶_Ao±C Project" xfId="325"/>
    <cellStyle name="ÄÞ¸¶_Áõ±Ç Project" xfId="326"/>
    <cellStyle name="AÞ¸¶_COºI project" xfId="327"/>
    <cellStyle name="ÄÞ¸¶_ÇÒºÎ project" xfId="328"/>
    <cellStyle name="AÞ¸¶_INQUIRY ¿μ¾÷AßAø " xfId="329"/>
    <cellStyle name="ÄÞ¸¶_laroux" xfId="330"/>
    <cellStyle name="AÞ¸¶_laroux_1" xfId="331"/>
    <cellStyle name="ÄÞ¸¶_laroux_1" xfId="332"/>
    <cellStyle name="AÞ¸¶_laroux_2" xfId="333"/>
    <cellStyle name="ÄÞ¸¶_laroux_2" xfId="334"/>
    <cellStyle name="AÞ¸¶_laroux_3" xfId="335"/>
    <cellStyle name="ÄÞ¸¶_laroux_3" xfId="336"/>
    <cellStyle name="AÞ¸¶_laroux_4" xfId="337"/>
    <cellStyle name="ÄÞ¸¶_laroux_4" xfId="338"/>
    <cellStyle name="AÞ¸¶_MBO_0" xfId="339"/>
    <cellStyle name="ÄÞ¸¶_MBO_0" xfId="340"/>
    <cellStyle name="AÞ¸¶_MBO96_1" xfId="341"/>
    <cellStyle name="ÄÞ¸¶_MBO96_1" xfId="342"/>
    <cellStyle name="_x0001_b" xfId="343"/>
    <cellStyle name="Bad" xfId="344"/>
    <cellStyle name="blue$00" xfId="345"/>
    <cellStyle name="Body_$Dollars" xfId="346"/>
    <cellStyle name="Brand Align Left Text" xfId="347"/>
    <cellStyle name="Brand Default" xfId="348"/>
    <cellStyle name="Brand Percent" xfId="349"/>
    <cellStyle name="Brand Source" xfId="350"/>
    <cellStyle name="Brand Subtitle with Underline" xfId="351"/>
    <cellStyle name="Brand Subtitle without Underline" xfId="352"/>
    <cellStyle name="Brand Title" xfId="353"/>
    <cellStyle name="British Pound" xfId="354"/>
    <cellStyle name="C¡?A¨ª_¡¾????Ubal" xfId="355"/>
    <cellStyle name="C¡ÍA¨ª_¡¾©ö¢¯Ubal" xfId="356"/>
    <cellStyle name="C¡IA¨ª_3A¡A ¨¡?¨uoCu 62¡¾ⓒo¨uO " xfId="357"/>
    <cellStyle name="Ç¥áø" xfId="358"/>
    <cellStyle name="C￥AØ_´e¼OAæ´c±Y" xfId="359"/>
    <cellStyle name="Ç¥ÁØ_´ëºñÇ¥ (2)_1_ºÎ´ëÅä°ø " xfId="360"/>
    <cellStyle name="C￥AØ_´eºnC￥ (2)_ºI´eAa°ø " xfId="361"/>
    <cellStyle name="Ç¥ÁØ_´ëºñÇ¥ (2)_ºÎ´ëÅä°ø " xfId="362"/>
    <cellStyle name="C￥AØ_¸AAa.¼OAI " xfId="363"/>
    <cellStyle name="Ç¥ÁØ_¿µ¾÷ÇöÈ² " xfId="364"/>
    <cellStyle name="C￥AØ_¿u°￡¿a¾aº¸°i" xfId="365"/>
    <cellStyle name="Ç¥ÁØ_±¹¿Übal" xfId="366"/>
    <cellStyle name="C￥AØ_±¹¿UPL" xfId="367"/>
    <cellStyle name="Ç¥ÁØ_0N-HANDLING " xfId="368"/>
    <cellStyle name="C￥AØ_¾ÆA§AU¾÷" xfId="369"/>
    <cellStyle name="Ç¥ÁØ_5-1±¤°í _2001재무제표" xfId="370"/>
    <cellStyle name="C￥AØ_5-1±¤°i _2001재무제표_요약자료_20090831" xfId="371"/>
    <cellStyle name="Ç¥ÁØ_5-1±¤°í _2001재무제표_요약자료_20090831" xfId="372"/>
    <cellStyle name="C￥AØ_5-1±¤°i _2001재무제표_재무지원부충당금" xfId="373"/>
    <cellStyle name="Ç¥ÁØ_5-1±¤°í _2001재무제표_재무지원부충당금" xfId="374"/>
    <cellStyle name="C￥AØ_5-1±¤°i _2001재무제표_추가충당금명세_0630_V3" xfId="375"/>
    <cellStyle name="Ç¥ÁØ_5-1±¤°í _2001재무제표_추가충당금명세_0630_V3" xfId="376"/>
    <cellStyle name="C￥AØ_A|Aa¿e" xfId="377"/>
    <cellStyle name="Ç¥ÁØ_Á¦Ãâ¿ë" xfId="378"/>
    <cellStyle name="C￥AØ_Ay°eC￥(2¿u) " xfId="379"/>
    <cellStyle name="Ç¥ÁØ_Áý°èÇ¥(2¿ù) " xfId="380"/>
    <cellStyle name="C￥AØ_Ay°eC￥(2¿u) _2001재무제표" xfId="381"/>
    <cellStyle name="Ç¥ÁØ_Áý°èÇ¥(2¿ù) _2001재무제표" xfId="382"/>
    <cellStyle name="C￥AØ_Ay°eC￥(2¿u) _2001재무제표_요약자료_20090831" xfId="383"/>
    <cellStyle name="Ç¥ÁØ_Áý°èÇ¥(2¿ù) _2001재무제표_요약자료_20090831" xfId="384"/>
    <cellStyle name="C￥AØ_Ay°eC￥(2¿u) _2001재무제표_재무지원부충당금" xfId="385"/>
    <cellStyle name="Ç¥ÁØ_Áý°èÇ¥(2¿ù) _2001재무제표_재무지원부충당금" xfId="386"/>
    <cellStyle name="C￥AØ_Ay°eC￥(2¿u) _2001재무제표_추가충당금명세_0630_V3" xfId="387"/>
    <cellStyle name="Ç¥ÁØ_Áý°èÇ¥(2¿ù) _2001재무제표_추가충당금명세_0630_V3" xfId="388"/>
    <cellStyle name="C￥AØ_CoAo¹yAI °A¾×¿ⓒ½A " xfId="389"/>
    <cellStyle name="Ç¥ÁØ_laroux" xfId="390"/>
    <cellStyle name="C￥AØ_laroux_1" xfId="391"/>
    <cellStyle name="Ç¥ÁØ_laroux_1" xfId="392"/>
    <cellStyle name="C￥AØ_laroux_2" xfId="393"/>
    <cellStyle name="Ç¥ÁØ_laroux_2" xfId="394"/>
    <cellStyle name="C￥AØ_laroux_3" xfId="395"/>
    <cellStyle name="Ç¥ÁØ_laroux_3" xfId="396"/>
    <cellStyle name="C￥AØ_laroux_4" xfId="397"/>
    <cellStyle name="Ç¥ÁØ_laroux_4" xfId="398"/>
    <cellStyle name="C￥AØ_laroux_5" xfId="399"/>
    <cellStyle name="Ç¥ÁØ_laroux_5" xfId="400"/>
    <cellStyle name="C￥AØ_Sheet1" xfId="401"/>
    <cellStyle name="Ç¥ÁØ_Sheet1" xfId="402"/>
    <cellStyle name="C￥AØ_Sheet1_¿μ¾÷CoE² " xfId="403"/>
    <cellStyle name="Ç¥ÁØ_Sheet1_0N-HANDLING " xfId="404"/>
    <cellStyle name="C￥AØ_Sheet1_Ay°eC￥(2¿u) " xfId="405"/>
    <cellStyle name="Ç¥ÁØ_Sheet1_Áý°èÇ¥(2¿ù) " xfId="406"/>
    <cellStyle name="C￥AØ_Sheet1_Ay°eC￥(2¿u) _2001재무제표" xfId="407"/>
    <cellStyle name="Ç¥ÁØ_Sheet1_Áý°èÇ¥(2¿ù) _2001재무제표" xfId="408"/>
    <cellStyle name="C￥AØ_Sheet1_Ay°eC￥(2¿u) _2001재무제표_요약자료_20090831" xfId="409"/>
    <cellStyle name="Ç¥ÁØ_Sheet1_Áý°èÇ¥(2¿ù) _2001재무제표_요약자료_20090831" xfId="410"/>
    <cellStyle name="C￥AØ_Sheet1_Ay°eC￥(2¿u) _2001재무제표_재무지원부충당금" xfId="411"/>
    <cellStyle name="Ç¥ÁØ_Sheet1_Áý°èÇ¥(2¿ù) _2001재무제표_재무지원부충당금" xfId="412"/>
    <cellStyle name="C￥AØ_Sheet1_Ay°eC￥(2¿u) _2001재무제표_추가충당금명세_0630_V3" xfId="413"/>
    <cellStyle name="Ç¥ÁØ_Sheet1_Áý°èÇ¥(2¿ù) _2001재무제표_추가충당금명세_0630_V3" xfId="414"/>
    <cellStyle name="Calc Currency (0)" xfId="415"/>
    <cellStyle name="Calculation" xfId="416"/>
    <cellStyle name="Case" xfId="417"/>
    <cellStyle name="category" xfId="418"/>
    <cellStyle name="Check Cell" xfId="419"/>
    <cellStyle name="Comma  - Style1" xfId="420"/>
    <cellStyle name="Comma  - Style2" xfId="421"/>
    <cellStyle name="Comma  - Style3" xfId="422"/>
    <cellStyle name="Comma  - Style4" xfId="423"/>
    <cellStyle name="Comma  - Style5" xfId="424"/>
    <cellStyle name="Comma  - Style6" xfId="425"/>
    <cellStyle name="Comma  - Style7" xfId="426"/>
    <cellStyle name="Comma  - Style8" xfId="427"/>
    <cellStyle name="Comma [0] 2" xfId="428"/>
    <cellStyle name="Comma [0]_ SG&amp;A Bridge " xfId="429"/>
    <cellStyle name="Comma 0" xfId="430"/>
    <cellStyle name="Comma 2" xfId="431"/>
    <cellStyle name="comma zerodec" xfId="432"/>
    <cellStyle name="Comma_ SG&amp;A Bridge " xfId="433"/>
    <cellStyle name="Comma0" xfId="434"/>
    <cellStyle name="Copied" xfId="435"/>
    <cellStyle name="Currency [0]_ SG&amp;A Bridge " xfId="436"/>
    <cellStyle name="Currency 0" xfId="437"/>
    <cellStyle name="Currency 2" xfId="438"/>
    <cellStyle name="currency-$" xfId="439"/>
    <cellStyle name="Currency_ SG&amp;A Bridge " xfId="440"/>
    <cellStyle name="Currency0" xfId="441"/>
    <cellStyle name="Currency1" xfId="442"/>
    <cellStyle name="Date" xfId="443"/>
    <cellStyle name="Date Aligned" xfId="444"/>
    <cellStyle name="Date_06-1분기-대손충당금." xfId="445"/>
    <cellStyle name="Dezimal [0]_Aktenbewertung 1994" xfId="446"/>
    <cellStyle name="Dezimal_Aktenbewertung 1994" xfId="447"/>
    <cellStyle name="dgw" xfId="448"/>
    <cellStyle name="Dollar (zero dec)" xfId="449"/>
    <cellStyle name="Dotted Line" xfId="450"/>
    <cellStyle name="Double Accounting" xfId="451"/>
    <cellStyle name="Entered" xfId="452"/>
    <cellStyle name="Euro" xfId="453"/>
    <cellStyle name="Explanatory Text" xfId="454"/>
    <cellStyle name="F2" xfId="455"/>
    <cellStyle name="F3" xfId="456"/>
    <cellStyle name="F4" xfId="457"/>
    <cellStyle name="F5" xfId="458"/>
    <cellStyle name="F6" xfId="459"/>
    <cellStyle name="F7" xfId="460"/>
    <cellStyle name="F8" xfId="461"/>
    <cellStyle name="Fixed" xfId="462"/>
    <cellStyle name="Footnote" xfId="463"/>
    <cellStyle name="Good" xfId="464"/>
    <cellStyle name="Grey" xfId="465"/>
    <cellStyle name="GROUPS" xfId="466"/>
    <cellStyle name="Hard Percent" xfId="467"/>
    <cellStyle name="head1" xfId="468"/>
    <cellStyle name="head2" xfId="469"/>
    <cellStyle name="head3" xfId="470"/>
    <cellStyle name="HEADER" xfId="471"/>
    <cellStyle name="Header1" xfId="472"/>
    <cellStyle name="Header2" xfId="473"/>
    <cellStyle name="Heading" xfId="474"/>
    <cellStyle name="Heading 1" xfId="475"/>
    <cellStyle name="Heading 2" xfId="476"/>
    <cellStyle name="Heading 3" xfId="477"/>
    <cellStyle name="Heading 4" xfId="478"/>
    <cellStyle name="heading, 1,A MAJOR/BOLD" xfId="479"/>
    <cellStyle name="Heading1" xfId="480"/>
    <cellStyle name="Heading2" xfId="481"/>
    <cellStyle name="HeadingS" xfId="482"/>
    <cellStyle name="Input" xfId="483"/>
    <cellStyle name="Input [yellow]" xfId="484"/>
    <cellStyle name="Input_regular data disk template" xfId="485"/>
    <cellStyle name="InputBlueFont" xfId="486"/>
    <cellStyle name="KTY" xfId="487"/>
    <cellStyle name="left" xfId="488"/>
    <cellStyle name="Linked Cell" xfId="489"/>
    <cellStyle name="MenuHeading" xfId="490"/>
    <cellStyle name="Millares [0]_2AV_M_M " xfId="491"/>
    <cellStyle name="Millares_2AV_M_M " xfId="492"/>
    <cellStyle name="Milliers [0]_Arabian Spec" xfId="493"/>
    <cellStyle name="Milliers_Arabian Spec" xfId="494"/>
    <cellStyle name="MLHeaderSection" xfId="495"/>
    <cellStyle name="Model" xfId="496"/>
    <cellStyle name="Mon?aire [0]_Arabian Spec" xfId="497"/>
    <cellStyle name="Mon?aire_Arabian Spec" xfId="498"/>
    <cellStyle name="Moneda [0]_2AV_M_M " xfId="499"/>
    <cellStyle name="Moneda_2AV_M_M " xfId="500"/>
    <cellStyle name="Multiple" xfId="501"/>
    <cellStyle name="Multiple0" xfId="502"/>
    <cellStyle name="navbar" xfId="503"/>
    <cellStyle name="Neutral" xfId="504"/>
    <cellStyle name="no dec" xfId="505"/>
    <cellStyle name="Normal - Style1" xfId="506"/>
    <cellStyle name="Normal - Style2" xfId="507"/>
    <cellStyle name="Normal - Style3" xfId="508"/>
    <cellStyle name="Normal - Style4" xfId="509"/>
    <cellStyle name="Normal - Style5" xfId="510"/>
    <cellStyle name="Normal - Style6" xfId="511"/>
    <cellStyle name="Normal - Style7" xfId="512"/>
    <cellStyle name="Normal - Style8" xfId="513"/>
    <cellStyle name="Normal 2" xfId="514"/>
    <cellStyle name="Normal 3" xfId="515"/>
    <cellStyle name="Normal_ SG&amp;A Bridge " xfId="516"/>
    <cellStyle name="Normal1" xfId="517"/>
    <cellStyle name="Normal2" xfId="518"/>
    <cellStyle name="Normal3" xfId="519"/>
    <cellStyle name="Normal4" xfId="520"/>
    <cellStyle name="Normale_FS1.XLS" xfId="521"/>
    <cellStyle name="Note" xfId="522"/>
    <cellStyle name="Note2" xfId="523"/>
    <cellStyle name="Œ…?æ맖?e [0.00]_laroux" xfId="524"/>
    <cellStyle name="Œ…?æ맖?e_laroux" xfId="525"/>
    <cellStyle name="Œ…‹æØ‚è [0.00]_PRODUCT DETAIL Q1" xfId="526"/>
    <cellStyle name="Œ…‹æØ‚è_PRODUCT DETAIL Q1" xfId="527"/>
    <cellStyle name="oft Excel]_x000d__x000a_Comment=The open=/f lines load custom functions into the Paste Function list._x000d__x000a_Maximized=3_x000d__x000a_AutoFormat=" xfId="528"/>
    <cellStyle name="Output" xfId="529"/>
    <cellStyle name="Output Amounts" xfId="530"/>
    <cellStyle name="Output Column Headings" xfId="531"/>
    <cellStyle name="Output Line Items" xfId="532"/>
    <cellStyle name="Output Report Heading" xfId="533"/>
    <cellStyle name="Output Report Title" xfId="534"/>
    <cellStyle name="Output_regular data disk template" xfId="535"/>
    <cellStyle name="Page Number" xfId="536"/>
    <cellStyle name="PageSubtitle" xfId="537"/>
    <cellStyle name="PageTitle" xfId="538"/>
    <cellStyle name="PARK" xfId="539"/>
    <cellStyle name="Percent (0)" xfId="540"/>
    <cellStyle name="Percent [2]" xfId="541"/>
    <cellStyle name="Percent0" xfId="542"/>
    <cellStyle name="process_applicable" xfId="543"/>
    <cellStyle name="PSChar" xfId="544"/>
    <cellStyle name="RevList" xfId="545"/>
    <cellStyle name="s]_x000d__x000a_run=c:\Hedgehog\app31.exe_x000d__x000a_spooler=yes_x000d__x000a_load=_x000d__x000a_run=_x000d__x000a_Beep=yes_x000d__x000a_NullPort=None_x000d__x000a_BorderWidth=3_x000d__x000a_CursorBlinkRate=530_x000d__x000a_D" xfId="546"/>
    <cellStyle name="s]_x000d__x000a_spooler=yes_x000d__x000a_load=_x000d__x000a_run=d:\secrets2\plugin\plugin.exe_x000d__x000a_Beep=yes_x000d__x000a_NullPort=None_x000d__x000a_BorderWidth=3_x000d__x000a_CursorBlinkRate=530_x000d_" xfId="547"/>
    <cellStyle name="Single Accounting" xfId="548"/>
    <cellStyle name="Smart Subtitle 1" xfId="549"/>
    <cellStyle name="Smart Title" xfId="550"/>
    <cellStyle name="Standard" xfId="551"/>
    <cellStyle name="step" xfId="552"/>
    <cellStyle name="steps_link" xfId="553"/>
    <cellStyle name="subhead" xfId="554"/>
    <cellStyle name="Subtotal" xfId="555"/>
    <cellStyle name="Table Head" xfId="556"/>
    <cellStyle name="Table Head Aligned" xfId="557"/>
    <cellStyle name="Table Head Blue" xfId="558"/>
    <cellStyle name="Table Head Green" xfId="559"/>
    <cellStyle name="Table Title" xfId="560"/>
    <cellStyle name="Table Units" xfId="561"/>
    <cellStyle name="table_head1" xfId="562"/>
    <cellStyle name="þ_x001d_ð'&amp;Oy?Hy9_x0008__x000f__x0007_æ_x0007__x0007__x0001__x0001_" xfId="563"/>
    <cellStyle name="Tickmark" xfId="564"/>
    <cellStyle name="Times 10" xfId="565"/>
    <cellStyle name="Times 12" xfId="566"/>
    <cellStyle name="Times New Roman" xfId="567"/>
    <cellStyle name="Title" xfId="568"/>
    <cellStyle name="Total" xfId="569"/>
    <cellStyle name="Underline_Double" xfId="570"/>
    <cellStyle name="W?rung [0]_Aktenbewertung 1994" xfId="571"/>
    <cellStyle name="W?rung_Aktenbewertung 1994" xfId="572"/>
    <cellStyle name="Warning Text" xfId="573"/>
    <cellStyle name="wrap" xfId="574"/>
    <cellStyle name="Yen" xfId="575"/>
    <cellStyle name="ﾇ･ﾁﾘ_ｱｹｿﾜbal" xfId="576"/>
    <cellStyle name="검증" xfId="577"/>
    <cellStyle name="고정소숫점" xfId="578"/>
    <cellStyle name="고정출력1" xfId="579"/>
    <cellStyle name="고정출력2" xfId="580"/>
    <cellStyle name="과립" xfId="581"/>
    <cellStyle name="咬訌裝?INCOM1" xfId="582"/>
    <cellStyle name="咬訌裝?INCOM10" xfId="583"/>
    <cellStyle name="咬訌裝?INCOM2" xfId="584"/>
    <cellStyle name="咬訌裝?INCOM3" xfId="585"/>
    <cellStyle name="咬訌裝?INCOM4" xfId="586"/>
    <cellStyle name="咬訌裝?INCOM5" xfId="587"/>
    <cellStyle name="咬訌裝?INCOM6" xfId="588"/>
    <cellStyle name="咬訌裝?INCOM7" xfId="589"/>
    <cellStyle name="咬訌裝?INCOM8" xfId="590"/>
    <cellStyle name="咬訌裝?INCOM9" xfId="591"/>
    <cellStyle name="咬訌裝?PRIB11" xfId="592"/>
    <cellStyle name="咬訌裝?report-2 " xfId="593"/>
    <cellStyle name="금액" xfId="594"/>
    <cellStyle name="기  업" xfId="595"/>
    <cellStyle name="날짜" xfId="596"/>
    <cellStyle name="년도" xfId="597"/>
    <cellStyle name="달러" xfId="598"/>
    <cellStyle name="뒤에 오는 하이퍼링크" xfId="599"/>
    <cellStyle name="들여쓰기1" xfId="600"/>
    <cellStyle name="똿떓죶ø? [0.00" xfId="601"/>
    <cellStyle name="똿떓죶ø?_produ" xfId="602"/>
    <cellStyle name="똿뗦먛귟 [0.00]_PRODUCT DETAIL Q1" xfId="603"/>
    <cellStyle name="똿뗦먛귟_PRODUCT DETAIL Q1" xfId="604"/>
    <cellStyle name="메시지" xfId="605"/>
    <cellStyle name="믅됞 [0.00]_PRODUCT DETAIL Q1" xfId="606"/>
    <cellStyle name="믅됞_PRODUCT DETAIL Q1" xfId="607"/>
    <cellStyle name="未定義" xfId="608"/>
    <cellStyle name="바이알" xfId="609"/>
    <cellStyle name="백분율 2" xfId="11"/>
    <cellStyle name="백분율 2 2" xfId="610"/>
    <cellStyle name="백분율 2 3" xfId="611"/>
    <cellStyle name="백분율 3" xfId="612"/>
    <cellStyle name="백분율 4" xfId="613"/>
    <cellStyle name="보고서" xfId="614"/>
    <cellStyle name="뷭?_BOOKSHIP" xfId="615"/>
    <cellStyle name="븏?_bookship" xfId="616"/>
    <cellStyle name="사용자" xfId="617"/>
    <cellStyle name="常规_바젤11_AN28 엔티티(파일) 정의서_고객_국외고객원장" xfId="618"/>
    <cellStyle name="새귑[0]_覩꼈1_첼鷺覩꼈瞳욋" xfId="619"/>
    <cellStyle name="새귑_롤痰삠悧 " xfId="620"/>
    <cellStyle name="선 수 보 험 료" xfId="621"/>
    <cellStyle name="선택영역의 가운데로" xfId="622"/>
    <cellStyle name="숫자" xfId="623"/>
    <cellStyle name="숫자(R)" xfId="624"/>
    <cellStyle name="숫자_삼각형[0-]" xfId="625"/>
    <cellStyle name="쉼표 [0]" xfId="1" builtinId="6"/>
    <cellStyle name="쉼표 [0] 10" xfId="626"/>
    <cellStyle name="쉼표 [0] 10 2" xfId="627"/>
    <cellStyle name="쉼표 [0] 11" xfId="628"/>
    <cellStyle name="쉼표 [0] 12" xfId="629"/>
    <cellStyle name="쉼표 [0] 13" xfId="12"/>
    <cellStyle name="쉼표 [0] 13 3" xfId="771"/>
    <cellStyle name="쉼표 [0] 15" xfId="630"/>
    <cellStyle name="쉼표 [0] 2" xfId="3"/>
    <cellStyle name="쉼표 [0] 2 2" xfId="6"/>
    <cellStyle name="쉼표 [0] 2 2 2" xfId="631"/>
    <cellStyle name="쉼표 [0] 2 3" xfId="632"/>
    <cellStyle name="쉼표 [0] 2 3 2" xfId="633"/>
    <cellStyle name="쉼표 [0] 2 4" xfId="634"/>
    <cellStyle name="쉼표 [0] 2 6" xfId="635"/>
    <cellStyle name="쉼표 [0] 2 8" xfId="636"/>
    <cellStyle name="쉼표 [0] 3" xfId="21"/>
    <cellStyle name="쉼표 [0] 3 2" xfId="637"/>
    <cellStyle name="쉼표 [0] 4" xfId="26"/>
    <cellStyle name="쉼표 [0] 4 2" xfId="638"/>
    <cellStyle name="쉼표 [0] 4 2 5" xfId="639"/>
    <cellStyle name="쉼표 [0] 5" xfId="640"/>
    <cellStyle name="쉼표 [0] 6" xfId="641"/>
    <cellStyle name="쉼표 [0] 7" xfId="642"/>
    <cellStyle name="쉼표 [0] 8" xfId="643"/>
    <cellStyle name="쉼표 [0] 9" xfId="644"/>
    <cellStyle name="쉼표 [0]_C-2 열확정" xfId="20"/>
    <cellStyle name="쉼표 [0]_권리분석(제출)_법원경매완료" xfId="19"/>
    <cellStyle name="스타일 1" xfId="645"/>
    <cellStyle name="스타일 10" xfId="646"/>
    <cellStyle name="스타일 11" xfId="647"/>
    <cellStyle name="스타일 12" xfId="648"/>
    <cellStyle name="스타일 13" xfId="649"/>
    <cellStyle name="스타일 14" xfId="650"/>
    <cellStyle name="스타일 15" xfId="651"/>
    <cellStyle name="스타일 16" xfId="652"/>
    <cellStyle name="스타일 2" xfId="653"/>
    <cellStyle name="스타일 3" xfId="654"/>
    <cellStyle name="스타일 4" xfId="655"/>
    <cellStyle name="스타일 5" xfId="656"/>
    <cellStyle name="스타일 6" xfId="657"/>
    <cellStyle name="스타일 7" xfId="658"/>
    <cellStyle name="스타일 8" xfId="659"/>
    <cellStyle name="스타일 9" xfId="660"/>
    <cellStyle name="식" xfId="661"/>
    <cellStyle name="식_재무지원부충당금" xfId="662"/>
    <cellStyle name="식_재무지원부충당금_1" xfId="663"/>
    <cellStyle name="식_재무지원부충당금_1_예외적립품의_0910(완료)" xfId="664"/>
    <cellStyle name="식_재무지원부충당금_1_추가적립업체명세(완료)V_3황동인대리님" xfId="665"/>
    <cellStyle name="식_추가충당금명세_0630_V3" xfId="666"/>
    <cellStyle name="신협" xfId="667"/>
    <cellStyle name="안건회계법인" xfId="668"/>
    <cellStyle name="액제" xfId="669"/>
    <cellStyle name="앰플" xfId="670"/>
    <cellStyle name="연고" xfId="671"/>
    <cellStyle name="열어본 하이퍼링크" xfId="672"/>
    <cellStyle name="원" xfId="673"/>
    <cellStyle name="원_B2110" xfId="674"/>
    <cellStyle name="원_B2111" xfId="675"/>
    <cellStyle name="원_B2112" xfId="676"/>
    <cellStyle name="원_B2501" xfId="677"/>
    <cellStyle name="원_NCF6BB2F" xfId="678"/>
    <cellStyle name="원_기타결산보고(200712)" xfId="679"/>
    <cellStyle name="원_리스크관리부" xfId="680"/>
    <cellStyle name="원_손익계산서(05년6월)_2" xfId="681"/>
    <cellStyle name="원_손익계산서(200712)" xfId="682"/>
    <cellStyle name="원_총괄분" xfId="683"/>
    <cellStyle name="원통화" xfId="684"/>
    <cellStyle name="유입" xfId="685"/>
    <cellStyle name="이연사업비" xfId="686"/>
    <cellStyle name="一般_GARMENT STEP FORM HK" xfId="687"/>
    <cellStyle name="자리수" xfId="688"/>
    <cellStyle name="자리수0" xfId="689"/>
    <cellStyle name="작업일수" xfId="690"/>
    <cellStyle name="정" xfId="691"/>
    <cellStyle name="제놀" xfId="692"/>
    <cellStyle name="제목1" xfId="693"/>
    <cellStyle name="제목2" xfId="694"/>
    <cellStyle name="제조번호" xfId="695"/>
    <cellStyle name="좋은양식" xfId="696"/>
    <cellStyle name="증감" xfId="697"/>
    <cellStyle name="지정되지 않음" xfId="698"/>
    <cellStyle name="钎霖_惫寇bal" xfId="699"/>
    <cellStyle name="千分位[0]_GARMENT STEP FORM HK" xfId="700"/>
    <cellStyle name="千分位_GARMENT STEP FORM HK" xfId="701"/>
    <cellStyle name="캅셀" xfId="702"/>
    <cellStyle name="콤냡?&lt;_x000f_$??: `1_1" xfId="703"/>
    <cellStyle name="콤마 [0]" xfId="704"/>
    <cellStyle name="콤마[0]" xfId="705"/>
    <cellStyle name="콤마_  종  합  " xfId="706"/>
    <cellStyle name="통T" xfId="707"/>
    <cellStyle name="通貨 [0.00]_BOND SELL LIST" xfId="708"/>
    <cellStyle name="통화 [0] 3" xfId="709"/>
    <cellStyle name="通貨_1.貸付ﾃﾞｰﾀベース" xfId="710"/>
    <cellStyle name="트럭" xfId="711"/>
    <cellStyle name="퍼센트" xfId="712"/>
    <cellStyle name="평" xfId="713"/>
    <cellStyle name="평_재무지원부충당금" xfId="714"/>
    <cellStyle name="평_재무지원부충당금_1" xfId="715"/>
    <cellStyle name="평_재무지원부충당금_1_예외적립품의_0910(완료)" xfId="716"/>
    <cellStyle name="평_재무지원부충당금_1_추가적립업체명세(완료)V_3황동인대리님" xfId="717"/>
    <cellStyle name="평_추가충당금명세_0630_V3" xfId="718"/>
    <cellStyle name="표준" xfId="0" builtinId="0"/>
    <cellStyle name="표준 10" xfId="719"/>
    <cellStyle name="표준 11" xfId="720"/>
    <cellStyle name="표준 111" xfId="721"/>
    <cellStyle name="표준 112" xfId="722"/>
    <cellStyle name="표준 112 2" xfId="23"/>
    <cellStyle name="표준 112 3" xfId="723"/>
    <cellStyle name="표준 12" xfId="724"/>
    <cellStyle name="표준 12 2" xfId="770"/>
    <cellStyle name="표준 13" xfId="725"/>
    <cellStyle name="표준 14" xfId="14"/>
    <cellStyle name="표준 15" xfId="726"/>
    <cellStyle name="표준 17" xfId="727"/>
    <cellStyle name="표준 19" xfId="728"/>
    <cellStyle name="표준 2" xfId="729"/>
    <cellStyle name="표준 2 10" xfId="28"/>
    <cellStyle name="표준 2 2" xfId="730"/>
    <cellStyle name="표준 2 2 2" xfId="731"/>
    <cellStyle name="표준 2 2 2 2" xfId="732"/>
    <cellStyle name="표준 2 2 2_차주일련번호_1017_V7(1).1(1017-2)" xfId="733"/>
    <cellStyle name="표준 2 2 3" xfId="27"/>
    <cellStyle name="표준 2 2 3 2" xfId="22"/>
    <cellStyle name="표준 2 2_차주일련번호_1017_V7(1).1(1017-2)" xfId="734"/>
    <cellStyle name="표준 2 3" xfId="4"/>
    <cellStyle name="표준 2 3 2" xfId="735"/>
    <cellStyle name="표준 2 3 3" xfId="15"/>
    <cellStyle name="표준 2 3_차주일련번호_1017_V7(1).1(1017-2)" xfId="736"/>
    <cellStyle name="표준 2 4" xfId="737"/>
    <cellStyle name="표준 2 5" xfId="738"/>
    <cellStyle name="표준 2_KDB 2010 Program(권리분석_v3)" xfId="739"/>
    <cellStyle name="표준 2_WRB program 1_Data Disk Template_Regular_0506_v1_통합" xfId="25"/>
    <cellStyle name="표준 3" xfId="740"/>
    <cellStyle name="표준 3 2" xfId="741"/>
    <cellStyle name="표준 3 3" xfId="18"/>
    <cellStyle name="표준 3 6" xfId="742"/>
    <cellStyle name="표준 3_IBK 2010-2 Program_담보template2_주홍빈_0426" xfId="743"/>
    <cellStyle name="표준 30" xfId="744"/>
    <cellStyle name="표준 4" xfId="745"/>
    <cellStyle name="표준 4 2" xfId="746"/>
    <cellStyle name="표준 4 2 2" xfId="747"/>
    <cellStyle name="표준 4_SHB 2010-2 Program Data Disk_Pool A+B 통합" xfId="748"/>
    <cellStyle name="표준 5" xfId="2"/>
    <cellStyle name="표준 5 2" xfId="9"/>
    <cellStyle name="표준 5 3" xfId="8"/>
    <cellStyle name="표준 5_SHB 2010-2 Program Data Disk_Pool A+B 통합" xfId="749"/>
    <cellStyle name="표준 6" xfId="750"/>
    <cellStyle name="표준 6 2" xfId="751"/>
    <cellStyle name="표준 6_권리분석_v4_김영진" xfId="752"/>
    <cellStyle name="표준 7" xfId="29"/>
    <cellStyle name="표준 8" xfId="753"/>
    <cellStyle name="표준 9" xfId="754"/>
    <cellStyle name="표준_(안양저축)붙임09-10매각명세_일반채권" xfId="10"/>
    <cellStyle name="標準_1.貸付ﾃﾞｰﾀベース" xfId="755"/>
    <cellStyle name="표준_Book2" xfId="5"/>
    <cellStyle name="표준_Book2_WRB program 1_Data Disk Template_Regular_0506_v1_통합" xfId="7"/>
    <cellStyle name="표준_Data Disk_담보부 형식(Special,Regular 공통)_khk_KDB 2010 Program(더밸류)" xfId="16"/>
    <cellStyle name="표준_Data Disk_담보부 형식(Special,Regular 공통)_khk_Templete_Datadisk(2010KDB_NPL_Regular)" xfId="13"/>
    <cellStyle name="표준_KDB 2010 Program(권리분석)_최종draft" xfId="24"/>
    <cellStyle name="표준_KDB NPL_권리분석 기초자료_송부_101001(가공)" xfId="17"/>
    <cellStyle name="標準_One Pager" xfId="756"/>
    <cellStyle name="표준_보증인_120614" xfId="769"/>
    <cellStyle name="표준1" xfId="757"/>
    <cellStyle name="합산" xfId="758"/>
    <cellStyle name="桁?切り [0.00]_FLCCHECKTOKYO(0106)" xfId="759"/>
    <cellStyle name="桁?切り_FLCCHECKTOKYO(0106)" xfId="760"/>
    <cellStyle name="桁区切り [0.00]_FLCCHECKTOKYO(0106)" xfId="761"/>
    <cellStyle name="桁区切り_1.貸付ﾃﾞｰﾀベース" xfId="762"/>
    <cellStyle name="화폐" xfId="763"/>
    <cellStyle name="貨幣 [0]_GARMENT STEP FORM HK" xfId="764"/>
    <cellStyle name="貨幣_GARMENT STEP FORM HK" xfId="765"/>
    <cellStyle name="화폐기호" xfId="766"/>
    <cellStyle name="화폐기호0" xfId="767"/>
    <cellStyle name="확인" xfId="768"/>
  </cellStyles>
  <dxfs count="12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312;&#51116;&#55148;\IRM\TEMP\EXCEL\&#50672;&#52404;&#48516;&#49437;.XLS\&#50900;&#48324;&#50672;&#52404;.XLS\&#50900;&#48324;&#51204;&#54665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82.2.100.53\clomonth\Documents%20and%20Settings\djookim\My%20Documents\&#44048;&#49324;\&#48516;&#48152;&#44592;&#44160;&#53664;\LG&#52852;&#46300;\2002&#45380;&#48152;&#44592;\Book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90205\c\Excel\1999.03.3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행순위"/>
      <sheetName val="COMBINED"/>
      <sheetName val="VALSTAT"/>
      <sheetName val="담보현황"/>
      <sheetName val="기본정보"/>
      <sheetName val="97년추정손익계산서"/>
      <sheetName val="GG(2016.06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GTI (2)"/>
      <sheetName val="GTI (3)"/>
      <sheetName val="해외주식"/>
      <sheetName val="TOTAL"/>
      <sheetName val="re (3)"/>
      <sheetName val="환율평균(정리)"/>
      <sheetName val="Book1"/>
      <sheetName val="#REF"/>
      <sheetName val="지분법평가(HTVI)5620"/>
      <sheetName val="LIST"/>
      <sheetName val="파생평가"/>
      <sheetName val="아시아 1호5640"/>
      <sheetName val="5620"/>
      <sheetName val="5630"/>
      <sheetName val="5650"/>
      <sheetName val="5612"/>
      <sheetName val="5600"/>
      <sheetName val="5640"/>
      <sheetName val="bs (3)"/>
      <sheetName val="5611"/>
      <sheetName val="5610"/>
      <sheetName val=""/>
      <sheetName val="2담당0113"/>
      <sheetName val="1담당0113"/>
      <sheetName val="추정PL_1안"/>
      <sheetName val="유증"/>
      <sheetName val="유류분 반환"/>
      <sheetName val="기본DATA"/>
      <sheetName val="97년추정손익계산서"/>
      <sheetName val="WBS"/>
      <sheetName val="WPL"/>
      <sheetName val="현금예금"/>
      <sheetName val=" 투자자산"/>
      <sheetName val=" 유형자산"/>
      <sheetName val=" 유형자산증가TOT"/>
      <sheetName val=" 유형자산감소TOT"/>
      <sheetName val=" 감가상각Overall"/>
      <sheetName val="건물"/>
      <sheetName val="구축물"/>
      <sheetName val="기계장치"/>
      <sheetName val="차량"/>
      <sheetName val=" 무형자산"/>
      <sheetName val=" 이연자산"/>
      <sheetName val=" 단기차입금"/>
      <sheetName val=" 고정부채"/>
      <sheetName val=" 기타의고정부채"/>
      <sheetName val=" 퇴직추계액"/>
      <sheetName val=" 판관비"/>
      <sheetName val=" 퇴직금TOT"/>
      <sheetName val=" 자본"/>
      <sheetName val=" 제조원가2"/>
      <sheetName val="제조원가"/>
      <sheetName val="판관비TOT"/>
      <sheetName val=" 제조경비TOT"/>
      <sheetName val=" 급여Overall"/>
      <sheetName val="TUL memo"/>
      <sheetName val="어음,수표 Controll Sheet"/>
      <sheetName val="미도래어음"/>
      <sheetName val="어음,수표 폐기현황"/>
      <sheetName val="Header"/>
      <sheetName val="전체유가증권명세(0612)"/>
      <sheetName val="자산명세"/>
      <sheetName val="Ⅱ1-0타"/>
      <sheetName val="Variab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"/>
      <sheetName val="연체대출"/>
      <sheetName val="센타별증감현황"/>
      <sheetName val="지역본부별"/>
      <sheetName val="회의자료(연체현황)"/>
      <sheetName val="회의자료(건전성현황)"/>
      <sheetName val="대환취급"/>
      <sheetName val="갑지"/>
      <sheetName val="실행"/>
      <sheetName val="Sheet3"/>
      <sheetName val="매도주식"/>
      <sheetName val="XREF"/>
      <sheetName val="정산표"/>
      <sheetName val="연체대출 (2)"/>
      <sheetName val="Ⅱ1-0타"/>
      <sheetName val="종합일지"/>
      <sheetName val="영업점별"/>
      <sheetName val="성적표96"/>
      <sheetName val="97년추정손익계산서"/>
      <sheetName val="Sheet1"/>
      <sheetName val="코드"/>
      <sheetName val="6 취합중"/>
      <sheetName val="????"/>
      <sheetName val="¿¬Ã¼´ëÃâ"/>
      <sheetName val="Code"/>
      <sheetName val="제일은행"/>
      <sheetName val="1999.03.31"/>
      <sheetName val="합동별(기표용)"/>
      <sheetName val="보고"/>
      <sheetName val="ROOT "/>
      <sheetName val="J"/>
      <sheetName val="금리분석"/>
      <sheetName val="2. 담보명세"/>
      <sheetName val="출금실적"/>
      <sheetName val="추정PL_1안"/>
      <sheetName val="#REF"/>
      <sheetName val="관련부서"/>
      <sheetName val="순위선정"/>
      <sheetName val="COMPS"/>
      <sheetName val="마케팅예산"/>
      <sheetName val="수정사항"/>
      <sheetName val="대상(22)"/>
      <sheetName val="환율"/>
      <sheetName val="분당임차변경"/>
      <sheetName val="성과급테이블"/>
      <sheetName val="LIST"/>
      <sheetName val="5월"/>
      <sheetName val="HR 8.PJ건강"/>
      <sheetName val="HR 1.PJ기본급"/>
      <sheetName val="HR 2.PJ상여"/>
      <sheetName val="INFO"/>
      <sheetName val="Sheet2"/>
      <sheetName val="GTI (2)"/>
      <sheetName val="GTI (3)"/>
      <sheetName val="해외주식"/>
      <sheetName val="TOTAL"/>
      <sheetName val="re (3)"/>
      <sheetName val="환율평균(정리)"/>
      <sheetName val="Book1"/>
      <sheetName val="지분법평가(HTVI)5620"/>
      <sheetName val="파생평가"/>
      <sheetName val="아시아 1호5640"/>
      <sheetName val="5620"/>
      <sheetName val="5630"/>
      <sheetName val="5650"/>
      <sheetName val="5612"/>
      <sheetName val="5600"/>
      <sheetName val="5640"/>
      <sheetName val="bs (3)"/>
      <sheetName val="5611"/>
      <sheetName val="5610"/>
      <sheetName val=""/>
      <sheetName val="2담당0113"/>
      <sheetName val="1담당0113"/>
      <sheetName val="유증"/>
      <sheetName val="유류분 반환"/>
      <sheetName val="기본DATA"/>
      <sheetName val="WBS"/>
      <sheetName val="WPL"/>
      <sheetName val="현금예금"/>
      <sheetName val=" 투자자산"/>
      <sheetName val=" 유형자산"/>
      <sheetName val=" 유형자산증가TOT"/>
      <sheetName val=" 유형자산감소TOT"/>
      <sheetName val=" 감가상각Overall"/>
      <sheetName val="건물"/>
      <sheetName val="구축물"/>
      <sheetName val="기계장치"/>
      <sheetName val="차량"/>
      <sheetName val=" 무형자산"/>
      <sheetName val=" 이연자산"/>
      <sheetName val=" 단기차입금"/>
      <sheetName val=" 고정부채"/>
      <sheetName val=" 기타의고정부채"/>
      <sheetName val=" 퇴직추계액"/>
      <sheetName val=" 판관비"/>
      <sheetName val=" 퇴직금TOT"/>
      <sheetName val=" 자본"/>
      <sheetName val=" 제조원가2"/>
      <sheetName val="제조원가"/>
      <sheetName val="판관비TOT"/>
      <sheetName val=" 제조경비TOT"/>
      <sheetName val=" 급여Overall"/>
      <sheetName val="TUL memo"/>
      <sheetName val="어음,수표 Controll Sheet"/>
      <sheetName val="미도래어음"/>
      <sheetName val="어음,수표 폐기현황"/>
      <sheetName val="Header"/>
      <sheetName val="전체유가증권명세(0612)"/>
      <sheetName val="자산명세"/>
      <sheetName val="평산_v1.xlsx"/>
      <sheetName val="5사남"/>
      <sheetName val="테이블"/>
      <sheetName val="세액계산"/>
      <sheetName val="개인정책"/>
      <sheetName val="개인투자"/>
      <sheetName val="장기투자"/>
      <sheetName val="일반"/>
      <sheetName val="제출용BS(한일+할부)"/>
      <sheetName val="코드목록"/>
      <sheetName val="조회총괄"/>
      <sheetName val="연체대출_(2)"/>
      <sheetName val="6_취합중"/>
      <sheetName val="서울(안)"/>
      <sheetName val="신규구입자산"/>
      <sheetName val="주요업무"/>
      <sheetName val="통화별 전체_rawdata"/>
      <sheetName val="1999_03_31"/>
      <sheetName val="ROOT_"/>
      <sheetName val="2__담보명세"/>
      <sheetName val="HR_8_PJ건강"/>
      <sheetName val="HR_1_PJ기본급"/>
      <sheetName val="HR_2_PJ상여"/>
      <sheetName val="연체대출_(2)1"/>
      <sheetName val="6_취합중1"/>
      <sheetName val="1999_03_311"/>
      <sheetName val="ROOT_1"/>
      <sheetName val="2__담보명세1"/>
      <sheetName val="HR_8_PJ건강1"/>
      <sheetName val="HR_1_PJ기본급1"/>
      <sheetName val="HR_2_PJ상여1"/>
      <sheetName val="temp1"/>
      <sheetName val="3.판관비명세서"/>
      <sheetName val="____"/>
      <sheetName val="00-03.익스포져"/>
      <sheetName val="분개장"/>
      <sheetName val="COMBINED"/>
      <sheetName val="VALSTAT"/>
      <sheetName val="생산량"/>
      <sheetName val="유가증권의평가"/>
      <sheetName val="세금"/>
      <sheetName val="채권(하반기)"/>
      <sheetName val="C(재고)"/>
      <sheetName val="6175-1_매출어음명세총괄"/>
      <sheetName val="A"/>
      <sheetName val="연체대출_(2)2"/>
      <sheetName val="6_취합중2"/>
      <sheetName val="1999_03_312"/>
      <sheetName val="ROOT_2"/>
      <sheetName val="2__담보명세2"/>
      <sheetName val="HR_8_PJ건강2"/>
      <sheetName val="HR_1_PJ기본급2"/>
      <sheetName val="HR_2_PJ상여2"/>
      <sheetName val="통화별_전체_rawdata"/>
      <sheetName val="GTI_(2)"/>
      <sheetName val="GTI_(3)"/>
      <sheetName val="re_(3)"/>
      <sheetName val="아시아_1호5640"/>
      <sheetName val="bs_(3)"/>
      <sheetName val="유류분_반환"/>
      <sheetName val="_투자자산"/>
      <sheetName val="_유형자산"/>
      <sheetName val="_유형자산증가TOT"/>
      <sheetName val="_유형자산감소TOT"/>
      <sheetName val="_감가상각Overall"/>
      <sheetName val="_무형자산"/>
      <sheetName val="_이연자산"/>
      <sheetName val="_단기차입금"/>
      <sheetName val="_고정부채"/>
      <sheetName val="_기타의고정부채"/>
      <sheetName val="_퇴직추계액"/>
      <sheetName val="_판관비"/>
      <sheetName val="_퇴직금TOT"/>
      <sheetName val="_자본"/>
      <sheetName val="_제조원가2"/>
      <sheetName val="_제조경비TOT"/>
      <sheetName val="_급여Overall"/>
      <sheetName val="TUL_memo"/>
      <sheetName val="어음,수표_Controll_Sheet"/>
      <sheetName val="어음,수표_폐기현황"/>
      <sheetName val="3_판관비명세서"/>
      <sheetName val="00-03_익스포져"/>
      <sheetName val="예산"/>
    </sheetNames>
    <sheetDataSet>
      <sheetData sheetId="0" refreshError="1"/>
      <sheetData sheetId="1" refreshError="1">
        <row r="9">
          <cell r="A9">
            <v>80</v>
          </cell>
        </row>
        <row r="10">
          <cell r="A10">
            <v>81</v>
          </cell>
        </row>
        <row r="11">
          <cell r="A11">
            <v>82</v>
          </cell>
        </row>
        <row r="12">
          <cell r="A12">
            <v>83</v>
          </cell>
        </row>
        <row r="13">
          <cell r="A13">
            <v>84</v>
          </cell>
        </row>
        <row r="14">
          <cell r="A14">
            <v>85</v>
          </cell>
        </row>
        <row r="15">
          <cell r="A15">
            <v>2</v>
          </cell>
        </row>
        <row r="16">
          <cell r="A16">
            <v>5</v>
          </cell>
        </row>
        <row r="17">
          <cell r="A17">
            <v>6</v>
          </cell>
        </row>
        <row r="18">
          <cell r="A18">
            <v>18</v>
          </cell>
        </row>
        <row r="19">
          <cell r="A19">
            <v>8</v>
          </cell>
        </row>
        <row r="20">
          <cell r="A20">
            <v>13</v>
          </cell>
        </row>
        <row r="21">
          <cell r="A21">
            <v>17</v>
          </cell>
        </row>
        <row r="22">
          <cell r="A22">
            <v>16</v>
          </cell>
        </row>
        <row r="23">
          <cell r="A23">
            <v>27</v>
          </cell>
        </row>
        <row r="24">
          <cell r="A24">
            <v>25</v>
          </cell>
        </row>
        <row r="25">
          <cell r="A25">
            <v>9</v>
          </cell>
        </row>
        <row r="26">
          <cell r="A26">
            <v>7</v>
          </cell>
        </row>
        <row r="27">
          <cell r="A27">
            <v>22</v>
          </cell>
        </row>
        <row r="28">
          <cell r="A28">
            <v>30</v>
          </cell>
        </row>
        <row r="29">
          <cell r="A29">
            <v>19</v>
          </cell>
        </row>
        <row r="30">
          <cell r="A30">
            <v>11</v>
          </cell>
        </row>
        <row r="31">
          <cell r="A31">
            <v>29</v>
          </cell>
        </row>
        <row r="32">
          <cell r="A32">
            <v>32</v>
          </cell>
        </row>
        <row r="33">
          <cell r="A33">
            <v>33</v>
          </cell>
        </row>
        <row r="34">
          <cell r="A34">
            <v>14</v>
          </cell>
        </row>
        <row r="35">
          <cell r="A35">
            <v>36</v>
          </cell>
        </row>
        <row r="36">
          <cell r="A36">
            <v>38</v>
          </cell>
        </row>
        <row r="37">
          <cell r="A37">
            <v>40</v>
          </cell>
        </row>
        <row r="38">
          <cell r="A38">
            <v>42</v>
          </cell>
        </row>
        <row r="39">
          <cell r="A39">
            <v>26</v>
          </cell>
        </row>
        <row r="40">
          <cell r="A40">
            <v>3</v>
          </cell>
        </row>
        <row r="41">
          <cell r="A41">
            <v>41</v>
          </cell>
        </row>
        <row r="43">
          <cell r="A43">
            <v>39</v>
          </cell>
        </row>
        <row r="44">
          <cell r="A44">
            <v>10</v>
          </cell>
        </row>
        <row r="45">
          <cell r="A45">
            <v>21</v>
          </cell>
        </row>
        <row r="46">
          <cell r="A46">
            <v>34</v>
          </cell>
        </row>
        <row r="47">
          <cell r="A47">
            <v>4</v>
          </cell>
        </row>
        <row r="48">
          <cell r="A48">
            <v>37</v>
          </cell>
        </row>
        <row r="49">
          <cell r="A49">
            <v>15</v>
          </cell>
        </row>
        <row r="50">
          <cell r="A50">
            <v>12</v>
          </cell>
        </row>
        <row r="51">
          <cell r="A51">
            <v>28</v>
          </cell>
        </row>
        <row r="52">
          <cell r="A52">
            <v>23</v>
          </cell>
        </row>
        <row r="53">
          <cell r="A53">
            <v>35</v>
          </cell>
        </row>
        <row r="56">
          <cell r="A56">
            <v>43</v>
          </cell>
        </row>
        <row r="57">
          <cell r="A57">
            <v>49</v>
          </cell>
        </row>
        <row r="58">
          <cell r="A58">
            <v>47</v>
          </cell>
        </row>
        <row r="59">
          <cell r="A59">
            <v>46</v>
          </cell>
        </row>
        <row r="60">
          <cell r="A60">
            <v>20</v>
          </cell>
        </row>
        <row r="61">
          <cell r="A61">
            <v>24</v>
          </cell>
        </row>
        <row r="62">
          <cell r="A62">
            <v>50</v>
          </cell>
        </row>
        <row r="63">
          <cell r="A63">
            <v>48</v>
          </cell>
        </row>
        <row r="64">
          <cell r="A64">
            <v>44</v>
          </cell>
        </row>
        <row r="65">
          <cell r="A65">
            <v>45</v>
          </cell>
        </row>
        <row r="66">
          <cell r="A66">
            <v>53</v>
          </cell>
        </row>
        <row r="67">
          <cell r="A67">
            <v>51</v>
          </cell>
        </row>
        <row r="68">
          <cell r="A68">
            <v>52</v>
          </cell>
        </row>
        <row r="69">
          <cell r="A69">
            <v>54</v>
          </cell>
        </row>
        <row r="70">
          <cell r="A70">
            <v>56</v>
          </cell>
        </row>
        <row r="71">
          <cell r="A71">
            <v>61</v>
          </cell>
        </row>
        <row r="72">
          <cell r="A72">
            <v>59</v>
          </cell>
        </row>
        <row r="73">
          <cell r="A73">
            <v>62</v>
          </cell>
        </row>
        <row r="74">
          <cell r="A74">
            <v>64</v>
          </cell>
        </row>
        <row r="75">
          <cell r="A75">
            <v>57</v>
          </cell>
        </row>
        <row r="76">
          <cell r="A76">
            <v>66</v>
          </cell>
        </row>
        <row r="77">
          <cell r="A77">
            <v>55</v>
          </cell>
        </row>
        <row r="78">
          <cell r="A78">
            <v>60</v>
          </cell>
        </row>
        <row r="79">
          <cell r="A79">
            <v>63</v>
          </cell>
        </row>
        <row r="80">
          <cell r="A80">
            <v>58</v>
          </cell>
        </row>
        <row r="81">
          <cell r="A81">
            <v>65</v>
          </cell>
        </row>
        <row r="82">
          <cell r="A82">
            <v>69</v>
          </cell>
        </row>
        <row r="83">
          <cell r="A83">
            <v>67</v>
          </cell>
        </row>
        <row r="84">
          <cell r="A84">
            <v>68</v>
          </cell>
        </row>
        <row r="85">
          <cell r="A85">
            <v>72</v>
          </cell>
        </row>
        <row r="86">
          <cell r="A86">
            <v>70</v>
          </cell>
        </row>
        <row r="87">
          <cell r="A87">
            <v>71</v>
          </cell>
        </row>
        <row r="88">
          <cell r="A88">
            <v>73</v>
          </cell>
        </row>
        <row r="89">
          <cell r="A89">
            <v>74</v>
          </cell>
        </row>
        <row r="90">
          <cell r="A90">
            <v>75</v>
          </cell>
        </row>
        <row r="91">
          <cell r="A91">
            <v>76</v>
          </cell>
        </row>
        <row r="92">
          <cell r="A92">
            <v>77</v>
          </cell>
        </row>
      </sheetData>
      <sheetData sheetId="2">
        <row r="9">
          <cell r="A9">
            <v>80</v>
          </cell>
        </row>
      </sheetData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N217"/>
  <sheetViews>
    <sheetView showGridLines="0" zoomScaleSheetLayoutView="100" workbookViewId="0">
      <selection activeCell="N9" sqref="N9"/>
    </sheetView>
  </sheetViews>
  <sheetFormatPr defaultColWidth="9" defaultRowHeight="14.1" customHeight="1"/>
  <cols>
    <col min="1" max="1" width="2.625" style="1" customWidth="1"/>
    <col min="2" max="2" width="6.75" style="72" customWidth="1"/>
    <col min="3" max="3" width="10.625" style="72" customWidth="1"/>
    <col min="4" max="4" width="12.5" style="72" customWidth="1"/>
    <col min="5" max="5" width="24.625" style="72" customWidth="1"/>
    <col min="6" max="6" width="17.125" style="71" customWidth="1"/>
    <col min="7" max="7" width="18.375" style="73" customWidth="1"/>
    <col min="8" max="8" width="14.375" style="73" customWidth="1"/>
    <col min="9" max="9" width="19.875" style="73" customWidth="1"/>
    <col min="10" max="11" width="15.875" style="73" customWidth="1"/>
    <col min="12" max="12" width="13" style="73" customWidth="1"/>
    <col min="13" max="13" width="14.375" style="73" customWidth="1"/>
    <col min="14" max="14" width="66.75" style="74" customWidth="1"/>
    <col min="15" max="16384" width="9" style="8"/>
  </cols>
  <sheetData>
    <row r="1" spans="1:14" ht="13.5" customHeight="1">
      <c r="B1" s="2"/>
      <c r="C1" s="2"/>
      <c r="D1" s="3"/>
      <c r="E1" s="4"/>
      <c r="F1" s="5"/>
      <c r="G1" s="5"/>
      <c r="H1" s="5"/>
      <c r="I1" s="6"/>
      <c r="J1" s="4"/>
      <c r="K1" s="4"/>
      <c r="L1" s="4"/>
      <c r="M1" s="4"/>
      <c r="N1" s="7"/>
    </row>
    <row r="2" spans="1:14" s="18" customFormat="1" ht="20.100000000000001" customHeight="1">
      <c r="A2" s="9"/>
      <c r="B2" s="10" t="s">
        <v>429</v>
      </c>
      <c r="C2" s="11"/>
      <c r="D2" s="12"/>
      <c r="E2" s="12"/>
      <c r="F2" s="13"/>
      <c r="G2" s="14"/>
      <c r="H2" s="14"/>
      <c r="I2" s="14"/>
      <c r="J2" s="15"/>
      <c r="K2" s="16"/>
      <c r="L2" s="17"/>
      <c r="M2" s="17"/>
      <c r="N2" s="7"/>
    </row>
    <row r="3" spans="1:14" s="25" customFormat="1" ht="20.100000000000001" customHeight="1">
      <c r="A3" s="19"/>
      <c r="B3" s="20" t="s">
        <v>0</v>
      </c>
      <c r="C3" s="21"/>
      <c r="D3" s="22"/>
      <c r="E3" s="23"/>
      <c r="F3" s="23"/>
      <c r="G3" s="13"/>
      <c r="H3" s="13"/>
      <c r="I3" s="13"/>
      <c r="J3" s="13"/>
      <c r="K3" s="13"/>
      <c r="L3" s="24"/>
      <c r="M3" s="24"/>
      <c r="N3" s="24"/>
    </row>
    <row r="4" spans="1:14" s="25" customFormat="1" ht="20.100000000000001" customHeight="1">
      <c r="A4" s="19"/>
      <c r="B4" s="20" t="s">
        <v>1</v>
      </c>
      <c r="C4" s="21"/>
      <c r="D4" s="12"/>
      <c r="E4" s="23"/>
      <c r="F4" s="23"/>
      <c r="G4" s="6"/>
      <c r="H4" s="6"/>
      <c r="I4" s="6"/>
      <c r="J4" s="6"/>
      <c r="K4" s="6"/>
      <c r="L4" s="24"/>
      <c r="M4" s="24"/>
      <c r="N4" s="26"/>
    </row>
    <row r="5" spans="1:14" s="18" customFormat="1" ht="9.9499999999999993" customHeight="1" thickBot="1">
      <c r="A5" s="9"/>
      <c r="B5" s="27"/>
      <c r="C5" s="27"/>
      <c r="D5" s="28"/>
      <c r="E5" s="12"/>
      <c r="F5" s="29"/>
      <c r="G5" s="16"/>
      <c r="H5" s="16"/>
      <c r="I5" s="16"/>
      <c r="J5" s="30"/>
      <c r="K5" s="17"/>
      <c r="L5" s="30"/>
      <c r="M5" s="30"/>
      <c r="N5" s="31"/>
    </row>
    <row r="6" spans="1:14" ht="13.5" customHeight="1">
      <c r="B6" s="32" t="s">
        <v>2</v>
      </c>
      <c r="C6" s="33"/>
      <c r="D6" s="33"/>
      <c r="E6" s="33"/>
      <c r="F6" s="33" t="s">
        <v>373</v>
      </c>
      <c r="G6" s="33" t="s">
        <v>374</v>
      </c>
      <c r="H6" s="33"/>
      <c r="I6" s="33"/>
      <c r="J6" s="33"/>
      <c r="K6" s="33"/>
      <c r="L6" s="33" t="s">
        <v>375</v>
      </c>
      <c r="M6" s="33"/>
      <c r="N6" s="34" t="s">
        <v>376</v>
      </c>
    </row>
    <row r="7" spans="1:14" ht="13.5" customHeight="1">
      <c r="B7" s="35" t="s">
        <v>3</v>
      </c>
      <c r="C7" s="36" t="s">
        <v>4</v>
      </c>
      <c r="D7" s="37" t="s">
        <v>5</v>
      </c>
      <c r="E7" s="37" t="s">
        <v>377</v>
      </c>
      <c r="F7" s="36" t="s">
        <v>6</v>
      </c>
      <c r="G7" s="36" t="s">
        <v>378</v>
      </c>
      <c r="H7" s="36" t="s">
        <v>379</v>
      </c>
      <c r="I7" s="36" t="s">
        <v>7</v>
      </c>
      <c r="J7" s="36" t="s">
        <v>8</v>
      </c>
      <c r="K7" s="36" t="s">
        <v>9</v>
      </c>
      <c r="L7" s="36" t="s">
        <v>10</v>
      </c>
      <c r="M7" s="36" t="s">
        <v>11</v>
      </c>
      <c r="N7" s="38" t="s">
        <v>3165</v>
      </c>
    </row>
    <row r="8" spans="1:14" ht="35.1" customHeight="1">
      <c r="B8" s="39" t="s">
        <v>20</v>
      </c>
      <c r="C8" s="40" t="s">
        <v>21</v>
      </c>
      <c r="D8" s="564" t="s">
        <v>22</v>
      </c>
      <c r="E8" s="564" t="s">
        <v>23</v>
      </c>
      <c r="F8" s="41" t="s">
        <v>380</v>
      </c>
      <c r="G8" s="564" t="s">
        <v>381</v>
      </c>
      <c r="H8" s="41" t="s">
        <v>382</v>
      </c>
      <c r="I8" s="41" t="s">
        <v>383</v>
      </c>
      <c r="J8" s="564" t="s">
        <v>1165</v>
      </c>
      <c r="K8" s="41" t="s">
        <v>384</v>
      </c>
      <c r="L8" s="41" t="s">
        <v>385</v>
      </c>
      <c r="M8" s="41" t="s">
        <v>386</v>
      </c>
      <c r="N8" s="42" t="s">
        <v>387</v>
      </c>
    </row>
    <row r="9" spans="1:14" ht="35.1" customHeight="1" thickBot="1">
      <c r="A9" s="390"/>
      <c r="B9" s="43" t="s">
        <v>24</v>
      </c>
      <c r="C9" s="44" t="s">
        <v>25</v>
      </c>
      <c r="D9" s="565" t="s">
        <v>26</v>
      </c>
      <c r="E9" s="565" t="s">
        <v>27</v>
      </c>
      <c r="F9" s="45" t="s">
        <v>388</v>
      </c>
      <c r="G9" s="566" t="s">
        <v>28</v>
      </c>
      <c r="H9" s="44" t="s">
        <v>389</v>
      </c>
      <c r="I9" s="44" t="s">
        <v>390</v>
      </c>
      <c r="J9" s="567" t="s">
        <v>1166</v>
      </c>
      <c r="K9" s="46" t="s">
        <v>391</v>
      </c>
      <c r="L9" s="47" t="s">
        <v>392</v>
      </c>
      <c r="M9" s="47" t="s">
        <v>393</v>
      </c>
      <c r="N9" s="48" t="s">
        <v>394</v>
      </c>
    </row>
    <row r="10" spans="1:14" s="49" customFormat="1" ht="14.1" customHeight="1">
      <c r="A10" s="1"/>
      <c r="B10" s="50">
        <v>1</v>
      </c>
      <c r="C10" s="51"/>
      <c r="D10" s="52" t="s">
        <v>430</v>
      </c>
      <c r="E10" s="53" t="s">
        <v>208</v>
      </c>
      <c r="F10" s="54" t="s">
        <v>683</v>
      </c>
      <c r="G10" s="55">
        <v>420000000</v>
      </c>
      <c r="H10" s="56">
        <v>0</v>
      </c>
      <c r="I10" s="56">
        <v>420000000</v>
      </c>
      <c r="J10" s="56">
        <v>62889757</v>
      </c>
      <c r="K10" s="56">
        <v>482889757</v>
      </c>
      <c r="L10" s="57"/>
      <c r="M10" s="57"/>
      <c r="N10" s="58"/>
    </row>
    <row r="11" spans="1:14" s="49" customFormat="1" ht="14.1" customHeight="1">
      <c r="A11" s="1"/>
      <c r="B11" s="59">
        <v>2</v>
      </c>
      <c r="C11" s="60"/>
      <c r="D11" s="61" t="s">
        <v>431</v>
      </c>
      <c r="E11" s="62" t="s">
        <v>186</v>
      </c>
      <c r="F11" s="63" t="s">
        <v>683</v>
      </c>
      <c r="G11" s="64">
        <v>70000000</v>
      </c>
      <c r="H11" s="65">
        <v>0</v>
      </c>
      <c r="I11" s="65">
        <v>70000000</v>
      </c>
      <c r="J11" s="65">
        <v>11822409</v>
      </c>
      <c r="K11" s="65">
        <v>81822409</v>
      </c>
      <c r="L11" s="66"/>
      <c r="M11" s="66"/>
      <c r="N11" s="67"/>
    </row>
    <row r="12" spans="1:14" s="49" customFormat="1" ht="14.1" customHeight="1">
      <c r="A12" s="1"/>
      <c r="B12" s="59">
        <v>3</v>
      </c>
      <c r="C12" s="60"/>
      <c r="D12" s="61" t="s">
        <v>1167</v>
      </c>
      <c r="E12" s="62" t="s">
        <v>638</v>
      </c>
      <c r="F12" s="63" t="s">
        <v>684</v>
      </c>
      <c r="G12" s="64">
        <v>5223644549</v>
      </c>
      <c r="H12" s="65">
        <v>10060390</v>
      </c>
      <c r="I12" s="65">
        <v>5233704939</v>
      </c>
      <c r="J12" s="65">
        <v>324312674</v>
      </c>
      <c r="K12" s="65">
        <v>5558017613</v>
      </c>
      <c r="L12" s="66"/>
      <c r="M12" s="66"/>
      <c r="N12" s="67"/>
    </row>
    <row r="13" spans="1:14" s="49" customFormat="1" ht="14.1" customHeight="1">
      <c r="A13" s="1"/>
      <c r="B13" s="59">
        <v>4</v>
      </c>
      <c r="C13" s="60"/>
      <c r="D13" s="61" t="s">
        <v>433</v>
      </c>
      <c r="E13" s="62" t="s">
        <v>639</v>
      </c>
      <c r="F13" s="63" t="s">
        <v>684</v>
      </c>
      <c r="G13" s="64">
        <v>4501904758</v>
      </c>
      <c r="H13" s="65">
        <v>4999310</v>
      </c>
      <c r="I13" s="65">
        <v>4506904068</v>
      </c>
      <c r="J13" s="65">
        <v>134702588</v>
      </c>
      <c r="K13" s="65">
        <v>4641606656</v>
      </c>
      <c r="L13" s="66"/>
      <c r="M13" s="66"/>
      <c r="N13" s="67"/>
    </row>
    <row r="14" spans="1:14" s="49" customFormat="1" ht="14.1" customHeight="1">
      <c r="A14" s="1"/>
      <c r="B14" s="59">
        <v>5</v>
      </c>
      <c r="C14" s="60"/>
      <c r="D14" s="61" t="s">
        <v>434</v>
      </c>
      <c r="E14" s="62" t="s">
        <v>640</v>
      </c>
      <c r="F14" s="63" t="s">
        <v>684</v>
      </c>
      <c r="G14" s="64">
        <v>2763134895</v>
      </c>
      <c r="H14" s="65">
        <v>22476680</v>
      </c>
      <c r="I14" s="65">
        <v>2785611575</v>
      </c>
      <c r="J14" s="65">
        <v>190434869</v>
      </c>
      <c r="K14" s="65">
        <v>2976046444</v>
      </c>
      <c r="L14" s="66"/>
      <c r="M14" s="66"/>
      <c r="N14" s="67"/>
    </row>
    <row r="15" spans="1:14" s="49" customFormat="1" ht="14.1" customHeight="1">
      <c r="A15" s="1"/>
      <c r="B15" s="59">
        <v>6</v>
      </c>
      <c r="C15" s="60"/>
      <c r="D15" s="61" t="s">
        <v>435</v>
      </c>
      <c r="E15" s="62" t="s">
        <v>641</v>
      </c>
      <c r="F15" s="63" t="s">
        <v>684</v>
      </c>
      <c r="G15" s="64">
        <v>2535000000</v>
      </c>
      <c r="H15" s="65">
        <v>996271</v>
      </c>
      <c r="I15" s="65">
        <v>2535996271</v>
      </c>
      <c r="J15" s="65">
        <v>252342201</v>
      </c>
      <c r="K15" s="65">
        <v>2788338472</v>
      </c>
      <c r="L15" s="66"/>
      <c r="M15" s="66"/>
      <c r="N15" s="67"/>
    </row>
    <row r="16" spans="1:14" s="49" customFormat="1" ht="14.1" customHeight="1">
      <c r="A16" s="1"/>
      <c r="B16" s="59">
        <v>7</v>
      </c>
      <c r="C16" s="60"/>
      <c r="D16" s="61" t="s">
        <v>436</v>
      </c>
      <c r="E16" s="62" t="s">
        <v>642</v>
      </c>
      <c r="F16" s="63" t="s">
        <v>684</v>
      </c>
      <c r="G16" s="64">
        <v>2232811294</v>
      </c>
      <c r="H16" s="65">
        <v>12784354</v>
      </c>
      <c r="I16" s="65">
        <v>2245595648</v>
      </c>
      <c r="J16" s="65">
        <v>68951217</v>
      </c>
      <c r="K16" s="65">
        <v>2314546865</v>
      </c>
      <c r="L16" s="66"/>
      <c r="M16" s="66"/>
      <c r="N16" s="67"/>
    </row>
    <row r="17" spans="1:14" s="49" customFormat="1" ht="14.1" customHeight="1">
      <c r="A17" s="1"/>
      <c r="B17" s="59">
        <v>8</v>
      </c>
      <c r="C17" s="60"/>
      <c r="D17" s="61" t="s">
        <v>437</v>
      </c>
      <c r="E17" s="62" t="s">
        <v>643</v>
      </c>
      <c r="F17" s="63" t="s">
        <v>684</v>
      </c>
      <c r="G17" s="64">
        <v>2265872296</v>
      </c>
      <c r="H17" s="65">
        <v>908380</v>
      </c>
      <c r="I17" s="65">
        <v>2266780676</v>
      </c>
      <c r="J17" s="65">
        <v>49456769</v>
      </c>
      <c r="K17" s="65">
        <v>2316237445</v>
      </c>
      <c r="L17" s="66"/>
      <c r="M17" s="66"/>
      <c r="N17" s="67"/>
    </row>
    <row r="18" spans="1:14" s="49" customFormat="1" ht="14.1" customHeight="1">
      <c r="A18" s="1"/>
      <c r="B18" s="59">
        <v>9</v>
      </c>
      <c r="C18" s="60"/>
      <c r="D18" s="61" t="s">
        <v>438</v>
      </c>
      <c r="E18" s="62" t="s">
        <v>644</v>
      </c>
      <c r="F18" s="63" t="s">
        <v>684</v>
      </c>
      <c r="G18" s="64">
        <v>1175048470</v>
      </c>
      <c r="H18" s="65">
        <v>9433845</v>
      </c>
      <c r="I18" s="65">
        <v>1184482315</v>
      </c>
      <c r="J18" s="65">
        <v>38704666</v>
      </c>
      <c r="K18" s="65">
        <v>1223186981</v>
      </c>
      <c r="L18" s="66"/>
      <c r="M18" s="66"/>
      <c r="N18" s="67"/>
    </row>
    <row r="19" spans="1:14" s="49" customFormat="1" ht="14.1" customHeight="1">
      <c r="A19" s="1"/>
      <c r="B19" s="59">
        <v>10</v>
      </c>
      <c r="C19" s="60"/>
      <c r="D19" s="61" t="s">
        <v>439</v>
      </c>
      <c r="E19" s="62" t="s">
        <v>645</v>
      </c>
      <c r="F19" s="63" t="s">
        <v>684</v>
      </c>
      <c r="G19" s="64">
        <v>1632072197</v>
      </c>
      <c r="H19" s="65">
        <v>11656148</v>
      </c>
      <c r="I19" s="65">
        <v>1643728345</v>
      </c>
      <c r="J19" s="65">
        <v>74846287</v>
      </c>
      <c r="K19" s="65">
        <v>1718574632</v>
      </c>
      <c r="L19" s="66"/>
      <c r="M19" s="66"/>
      <c r="N19" s="67"/>
    </row>
    <row r="20" spans="1:14" s="49" customFormat="1" ht="14.1" customHeight="1">
      <c r="A20" s="1"/>
      <c r="B20" s="59">
        <v>11</v>
      </c>
      <c r="C20" s="60"/>
      <c r="D20" s="61" t="s">
        <v>440</v>
      </c>
      <c r="E20" s="62" t="s">
        <v>646</v>
      </c>
      <c r="F20" s="63" t="s">
        <v>683</v>
      </c>
      <c r="G20" s="64">
        <v>1570000000</v>
      </c>
      <c r="H20" s="65">
        <v>10090020</v>
      </c>
      <c r="I20" s="65">
        <v>1580090020</v>
      </c>
      <c r="J20" s="65">
        <v>54717315</v>
      </c>
      <c r="K20" s="65">
        <v>1634807335</v>
      </c>
      <c r="L20" s="66"/>
      <c r="M20" s="66"/>
      <c r="N20" s="67"/>
    </row>
    <row r="21" spans="1:14" s="49" customFormat="1" ht="14.1" customHeight="1">
      <c r="A21" s="1"/>
      <c r="B21" s="59">
        <v>12</v>
      </c>
      <c r="C21" s="60"/>
      <c r="D21" s="61" t="s">
        <v>441</v>
      </c>
      <c r="E21" s="62" t="s">
        <v>239</v>
      </c>
      <c r="F21" s="63" t="s">
        <v>683</v>
      </c>
      <c r="G21" s="64">
        <v>1512361048</v>
      </c>
      <c r="H21" s="65">
        <v>9194910</v>
      </c>
      <c r="I21" s="65">
        <v>1521555958</v>
      </c>
      <c r="J21" s="65">
        <v>54226451</v>
      </c>
      <c r="K21" s="65">
        <v>1575782409</v>
      </c>
      <c r="L21" s="66"/>
      <c r="M21" s="66"/>
      <c r="N21" s="67"/>
    </row>
    <row r="22" spans="1:14" s="49" customFormat="1" ht="14.1" customHeight="1">
      <c r="A22" s="1"/>
      <c r="B22" s="59">
        <v>13</v>
      </c>
      <c r="C22" s="60"/>
      <c r="D22" s="61" t="s">
        <v>442</v>
      </c>
      <c r="E22" s="62" t="s">
        <v>647</v>
      </c>
      <c r="F22" s="63" t="s">
        <v>684</v>
      </c>
      <c r="G22" s="64">
        <v>1500000000</v>
      </c>
      <c r="H22" s="65">
        <v>12084430</v>
      </c>
      <c r="I22" s="65">
        <v>1512084430</v>
      </c>
      <c r="J22" s="65">
        <v>54172700</v>
      </c>
      <c r="K22" s="65">
        <v>1566257130</v>
      </c>
      <c r="L22" s="66"/>
      <c r="M22" s="66"/>
      <c r="N22" s="67"/>
    </row>
    <row r="23" spans="1:14" s="49" customFormat="1" ht="14.1" customHeight="1">
      <c r="A23" s="1"/>
      <c r="B23" s="59">
        <v>14</v>
      </c>
      <c r="C23" s="60"/>
      <c r="D23" s="61" t="s">
        <v>443</v>
      </c>
      <c r="E23" s="62" t="s">
        <v>648</v>
      </c>
      <c r="F23" s="63" t="s">
        <v>684</v>
      </c>
      <c r="G23" s="64">
        <v>1500000000</v>
      </c>
      <c r="H23" s="65">
        <v>3975070</v>
      </c>
      <c r="I23" s="65">
        <v>1503975070</v>
      </c>
      <c r="J23" s="65">
        <v>67187168</v>
      </c>
      <c r="K23" s="65">
        <v>1571162238</v>
      </c>
      <c r="L23" s="66"/>
      <c r="M23" s="66"/>
      <c r="N23" s="67"/>
    </row>
    <row r="24" spans="1:14" s="49" customFormat="1" ht="14.1" customHeight="1">
      <c r="A24" s="1"/>
      <c r="B24" s="59">
        <v>15</v>
      </c>
      <c r="C24" s="60"/>
      <c r="D24" s="61" t="s">
        <v>444</v>
      </c>
      <c r="E24" s="62" t="s">
        <v>649</v>
      </c>
      <c r="F24" s="63" t="s">
        <v>684</v>
      </c>
      <c r="G24" s="64">
        <v>1425000000</v>
      </c>
      <c r="H24" s="65">
        <v>292400</v>
      </c>
      <c r="I24" s="65">
        <v>1425292400</v>
      </c>
      <c r="J24" s="65">
        <v>34339381</v>
      </c>
      <c r="K24" s="65">
        <v>1459631781</v>
      </c>
      <c r="L24" s="66"/>
      <c r="M24" s="66"/>
      <c r="N24" s="67"/>
    </row>
    <row r="25" spans="1:14" s="49" customFormat="1" ht="14.1" customHeight="1">
      <c r="A25" s="1"/>
      <c r="B25" s="59">
        <v>16</v>
      </c>
      <c r="C25" s="60"/>
      <c r="D25" s="61" t="s">
        <v>445</v>
      </c>
      <c r="E25" s="62" t="s">
        <v>152</v>
      </c>
      <c r="F25" s="63" t="s">
        <v>683</v>
      </c>
      <c r="G25" s="64">
        <v>1392188685</v>
      </c>
      <c r="H25" s="65">
        <v>9742990</v>
      </c>
      <c r="I25" s="65">
        <v>1401931675</v>
      </c>
      <c r="J25" s="65">
        <v>79285475</v>
      </c>
      <c r="K25" s="65">
        <v>1481217150</v>
      </c>
      <c r="L25" s="66"/>
      <c r="M25" s="66"/>
      <c r="N25" s="67"/>
    </row>
    <row r="26" spans="1:14" s="49" customFormat="1" ht="14.1" customHeight="1">
      <c r="A26" s="1"/>
      <c r="B26" s="59">
        <v>17</v>
      </c>
      <c r="C26" s="60"/>
      <c r="D26" s="61" t="s">
        <v>446</v>
      </c>
      <c r="E26" s="62" t="s">
        <v>152</v>
      </c>
      <c r="F26" s="63" t="s">
        <v>683</v>
      </c>
      <c r="G26" s="64">
        <v>1345880061</v>
      </c>
      <c r="H26" s="65">
        <v>0</v>
      </c>
      <c r="I26" s="65">
        <v>1345880061</v>
      </c>
      <c r="J26" s="65">
        <v>42272643</v>
      </c>
      <c r="K26" s="65">
        <v>1388152704</v>
      </c>
      <c r="L26" s="66"/>
      <c r="M26" s="66"/>
      <c r="N26" s="67"/>
    </row>
    <row r="27" spans="1:14" s="49" customFormat="1" ht="14.1" customHeight="1">
      <c r="A27" s="1"/>
      <c r="B27" s="59">
        <v>18</v>
      </c>
      <c r="C27" s="60"/>
      <c r="D27" s="61" t="s">
        <v>447</v>
      </c>
      <c r="E27" s="62" t="s">
        <v>650</v>
      </c>
      <c r="F27" s="63" t="s">
        <v>684</v>
      </c>
      <c r="G27" s="64">
        <v>1340014686</v>
      </c>
      <c r="H27" s="65">
        <v>4706390</v>
      </c>
      <c r="I27" s="65">
        <v>1344721076</v>
      </c>
      <c r="J27" s="65">
        <v>54936583</v>
      </c>
      <c r="K27" s="65">
        <v>1399657659</v>
      </c>
      <c r="L27" s="66"/>
      <c r="M27" s="66"/>
      <c r="N27" s="67"/>
    </row>
    <row r="28" spans="1:14" s="49" customFormat="1" ht="14.1" customHeight="1">
      <c r="A28" s="1"/>
      <c r="B28" s="59">
        <v>19</v>
      </c>
      <c r="C28" s="60"/>
      <c r="D28" s="61" t="s">
        <v>448</v>
      </c>
      <c r="E28" s="62" t="s">
        <v>651</v>
      </c>
      <c r="F28" s="63" t="s">
        <v>684</v>
      </c>
      <c r="G28" s="64">
        <v>1339335298</v>
      </c>
      <c r="H28" s="65">
        <v>0</v>
      </c>
      <c r="I28" s="65">
        <v>1339335298</v>
      </c>
      <c r="J28" s="65">
        <v>43085278</v>
      </c>
      <c r="K28" s="65">
        <v>1382420576</v>
      </c>
      <c r="L28" s="66"/>
      <c r="M28" s="66"/>
      <c r="N28" s="67"/>
    </row>
    <row r="29" spans="1:14" s="49" customFormat="1" ht="14.1" customHeight="1">
      <c r="A29" s="1"/>
      <c r="B29" s="59">
        <v>20</v>
      </c>
      <c r="C29" s="60"/>
      <c r="D29" s="61" t="s">
        <v>449</v>
      </c>
      <c r="E29" s="62" t="s">
        <v>211</v>
      </c>
      <c r="F29" s="63" t="s">
        <v>683</v>
      </c>
      <c r="G29" s="64">
        <v>999997922</v>
      </c>
      <c r="H29" s="65">
        <v>0</v>
      </c>
      <c r="I29" s="65">
        <v>999997922</v>
      </c>
      <c r="J29" s="65">
        <v>7298754</v>
      </c>
      <c r="K29" s="65">
        <v>1007296676</v>
      </c>
      <c r="L29" s="66"/>
      <c r="M29" s="66"/>
      <c r="N29" s="67"/>
    </row>
    <row r="30" spans="1:14" s="49" customFormat="1" ht="14.1" customHeight="1">
      <c r="A30" s="1"/>
      <c r="B30" s="59">
        <v>21</v>
      </c>
      <c r="C30" s="60"/>
      <c r="D30" s="61" t="s">
        <v>450</v>
      </c>
      <c r="E30" s="62" t="s">
        <v>135</v>
      </c>
      <c r="F30" s="63" t="s">
        <v>683</v>
      </c>
      <c r="G30" s="64">
        <v>993747985</v>
      </c>
      <c r="H30" s="65">
        <v>3784090</v>
      </c>
      <c r="I30" s="65">
        <v>997532075</v>
      </c>
      <c r="J30" s="65">
        <v>78225023</v>
      </c>
      <c r="K30" s="65">
        <v>1075757098</v>
      </c>
      <c r="L30" s="66"/>
      <c r="M30" s="66"/>
      <c r="N30" s="67"/>
    </row>
    <row r="31" spans="1:14" s="49" customFormat="1" ht="14.1" customHeight="1">
      <c r="A31" s="1"/>
      <c r="B31" s="59">
        <v>22</v>
      </c>
      <c r="C31" s="60"/>
      <c r="D31" s="61" t="s">
        <v>451</v>
      </c>
      <c r="E31" s="62" t="s">
        <v>652</v>
      </c>
      <c r="F31" s="63" t="s">
        <v>684</v>
      </c>
      <c r="G31" s="64">
        <v>991112045</v>
      </c>
      <c r="H31" s="65">
        <v>0</v>
      </c>
      <c r="I31" s="65">
        <v>991112045</v>
      </c>
      <c r="J31" s="65">
        <v>76626652</v>
      </c>
      <c r="K31" s="65">
        <v>1067738697</v>
      </c>
      <c r="L31" s="66"/>
      <c r="M31" s="66"/>
      <c r="N31" s="67"/>
    </row>
    <row r="32" spans="1:14" s="49" customFormat="1" ht="14.1" customHeight="1">
      <c r="A32" s="1"/>
      <c r="B32" s="59">
        <v>23</v>
      </c>
      <c r="C32" s="60"/>
      <c r="D32" s="61" t="s">
        <v>452</v>
      </c>
      <c r="E32" s="62" t="s">
        <v>653</v>
      </c>
      <c r="F32" s="63" t="s">
        <v>684</v>
      </c>
      <c r="G32" s="64">
        <v>856000000</v>
      </c>
      <c r="H32" s="65">
        <v>0</v>
      </c>
      <c r="I32" s="65">
        <v>856000000</v>
      </c>
      <c r="J32" s="65">
        <v>16938221</v>
      </c>
      <c r="K32" s="65">
        <v>872938221</v>
      </c>
      <c r="L32" s="66"/>
      <c r="M32" s="66"/>
      <c r="N32" s="67"/>
    </row>
    <row r="33" spans="1:14" s="49" customFormat="1" ht="14.1" customHeight="1">
      <c r="A33" s="1"/>
      <c r="B33" s="59">
        <v>24</v>
      </c>
      <c r="C33" s="60"/>
      <c r="D33" s="61" t="s">
        <v>453</v>
      </c>
      <c r="E33" s="62" t="s">
        <v>109</v>
      </c>
      <c r="F33" s="63" t="s">
        <v>683</v>
      </c>
      <c r="G33" s="64">
        <v>820000000</v>
      </c>
      <c r="H33" s="65">
        <v>7525024</v>
      </c>
      <c r="I33" s="65">
        <v>827525024</v>
      </c>
      <c r="J33" s="65">
        <v>13225114</v>
      </c>
      <c r="K33" s="65">
        <v>840750138</v>
      </c>
      <c r="L33" s="66"/>
      <c r="M33" s="66"/>
      <c r="N33" s="67"/>
    </row>
    <row r="34" spans="1:14" s="49" customFormat="1" ht="14.1" customHeight="1">
      <c r="A34" s="1"/>
      <c r="B34" s="59">
        <v>25</v>
      </c>
      <c r="C34" s="60"/>
      <c r="D34" s="61" t="s">
        <v>454</v>
      </c>
      <c r="E34" s="62" t="s">
        <v>654</v>
      </c>
      <c r="F34" s="63" t="s">
        <v>684</v>
      </c>
      <c r="G34" s="64">
        <v>800000000</v>
      </c>
      <c r="H34" s="65">
        <v>17961571</v>
      </c>
      <c r="I34" s="65">
        <v>817961571</v>
      </c>
      <c r="J34" s="65">
        <v>40991860</v>
      </c>
      <c r="K34" s="65">
        <v>858953431</v>
      </c>
      <c r="L34" s="66"/>
      <c r="M34" s="66"/>
      <c r="N34" s="67"/>
    </row>
    <row r="35" spans="1:14" s="49" customFormat="1" ht="14.1" customHeight="1">
      <c r="A35" s="1"/>
      <c r="B35" s="59">
        <v>26</v>
      </c>
      <c r="C35" s="60"/>
      <c r="D35" s="61" t="s">
        <v>455</v>
      </c>
      <c r="E35" s="62" t="s">
        <v>655</v>
      </c>
      <c r="F35" s="63" t="s">
        <v>684</v>
      </c>
      <c r="G35" s="64">
        <v>762676444</v>
      </c>
      <c r="H35" s="65">
        <v>0</v>
      </c>
      <c r="I35" s="65">
        <v>762676444</v>
      </c>
      <c r="J35" s="65">
        <v>37346896</v>
      </c>
      <c r="K35" s="65">
        <v>800023340</v>
      </c>
      <c r="L35" s="66"/>
      <c r="M35" s="66"/>
      <c r="N35" s="67"/>
    </row>
    <row r="36" spans="1:14" s="49" customFormat="1" ht="14.1" customHeight="1">
      <c r="A36" s="1"/>
      <c r="B36" s="59">
        <v>27</v>
      </c>
      <c r="C36" s="60"/>
      <c r="D36" s="61" t="s">
        <v>456</v>
      </c>
      <c r="E36" s="62" t="s">
        <v>214</v>
      </c>
      <c r="F36" s="63" t="s">
        <v>683</v>
      </c>
      <c r="G36" s="64">
        <v>741000000</v>
      </c>
      <c r="H36" s="65">
        <v>0</v>
      </c>
      <c r="I36" s="65">
        <v>741000000</v>
      </c>
      <c r="J36" s="65">
        <v>31119581</v>
      </c>
      <c r="K36" s="65">
        <v>772119581</v>
      </c>
      <c r="L36" s="66"/>
      <c r="M36" s="66"/>
      <c r="N36" s="67"/>
    </row>
    <row r="37" spans="1:14" s="49" customFormat="1" ht="14.1" customHeight="1">
      <c r="A37" s="1"/>
      <c r="B37" s="59">
        <v>28</v>
      </c>
      <c r="C37" s="60"/>
      <c r="D37" s="61" t="s">
        <v>457</v>
      </c>
      <c r="E37" s="62" t="s">
        <v>656</v>
      </c>
      <c r="F37" s="63" t="s">
        <v>683</v>
      </c>
      <c r="G37" s="64">
        <v>699000000</v>
      </c>
      <c r="H37" s="65">
        <v>0</v>
      </c>
      <c r="I37" s="65">
        <v>699000000</v>
      </c>
      <c r="J37" s="65">
        <v>25956019</v>
      </c>
      <c r="K37" s="65">
        <v>724956019</v>
      </c>
      <c r="L37" s="66"/>
      <c r="M37" s="66"/>
      <c r="N37" s="67"/>
    </row>
    <row r="38" spans="1:14" s="49" customFormat="1" ht="14.1" customHeight="1">
      <c r="A38" s="1"/>
      <c r="B38" s="59">
        <v>29</v>
      </c>
      <c r="C38" s="60"/>
      <c r="D38" s="61" t="s">
        <v>458</v>
      </c>
      <c r="E38" s="62" t="s">
        <v>657</v>
      </c>
      <c r="F38" s="63" t="s">
        <v>683</v>
      </c>
      <c r="G38" s="64">
        <v>646000000</v>
      </c>
      <c r="H38" s="65">
        <v>0</v>
      </c>
      <c r="I38" s="65">
        <v>646000000</v>
      </c>
      <c r="J38" s="65">
        <v>31854589</v>
      </c>
      <c r="K38" s="65">
        <v>677854589</v>
      </c>
      <c r="L38" s="66"/>
      <c r="M38" s="66"/>
      <c r="N38" s="67"/>
    </row>
    <row r="39" spans="1:14" s="49" customFormat="1" ht="14.1" customHeight="1">
      <c r="A39" s="1"/>
      <c r="B39" s="59">
        <v>30</v>
      </c>
      <c r="C39" s="60"/>
      <c r="D39" s="61" t="s">
        <v>459</v>
      </c>
      <c r="E39" s="62" t="s">
        <v>239</v>
      </c>
      <c r="F39" s="63" t="s">
        <v>683</v>
      </c>
      <c r="G39" s="64">
        <v>604638443</v>
      </c>
      <c r="H39" s="65">
        <v>6005530</v>
      </c>
      <c r="I39" s="65">
        <v>610643973</v>
      </c>
      <c r="J39" s="65">
        <v>15775388</v>
      </c>
      <c r="K39" s="65">
        <v>626419361</v>
      </c>
      <c r="L39" s="66"/>
      <c r="M39" s="66"/>
      <c r="N39" s="67"/>
    </row>
    <row r="40" spans="1:14" s="49" customFormat="1" ht="14.1" customHeight="1">
      <c r="A40" s="1"/>
      <c r="B40" s="59">
        <v>31</v>
      </c>
      <c r="C40" s="60"/>
      <c r="D40" s="61" t="s">
        <v>460</v>
      </c>
      <c r="E40" s="62" t="s">
        <v>92</v>
      </c>
      <c r="F40" s="63" t="s">
        <v>683</v>
      </c>
      <c r="G40" s="64">
        <v>600000000</v>
      </c>
      <c r="H40" s="65">
        <v>2147470</v>
      </c>
      <c r="I40" s="65">
        <v>602147470</v>
      </c>
      <c r="J40" s="65">
        <v>20633846</v>
      </c>
      <c r="K40" s="65">
        <v>622781316</v>
      </c>
      <c r="L40" s="66"/>
      <c r="M40" s="66"/>
      <c r="N40" s="67"/>
    </row>
    <row r="41" spans="1:14" s="49" customFormat="1" ht="14.1" customHeight="1">
      <c r="A41" s="1"/>
      <c r="B41" s="59">
        <v>32</v>
      </c>
      <c r="C41" s="60"/>
      <c r="D41" s="61" t="s">
        <v>461</v>
      </c>
      <c r="E41" s="62" t="s">
        <v>658</v>
      </c>
      <c r="F41" s="63" t="s">
        <v>684</v>
      </c>
      <c r="G41" s="64">
        <v>588696047</v>
      </c>
      <c r="H41" s="65">
        <v>0</v>
      </c>
      <c r="I41" s="65">
        <v>588696047</v>
      </c>
      <c r="J41" s="65">
        <v>17489158</v>
      </c>
      <c r="K41" s="65">
        <v>606185205</v>
      </c>
      <c r="L41" s="66"/>
      <c r="M41" s="66"/>
      <c r="N41" s="67"/>
    </row>
    <row r="42" spans="1:14" s="49" customFormat="1" ht="14.1" customHeight="1">
      <c r="A42" s="1"/>
      <c r="B42" s="59">
        <v>33</v>
      </c>
      <c r="C42" s="60"/>
      <c r="D42" s="61" t="s">
        <v>462</v>
      </c>
      <c r="E42" s="62" t="s">
        <v>659</v>
      </c>
      <c r="F42" s="63" t="s">
        <v>684</v>
      </c>
      <c r="G42" s="64">
        <v>559000000</v>
      </c>
      <c r="H42" s="65">
        <v>5945325</v>
      </c>
      <c r="I42" s="65">
        <v>564945325</v>
      </c>
      <c r="J42" s="65">
        <v>29030926</v>
      </c>
      <c r="K42" s="65">
        <v>593976251</v>
      </c>
      <c r="L42" s="66"/>
      <c r="M42" s="66"/>
      <c r="N42" s="67"/>
    </row>
    <row r="43" spans="1:14" s="49" customFormat="1" ht="14.1" customHeight="1">
      <c r="A43" s="1"/>
      <c r="B43" s="59">
        <v>34</v>
      </c>
      <c r="C43" s="60"/>
      <c r="D43" s="61" t="s">
        <v>463</v>
      </c>
      <c r="E43" s="62" t="s">
        <v>152</v>
      </c>
      <c r="F43" s="63" t="s">
        <v>683</v>
      </c>
      <c r="G43" s="64">
        <v>554413715</v>
      </c>
      <c r="H43" s="65">
        <v>1603140</v>
      </c>
      <c r="I43" s="65">
        <v>556016855</v>
      </c>
      <c r="J43" s="65">
        <v>14055798</v>
      </c>
      <c r="K43" s="65">
        <v>570072653</v>
      </c>
      <c r="L43" s="66"/>
      <c r="M43" s="66"/>
      <c r="N43" s="67"/>
    </row>
    <row r="44" spans="1:14" s="49" customFormat="1" ht="14.1" customHeight="1">
      <c r="A44" s="1"/>
      <c r="B44" s="59">
        <v>35</v>
      </c>
      <c r="C44" s="60"/>
      <c r="D44" s="61" t="s">
        <v>464</v>
      </c>
      <c r="E44" s="62" t="s">
        <v>130</v>
      </c>
      <c r="F44" s="63" t="s">
        <v>683</v>
      </c>
      <c r="G44" s="64">
        <v>538998916</v>
      </c>
      <c r="H44" s="65">
        <v>0</v>
      </c>
      <c r="I44" s="65">
        <v>538998916</v>
      </c>
      <c r="J44" s="65">
        <v>23484040</v>
      </c>
      <c r="K44" s="65">
        <v>562482956</v>
      </c>
      <c r="L44" s="66"/>
      <c r="M44" s="66"/>
      <c r="N44" s="67"/>
    </row>
    <row r="45" spans="1:14" s="49" customFormat="1" ht="14.1" customHeight="1">
      <c r="A45" s="1"/>
      <c r="B45" s="59">
        <v>36</v>
      </c>
      <c r="C45" s="60"/>
      <c r="D45" s="61" t="s">
        <v>465</v>
      </c>
      <c r="E45" s="62" t="s">
        <v>175</v>
      </c>
      <c r="F45" s="63" t="s">
        <v>683</v>
      </c>
      <c r="G45" s="64">
        <v>534998788</v>
      </c>
      <c r="H45" s="65">
        <v>1962180</v>
      </c>
      <c r="I45" s="65">
        <v>536960968</v>
      </c>
      <c r="J45" s="65">
        <v>14734354</v>
      </c>
      <c r="K45" s="65">
        <v>551695322</v>
      </c>
      <c r="L45" s="66"/>
      <c r="M45" s="66"/>
      <c r="N45" s="67"/>
    </row>
    <row r="46" spans="1:14" s="49" customFormat="1" ht="14.1" customHeight="1">
      <c r="A46" s="1"/>
      <c r="B46" s="59">
        <v>37</v>
      </c>
      <c r="C46" s="60"/>
      <c r="D46" s="61" t="s">
        <v>466</v>
      </c>
      <c r="E46" s="62" t="s">
        <v>152</v>
      </c>
      <c r="F46" s="63" t="s">
        <v>683</v>
      </c>
      <c r="G46" s="64">
        <v>525100000</v>
      </c>
      <c r="H46" s="65">
        <v>5598580</v>
      </c>
      <c r="I46" s="65">
        <v>530698580</v>
      </c>
      <c r="J46" s="65">
        <v>25302141</v>
      </c>
      <c r="K46" s="65">
        <v>556000721</v>
      </c>
      <c r="L46" s="66"/>
      <c r="M46" s="66"/>
      <c r="N46" s="67"/>
    </row>
    <row r="47" spans="1:14" s="49" customFormat="1" ht="14.1" customHeight="1">
      <c r="A47" s="1"/>
      <c r="B47" s="59">
        <v>38</v>
      </c>
      <c r="C47" s="60"/>
      <c r="D47" s="61" t="s">
        <v>467</v>
      </c>
      <c r="E47" s="62" t="s">
        <v>175</v>
      </c>
      <c r="F47" s="63" t="s">
        <v>683</v>
      </c>
      <c r="G47" s="64">
        <v>508888990</v>
      </c>
      <c r="H47" s="65">
        <v>0</v>
      </c>
      <c r="I47" s="65">
        <v>508888990</v>
      </c>
      <c r="J47" s="65">
        <v>13978013</v>
      </c>
      <c r="K47" s="65">
        <v>522867003</v>
      </c>
      <c r="L47" s="66"/>
      <c r="M47" s="66"/>
      <c r="N47" s="67"/>
    </row>
    <row r="48" spans="1:14" s="49" customFormat="1" ht="14.1" customHeight="1">
      <c r="A48" s="1"/>
      <c r="B48" s="59">
        <v>39</v>
      </c>
      <c r="C48" s="60"/>
      <c r="D48" s="61" t="s">
        <v>468</v>
      </c>
      <c r="E48" s="62" t="s">
        <v>138</v>
      </c>
      <c r="F48" s="63" t="s">
        <v>683</v>
      </c>
      <c r="G48" s="64">
        <v>502166510</v>
      </c>
      <c r="H48" s="65">
        <v>1887210</v>
      </c>
      <c r="I48" s="65">
        <v>504053720</v>
      </c>
      <c r="J48" s="65">
        <v>19510946</v>
      </c>
      <c r="K48" s="65">
        <v>523564666</v>
      </c>
      <c r="L48" s="66"/>
      <c r="M48" s="66"/>
      <c r="N48" s="67"/>
    </row>
    <row r="49" spans="1:14" s="49" customFormat="1" ht="14.1" customHeight="1">
      <c r="A49" s="1"/>
      <c r="B49" s="59">
        <v>40</v>
      </c>
      <c r="C49" s="60"/>
      <c r="D49" s="61" t="s">
        <v>469</v>
      </c>
      <c r="E49" s="62" t="s">
        <v>234</v>
      </c>
      <c r="F49" s="63" t="s">
        <v>683</v>
      </c>
      <c r="G49" s="64">
        <v>500000000</v>
      </c>
      <c r="H49" s="65">
        <v>0</v>
      </c>
      <c r="I49" s="65">
        <v>500000000</v>
      </c>
      <c r="J49" s="65">
        <v>9143303</v>
      </c>
      <c r="K49" s="65">
        <v>509143303</v>
      </c>
      <c r="L49" s="66"/>
      <c r="M49" s="66"/>
      <c r="N49" s="67"/>
    </row>
    <row r="50" spans="1:14" s="49" customFormat="1" ht="14.1" customHeight="1">
      <c r="A50" s="1"/>
      <c r="B50" s="59">
        <v>41</v>
      </c>
      <c r="C50" s="60"/>
      <c r="D50" s="61" t="s">
        <v>470</v>
      </c>
      <c r="E50" s="62" t="s">
        <v>168</v>
      </c>
      <c r="F50" s="63" t="s">
        <v>683</v>
      </c>
      <c r="G50" s="64">
        <v>497999610</v>
      </c>
      <c r="H50" s="65">
        <v>5347730</v>
      </c>
      <c r="I50" s="65">
        <v>503347340</v>
      </c>
      <c r="J50" s="65">
        <v>13411490</v>
      </c>
      <c r="K50" s="65">
        <v>516758830</v>
      </c>
      <c r="L50" s="66"/>
      <c r="M50" s="66"/>
      <c r="N50" s="67"/>
    </row>
    <row r="51" spans="1:14" s="49" customFormat="1" ht="14.1" customHeight="1">
      <c r="A51" s="1"/>
      <c r="B51" s="59">
        <v>42</v>
      </c>
      <c r="C51" s="60"/>
      <c r="D51" s="61" t="s">
        <v>471</v>
      </c>
      <c r="E51" s="62" t="s">
        <v>130</v>
      </c>
      <c r="F51" s="63" t="s">
        <v>683</v>
      </c>
      <c r="G51" s="64">
        <v>487000000</v>
      </c>
      <c r="H51" s="65">
        <v>5340770</v>
      </c>
      <c r="I51" s="65">
        <v>492340770</v>
      </c>
      <c r="J51" s="65">
        <v>20523645</v>
      </c>
      <c r="K51" s="65">
        <v>512864415</v>
      </c>
      <c r="L51" s="66"/>
      <c r="M51" s="66"/>
      <c r="N51" s="67"/>
    </row>
    <row r="52" spans="1:14" s="49" customFormat="1" ht="14.1" customHeight="1">
      <c r="A52" s="1"/>
      <c r="B52" s="59">
        <v>43</v>
      </c>
      <c r="C52" s="60"/>
      <c r="D52" s="61" t="s">
        <v>472</v>
      </c>
      <c r="E52" s="62" t="s">
        <v>152</v>
      </c>
      <c r="F52" s="63" t="s">
        <v>683</v>
      </c>
      <c r="G52" s="64">
        <v>482800000</v>
      </c>
      <c r="H52" s="65">
        <v>0</v>
      </c>
      <c r="I52" s="65">
        <v>482800000</v>
      </c>
      <c r="J52" s="65">
        <v>8812771</v>
      </c>
      <c r="K52" s="65">
        <v>491612771</v>
      </c>
      <c r="L52" s="66"/>
      <c r="M52" s="66"/>
      <c r="N52" s="67"/>
    </row>
    <row r="53" spans="1:14" s="49" customFormat="1" ht="14.1" customHeight="1">
      <c r="A53" s="1"/>
      <c r="B53" s="59">
        <v>44</v>
      </c>
      <c r="C53" s="60"/>
      <c r="D53" s="61" t="s">
        <v>473</v>
      </c>
      <c r="E53" s="62" t="s">
        <v>137</v>
      </c>
      <c r="F53" s="63" t="s">
        <v>683</v>
      </c>
      <c r="G53" s="64">
        <v>480000000</v>
      </c>
      <c r="H53" s="65">
        <v>0</v>
      </c>
      <c r="I53" s="65">
        <v>480000000</v>
      </c>
      <c r="J53" s="65">
        <v>14012155</v>
      </c>
      <c r="K53" s="65">
        <v>494012155</v>
      </c>
      <c r="L53" s="66"/>
      <c r="M53" s="66"/>
      <c r="N53" s="67"/>
    </row>
    <row r="54" spans="1:14" s="49" customFormat="1" ht="14.1" customHeight="1">
      <c r="A54" s="1"/>
      <c r="B54" s="59">
        <v>45</v>
      </c>
      <c r="C54" s="60"/>
      <c r="D54" s="61" t="s">
        <v>474</v>
      </c>
      <c r="E54" s="62" t="s">
        <v>175</v>
      </c>
      <c r="F54" s="63" t="s">
        <v>683</v>
      </c>
      <c r="G54" s="64">
        <v>477862876</v>
      </c>
      <c r="H54" s="65">
        <v>0</v>
      </c>
      <c r="I54" s="65">
        <v>477862876</v>
      </c>
      <c r="J54" s="65">
        <v>23085407</v>
      </c>
      <c r="K54" s="65">
        <v>500948283</v>
      </c>
      <c r="L54" s="66"/>
      <c r="M54" s="66"/>
      <c r="N54" s="67"/>
    </row>
    <row r="55" spans="1:14" s="49" customFormat="1" ht="14.1" customHeight="1">
      <c r="A55" s="1"/>
      <c r="B55" s="59">
        <v>46</v>
      </c>
      <c r="C55" s="60"/>
      <c r="D55" s="61" t="s">
        <v>475</v>
      </c>
      <c r="E55" s="62" t="s">
        <v>175</v>
      </c>
      <c r="F55" s="63" t="s">
        <v>683</v>
      </c>
      <c r="G55" s="64">
        <v>444800000</v>
      </c>
      <c r="H55" s="65">
        <v>19834226</v>
      </c>
      <c r="I55" s="65">
        <v>464634226</v>
      </c>
      <c r="J55" s="65">
        <v>6856202</v>
      </c>
      <c r="K55" s="65">
        <v>471490428</v>
      </c>
      <c r="L55" s="66"/>
      <c r="M55" s="66"/>
      <c r="N55" s="67"/>
    </row>
    <row r="56" spans="1:14" s="49" customFormat="1" ht="14.1" customHeight="1">
      <c r="A56" s="1"/>
      <c r="B56" s="59">
        <v>47</v>
      </c>
      <c r="C56" s="60"/>
      <c r="D56" s="61" t="s">
        <v>476</v>
      </c>
      <c r="E56" s="62" t="s">
        <v>168</v>
      </c>
      <c r="F56" s="63" t="s">
        <v>683</v>
      </c>
      <c r="G56" s="64">
        <v>460000000</v>
      </c>
      <c r="H56" s="65">
        <v>0</v>
      </c>
      <c r="I56" s="65">
        <v>460000000</v>
      </c>
      <c r="J56" s="65">
        <v>34333694</v>
      </c>
      <c r="K56" s="65">
        <v>494333694</v>
      </c>
      <c r="L56" s="66"/>
      <c r="M56" s="66"/>
      <c r="N56" s="67"/>
    </row>
    <row r="57" spans="1:14" s="49" customFormat="1" ht="14.1" customHeight="1">
      <c r="A57" s="1"/>
      <c r="B57" s="59">
        <v>48</v>
      </c>
      <c r="C57" s="60"/>
      <c r="D57" s="61" t="s">
        <v>477</v>
      </c>
      <c r="E57" s="62" t="s">
        <v>148</v>
      </c>
      <c r="F57" s="63" t="s">
        <v>683</v>
      </c>
      <c r="G57" s="64">
        <v>455500000</v>
      </c>
      <c r="H57" s="65">
        <v>0</v>
      </c>
      <c r="I57" s="65">
        <v>455500000</v>
      </c>
      <c r="J57" s="65">
        <v>12112300</v>
      </c>
      <c r="K57" s="65">
        <v>467612300</v>
      </c>
      <c r="L57" s="66"/>
      <c r="M57" s="66"/>
      <c r="N57" s="67"/>
    </row>
    <row r="58" spans="1:14" s="49" customFormat="1" ht="14.1" customHeight="1">
      <c r="A58" s="1"/>
      <c r="B58" s="59">
        <v>49</v>
      </c>
      <c r="C58" s="60"/>
      <c r="D58" s="61" t="s">
        <v>478</v>
      </c>
      <c r="E58" s="62" t="s">
        <v>109</v>
      </c>
      <c r="F58" s="63" t="s">
        <v>683</v>
      </c>
      <c r="G58" s="64">
        <v>450000000</v>
      </c>
      <c r="H58" s="65">
        <v>5203721</v>
      </c>
      <c r="I58" s="65">
        <v>455203721</v>
      </c>
      <c r="J58" s="65">
        <v>15916339</v>
      </c>
      <c r="K58" s="65">
        <v>471120060</v>
      </c>
      <c r="L58" s="66"/>
      <c r="M58" s="66"/>
      <c r="N58" s="67"/>
    </row>
    <row r="59" spans="1:14" s="49" customFormat="1" ht="14.1" customHeight="1">
      <c r="A59" s="1"/>
      <c r="B59" s="59">
        <v>50</v>
      </c>
      <c r="C59" s="60"/>
      <c r="D59" s="61" t="s">
        <v>479</v>
      </c>
      <c r="E59" s="62" t="s">
        <v>109</v>
      </c>
      <c r="F59" s="63" t="s">
        <v>683</v>
      </c>
      <c r="G59" s="64">
        <v>444700000</v>
      </c>
      <c r="H59" s="65">
        <v>5070190</v>
      </c>
      <c r="I59" s="65">
        <v>449770190</v>
      </c>
      <c r="J59" s="65">
        <v>18268679</v>
      </c>
      <c r="K59" s="65">
        <v>468038869</v>
      </c>
      <c r="L59" s="66"/>
      <c r="M59" s="66"/>
      <c r="N59" s="67"/>
    </row>
    <row r="60" spans="1:14" s="49" customFormat="1" ht="14.1" customHeight="1">
      <c r="A60" s="1"/>
      <c r="B60" s="59">
        <v>51</v>
      </c>
      <c r="C60" s="60"/>
      <c r="D60" s="61" t="s">
        <v>480</v>
      </c>
      <c r="E60" s="62" t="s">
        <v>660</v>
      </c>
      <c r="F60" s="63" t="s">
        <v>684</v>
      </c>
      <c r="G60" s="64">
        <v>447675511</v>
      </c>
      <c r="H60" s="65">
        <v>0</v>
      </c>
      <c r="I60" s="65">
        <v>447675511</v>
      </c>
      <c r="J60" s="65">
        <v>25314003</v>
      </c>
      <c r="K60" s="65">
        <v>472989514</v>
      </c>
      <c r="L60" s="66"/>
      <c r="M60" s="66"/>
      <c r="N60" s="67"/>
    </row>
    <row r="61" spans="1:14" s="49" customFormat="1" ht="14.1" customHeight="1">
      <c r="A61" s="1"/>
      <c r="B61" s="59">
        <v>52</v>
      </c>
      <c r="C61" s="60"/>
      <c r="D61" s="61" t="s">
        <v>481</v>
      </c>
      <c r="E61" s="62" t="s">
        <v>109</v>
      </c>
      <c r="F61" s="63" t="s">
        <v>683</v>
      </c>
      <c r="G61" s="64">
        <v>445000000</v>
      </c>
      <c r="H61" s="65">
        <v>0</v>
      </c>
      <c r="I61" s="65">
        <v>445000000</v>
      </c>
      <c r="J61" s="65">
        <v>8123708</v>
      </c>
      <c r="K61" s="65">
        <v>453123708</v>
      </c>
      <c r="L61" s="66"/>
      <c r="M61" s="66"/>
      <c r="N61" s="67"/>
    </row>
    <row r="62" spans="1:14" s="49" customFormat="1" ht="14.1" customHeight="1">
      <c r="A62" s="1"/>
      <c r="B62" s="59">
        <v>53</v>
      </c>
      <c r="C62" s="60"/>
      <c r="D62" s="61" t="s">
        <v>482</v>
      </c>
      <c r="E62" s="62" t="s">
        <v>109</v>
      </c>
      <c r="F62" s="63" t="s">
        <v>683</v>
      </c>
      <c r="G62" s="64">
        <v>438900000</v>
      </c>
      <c r="H62" s="65">
        <v>5216281</v>
      </c>
      <c r="I62" s="65">
        <v>444116281</v>
      </c>
      <c r="J62" s="65">
        <v>11852991</v>
      </c>
      <c r="K62" s="65">
        <v>455969272</v>
      </c>
      <c r="L62" s="66"/>
      <c r="M62" s="66"/>
      <c r="N62" s="67"/>
    </row>
    <row r="63" spans="1:14" s="49" customFormat="1" ht="14.1" customHeight="1">
      <c r="A63" s="1"/>
      <c r="B63" s="59">
        <v>54</v>
      </c>
      <c r="C63" s="60"/>
      <c r="D63" s="61" t="s">
        <v>483</v>
      </c>
      <c r="E63" s="62" t="s">
        <v>661</v>
      </c>
      <c r="F63" s="63" t="s">
        <v>683</v>
      </c>
      <c r="G63" s="64">
        <v>437000000</v>
      </c>
      <c r="H63" s="65">
        <v>4971150</v>
      </c>
      <c r="I63" s="65">
        <v>441971150</v>
      </c>
      <c r="J63" s="65">
        <v>18918776</v>
      </c>
      <c r="K63" s="65">
        <v>460889926</v>
      </c>
      <c r="L63" s="66"/>
      <c r="M63" s="66"/>
      <c r="N63" s="67"/>
    </row>
    <row r="64" spans="1:14" s="49" customFormat="1" ht="14.1" customHeight="1">
      <c r="A64" s="1"/>
      <c r="B64" s="59">
        <v>55</v>
      </c>
      <c r="C64" s="60"/>
      <c r="D64" s="61" t="s">
        <v>484</v>
      </c>
      <c r="E64" s="62" t="s">
        <v>152</v>
      </c>
      <c r="F64" s="63" t="s">
        <v>683</v>
      </c>
      <c r="G64" s="64">
        <v>424175135</v>
      </c>
      <c r="H64" s="65">
        <v>5119587</v>
      </c>
      <c r="I64" s="65">
        <v>429294722</v>
      </c>
      <c r="J64" s="65">
        <v>7697841</v>
      </c>
      <c r="K64" s="65">
        <v>436992563</v>
      </c>
      <c r="L64" s="66"/>
      <c r="M64" s="66"/>
      <c r="N64" s="67"/>
    </row>
    <row r="65" spans="1:14" s="49" customFormat="1" ht="14.1" customHeight="1">
      <c r="A65" s="1"/>
      <c r="B65" s="59">
        <v>56</v>
      </c>
      <c r="C65" s="60"/>
      <c r="D65" s="61" t="s">
        <v>485</v>
      </c>
      <c r="E65" s="62" t="s">
        <v>202</v>
      </c>
      <c r="F65" s="63" t="s">
        <v>683</v>
      </c>
      <c r="G65" s="64">
        <v>418130013</v>
      </c>
      <c r="H65" s="65">
        <v>5082820</v>
      </c>
      <c r="I65" s="65">
        <v>423212833</v>
      </c>
      <c r="J65" s="65">
        <v>16023052</v>
      </c>
      <c r="K65" s="65">
        <v>439235885</v>
      </c>
      <c r="L65" s="66"/>
      <c r="M65" s="66"/>
      <c r="N65" s="67"/>
    </row>
    <row r="66" spans="1:14" s="49" customFormat="1" ht="14.1" customHeight="1">
      <c r="A66" s="1"/>
      <c r="B66" s="59">
        <v>57</v>
      </c>
      <c r="C66" s="60"/>
      <c r="D66" s="61" t="s">
        <v>486</v>
      </c>
      <c r="E66" s="62" t="s">
        <v>183</v>
      </c>
      <c r="F66" s="63" t="s">
        <v>683</v>
      </c>
      <c r="G66" s="64">
        <v>410000000</v>
      </c>
      <c r="H66" s="65">
        <v>2993252</v>
      </c>
      <c r="I66" s="65">
        <v>412993252</v>
      </c>
      <c r="J66" s="65">
        <v>26208736</v>
      </c>
      <c r="K66" s="65">
        <v>439201988</v>
      </c>
      <c r="L66" s="66"/>
      <c r="M66" s="66"/>
      <c r="N66" s="67"/>
    </row>
    <row r="67" spans="1:14" s="49" customFormat="1" ht="14.1" customHeight="1">
      <c r="A67" s="1"/>
      <c r="B67" s="59">
        <v>58</v>
      </c>
      <c r="C67" s="60"/>
      <c r="D67" s="61" t="s">
        <v>487</v>
      </c>
      <c r="E67" s="62" t="s">
        <v>208</v>
      </c>
      <c r="F67" s="63" t="s">
        <v>683</v>
      </c>
      <c r="G67" s="64">
        <v>396757282</v>
      </c>
      <c r="H67" s="65">
        <v>27282515</v>
      </c>
      <c r="I67" s="65">
        <v>424039797</v>
      </c>
      <c r="J67" s="65">
        <v>9368586</v>
      </c>
      <c r="K67" s="65">
        <v>433408383</v>
      </c>
      <c r="L67" s="66"/>
      <c r="M67" s="66"/>
      <c r="N67" s="67"/>
    </row>
    <row r="68" spans="1:14" s="49" customFormat="1" ht="14.1" customHeight="1">
      <c r="A68" s="1"/>
      <c r="B68" s="59">
        <v>59</v>
      </c>
      <c r="C68" s="60"/>
      <c r="D68" s="61" t="s">
        <v>488</v>
      </c>
      <c r="E68" s="62" t="s">
        <v>662</v>
      </c>
      <c r="F68" s="63" t="s">
        <v>684</v>
      </c>
      <c r="G68" s="64">
        <v>385000000</v>
      </c>
      <c r="H68" s="65">
        <v>4666170</v>
      </c>
      <c r="I68" s="65">
        <v>389666170</v>
      </c>
      <c r="J68" s="65">
        <v>11252750</v>
      </c>
      <c r="K68" s="65">
        <v>400918920</v>
      </c>
      <c r="L68" s="66"/>
      <c r="M68" s="66"/>
      <c r="N68" s="67"/>
    </row>
    <row r="69" spans="1:14" s="49" customFormat="1" ht="14.1" customHeight="1">
      <c r="A69" s="1"/>
      <c r="B69" s="59">
        <v>60</v>
      </c>
      <c r="C69" s="60"/>
      <c r="D69" s="61" t="s">
        <v>489</v>
      </c>
      <c r="E69" s="62" t="s">
        <v>130</v>
      </c>
      <c r="F69" s="63" t="s">
        <v>683</v>
      </c>
      <c r="G69" s="64">
        <v>282400000</v>
      </c>
      <c r="H69" s="65">
        <v>0</v>
      </c>
      <c r="I69" s="65">
        <v>282400000</v>
      </c>
      <c r="J69" s="65">
        <v>5655439</v>
      </c>
      <c r="K69" s="65">
        <v>288055439</v>
      </c>
      <c r="L69" s="66"/>
      <c r="M69" s="66"/>
      <c r="N69" s="67"/>
    </row>
    <row r="70" spans="1:14" s="49" customFormat="1" ht="14.1" customHeight="1">
      <c r="A70" s="1"/>
      <c r="B70" s="59">
        <v>61</v>
      </c>
      <c r="C70" s="60"/>
      <c r="D70" s="61" t="s">
        <v>490</v>
      </c>
      <c r="E70" s="62" t="s">
        <v>152</v>
      </c>
      <c r="F70" s="63" t="s">
        <v>683</v>
      </c>
      <c r="G70" s="64">
        <v>365709878</v>
      </c>
      <c r="H70" s="65">
        <v>4908054</v>
      </c>
      <c r="I70" s="65">
        <v>370617932</v>
      </c>
      <c r="J70" s="65">
        <v>14734270</v>
      </c>
      <c r="K70" s="65">
        <v>385352202</v>
      </c>
      <c r="L70" s="66"/>
      <c r="M70" s="66"/>
      <c r="N70" s="67"/>
    </row>
    <row r="71" spans="1:14" s="49" customFormat="1" ht="14.1" customHeight="1">
      <c r="A71" s="1"/>
      <c r="B71" s="59">
        <v>62</v>
      </c>
      <c r="C71" s="60"/>
      <c r="D71" s="61" t="s">
        <v>491</v>
      </c>
      <c r="E71" s="62" t="s">
        <v>152</v>
      </c>
      <c r="F71" s="63" t="s">
        <v>683</v>
      </c>
      <c r="G71" s="64">
        <v>357000000</v>
      </c>
      <c r="H71" s="65">
        <v>4711606</v>
      </c>
      <c r="I71" s="65">
        <v>361711606</v>
      </c>
      <c r="J71" s="65">
        <v>13011669</v>
      </c>
      <c r="K71" s="65">
        <v>374723275</v>
      </c>
      <c r="L71" s="66"/>
      <c r="M71" s="66"/>
      <c r="N71" s="67"/>
    </row>
    <row r="72" spans="1:14" s="49" customFormat="1" ht="14.1" customHeight="1">
      <c r="A72" s="1"/>
      <c r="B72" s="59">
        <v>63</v>
      </c>
      <c r="C72" s="60"/>
      <c r="D72" s="61" t="s">
        <v>492</v>
      </c>
      <c r="E72" s="62" t="s">
        <v>663</v>
      </c>
      <c r="F72" s="63" t="s">
        <v>683</v>
      </c>
      <c r="G72" s="64">
        <v>350000000</v>
      </c>
      <c r="H72" s="65">
        <v>4494803</v>
      </c>
      <c r="I72" s="65">
        <v>354494803</v>
      </c>
      <c r="J72" s="65">
        <v>7697444</v>
      </c>
      <c r="K72" s="65">
        <v>362192247</v>
      </c>
      <c r="L72" s="66"/>
      <c r="M72" s="66"/>
      <c r="N72" s="67"/>
    </row>
    <row r="73" spans="1:14" s="49" customFormat="1" ht="14.1" customHeight="1">
      <c r="A73" s="1"/>
      <c r="B73" s="59">
        <v>64</v>
      </c>
      <c r="C73" s="60"/>
      <c r="D73" s="61" t="s">
        <v>493</v>
      </c>
      <c r="E73" s="62" t="s">
        <v>214</v>
      </c>
      <c r="F73" s="63" t="s">
        <v>683</v>
      </c>
      <c r="G73" s="64">
        <v>350000000</v>
      </c>
      <c r="H73" s="65">
        <v>0</v>
      </c>
      <c r="I73" s="65">
        <v>350000000</v>
      </c>
      <c r="J73" s="65">
        <v>20265914</v>
      </c>
      <c r="K73" s="65">
        <v>370265914</v>
      </c>
      <c r="L73" s="66"/>
      <c r="M73" s="66"/>
      <c r="N73" s="67"/>
    </row>
    <row r="74" spans="1:14" s="49" customFormat="1" ht="14.1" customHeight="1">
      <c r="A74" s="1"/>
      <c r="B74" s="59">
        <v>65</v>
      </c>
      <c r="C74" s="60"/>
      <c r="D74" s="61" t="s">
        <v>494</v>
      </c>
      <c r="E74" s="62" t="s">
        <v>109</v>
      </c>
      <c r="F74" s="63" t="s">
        <v>683</v>
      </c>
      <c r="G74" s="64">
        <v>339850000</v>
      </c>
      <c r="H74" s="65">
        <v>4466690</v>
      </c>
      <c r="I74" s="65">
        <v>344316690</v>
      </c>
      <c r="J74" s="65">
        <v>19478210</v>
      </c>
      <c r="K74" s="65">
        <v>363794900</v>
      </c>
      <c r="L74" s="66"/>
      <c r="M74" s="66"/>
      <c r="N74" s="67"/>
    </row>
    <row r="75" spans="1:14" s="49" customFormat="1" ht="14.1" customHeight="1">
      <c r="A75" s="1"/>
      <c r="B75" s="59">
        <v>66</v>
      </c>
      <c r="C75" s="60"/>
      <c r="D75" s="61" t="s">
        <v>495</v>
      </c>
      <c r="E75" s="62" t="s">
        <v>109</v>
      </c>
      <c r="F75" s="63" t="s">
        <v>683</v>
      </c>
      <c r="G75" s="64">
        <v>337736567</v>
      </c>
      <c r="H75" s="65">
        <v>0</v>
      </c>
      <c r="I75" s="65">
        <v>337736567</v>
      </c>
      <c r="J75" s="65">
        <v>6661164</v>
      </c>
      <c r="K75" s="65">
        <v>344397731</v>
      </c>
      <c r="L75" s="66"/>
      <c r="M75" s="66"/>
      <c r="N75" s="67"/>
    </row>
    <row r="76" spans="1:14" s="49" customFormat="1" ht="14.1" customHeight="1">
      <c r="A76" s="1"/>
      <c r="B76" s="59">
        <v>67</v>
      </c>
      <c r="C76" s="60"/>
      <c r="D76" s="61" t="s">
        <v>496</v>
      </c>
      <c r="E76" s="62" t="s">
        <v>194</v>
      </c>
      <c r="F76" s="63" t="s">
        <v>683</v>
      </c>
      <c r="G76" s="64">
        <v>334500000</v>
      </c>
      <c r="H76" s="65">
        <v>0</v>
      </c>
      <c r="I76" s="65">
        <v>334500000</v>
      </c>
      <c r="J76" s="65">
        <v>6764543</v>
      </c>
      <c r="K76" s="65">
        <v>341264543</v>
      </c>
      <c r="L76" s="66"/>
      <c r="M76" s="66"/>
      <c r="N76" s="67"/>
    </row>
    <row r="77" spans="1:14" s="49" customFormat="1" ht="14.1" customHeight="1">
      <c r="A77" s="1"/>
      <c r="B77" s="59">
        <v>68</v>
      </c>
      <c r="C77" s="60"/>
      <c r="D77" s="61" t="s">
        <v>497</v>
      </c>
      <c r="E77" s="62" t="s">
        <v>175</v>
      </c>
      <c r="F77" s="63" t="s">
        <v>683</v>
      </c>
      <c r="G77" s="64">
        <v>332172310</v>
      </c>
      <c r="H77" s="65">
        <v>0</v>
      </c>
      <c r="I77" s="65">
        <v>332172310</v>
      </c>
      <c r="J77" s="65">
        <v>8283579</v>
      </c>
      <c r="K77" s="65">
        <v>340455889</v>
      </c>
      <c r="L77" s="66"/>
      <c r="M77" s="66"/>
      <c r="N77" s="67"/>
    </row>
    <row r="78" spans="1:14" s="49" customFormat="1" ht="14.1" customHeight="1">
      <c r="A78" s="1"/>
      <c r="B78" s="59">
        <v>69</v>
      </c>
      <c r="C78" s="60"/>
      <c r="D78" s="61" t="s">
        <v>498</v>
      </c>
      <c r="E78" s="62" t="s">
        <v>183</v>
      </c>
      <c r="F78" s="63" t="s">
        <v>683</v>
      </c>
      <c r="G78" s="64">
        <v>321800000</v>
      </c>
      <c r="H78" s="65">
        <v>4198815</v>
      </c>
      <c r="I78" s="65">
        <v>325998815</v>
      </c>
      <c r="J78" s="65">
        <v>12049316</v>
      </c>
      <c r="K78" s="65">
        <v>338048131</v>
      </c>
      <c r="L78" s="66"/>
      <c r="M78" s="66"/>
      <c r="N78" s="67"/>
    </row>
    <row r="79" spans="1:14" s="49" customFormat="1" ht="14.1" customHeight="1">
      <c r="A79" s="1"/>
      <c r="B79" s="59">
        <v>70</v>
      </c>
      <c r="C79" s="60"/>
      <c r="D79" s="61" t="s">
        <v>499</v>
      </c>
      <c r="E79" s="62" t="s">
        <v>109</v>
      </c>
      <c r="F79" s="63" t="s">
        <v>683</v>
      </c>
      <c r="G79" s="64">
        <v>320000000</v>
      </c>
      <c r="H79" s="65">
        <v>4439297</v>
      </c>
      <c r="I79" s="65">
        <v>324439297</v>
      </c>
      <c r="J79" s="65">
        <v>29247226</v>
      </c>
      <c r="K79" s="65">
        <v>353686523</v>
      </c>
      <c r="L79" s="66"/>
      <c r="M79" s="66"/>
      <c r="N79" s="67"/>
    </row>
    <row r="80" spans="1:14" s="49" customFormat="1" ht="14.1" customHeight="1">
      <c r="A80" s="1"/>
      <c r="B80" s="59">
        <v>71</v>
      </c>
      <c r="C80" s="60"/>
      <c r="D80" s="61" t="s">
        <v>500</v>
      </c>
      <c r="E80" s="62" t="s">
        <v>130</v>
      </c>
      <c r="F80" s="63" t="s">
        <v>683</v>
      </c>
      <c r="G80" s="64">
        <v>320329160</v>
      </c>
      <c r="H80" s="65">
        <v>1368090</v>
      </c>
      <c r="I80" s="65">
        <v>321697250</v>
      </c>
      <c r="J80" s="65">
        <v>9336267</v>
      </c>
      <c r="K80" s="65">
        <v>331033517</v>
      </c>
      <c r="L80" s="66"/>
      <c r="M80" s="66"/>
      <c r="N80" s="67"/>
    </row>
    <row r="81" spans="1:14" s="49" customFormat="1" ht="14.1" customHeight="1">
      <c r="A81" s="1"/>
      <c r="B81" s="59">
        <v>72</v>
      </c>
      <c r="C81" s="60"/>
      <c r="D81" s="61" t="s">
        <v>501</v>
      </c>
      <c r="E81" s="62" t="s">
        <v>664</v>
      </c>
      <c r="F81" s="63" t="s">
        <v>683</v>
      </c>
      <c r="G81" s="64">
        <v>320000000</v>
      </c>
      <c r="H81" s="65">
        <v>4449704</v>
      </c>
      <c r="I81" s="65">
        <v>324449704</v>
      </c>
      <c r="J81" s="65">
        <v>10792599</v>
      </c>
      <c r="K81" s="65">
        <v>335242303</v>
      </c>
      <c r="L81" s="66"/>
      <c r="M81" s="66"/>
      <c r="N81" s="67"/>
    </row>
    <row r="82" spans="1:14" s="49" customFormat="1" ht="14.1" customHeight="1">
      <c r="A82" s="1"/>
      <c r="B82" s="59">
        <v>73</v>
      </c>
      <c r="C82" s="60"/>
      <c r="D82" s="61" t="s">
        <v>502</v>
      </c>
      <c r="E82" s="62" t="s">
        <v>109</v>
      </c>
      <c r="F82" s="63" t="s">
        <v>683</v>
      </c>
      <c r="G82" s="64">
        <v>300000000</v>
      </c>
      <c r="H82" s="65">
        <v>4207941</v>
      </c>
      <c r="I82" s="65">
        <v>304207941</v>
      </c>
      <c r="J82" s="65">
        <v>5975101</v>
      </c>
      <c r="K82" s="65">
        <v>310183042</v>
      </c>
      <c r="L82" s="66"/>
      <c r="M82" s="66"/>
      <c r="N82" s="67"/>
    </row>
    <row r="83" spans="1:14" s="69" customFormat="1" ht="14.1" customHeight="1">
      <c r="A83" s="1"/>
      <c r="B83" s="59">
        <v>74</v>
      </c>
      <c r="C83" s="60"/>
      <c r="D83" s="61" t="s">
        <v>503</v>
      </c>
      <c r="E83" s="62" t="s">
        <v>661</v>
      </c>
      <c r="F83" s="63" t="s">
        <v>683</v>
      </c>
      <c r="G83" s="64">
        <v>300000000</v>
      </c>
      <c r="H83" s="65">
        <v>4129949</v>
      </c>
      <c r="I83" s="65">
        <v>304129949</v>
      </c>
      <c r="J83" s="65">
        <v>14224984</v>
      </c>
      <c r="K83" s="65">
        <v>318354933</v>
      </c>
      <c r="L83" s="66"/>
      <c r="M83" s="66"/>
      <c r="N83" s="67"/>
    </row>
    <row r="84" spans="1:14" s="49" customFormat="1" ht="14.1" customHeight="1">
      <c r="A84" s="1"/>
      <c r="B84" s="59">
        <v>75</v>
      </c>
      <c r="C84" s="60"/>
      <c r="D84" s="61" t="s">
        <v>504</v>
      </c>
      <c r="E84" s="62" t="s">
        <v>152</v>
      </c>
      <c r="F84" s="63" t="s">
        <v>683</v>
      </c>
      <c r="G84" s="64">
        <v>299000000</v>
      </c>
      <c r="H84" s="65">
        <v>0</v>
      </c>
      <c r="I84" s="65">
        <v>299000000</v>
      </c>
      <c r="J84" s="65">
        <v>17108080</v>
      </c>
      <c r="K84" s="65">
        <v>316108080</v>
      </c>
      <c r="L84" s="66"/>
      <c r="M84" s="66"/>
      <c r="N84" s="67"/>
    </row>
    <row r="85" spans="1:14" s="49" customFormat="1" ht="14.1" customHeight="1">
      <c r="A85" s="1"/>
      <c r="B85" s="59">
        <v>76</v>
      </c>
      <c r="C85" s="60"/>
      <c r="D85" s="61" t="s">
        <v>505</v>
      </c>
      <c r="E85" s="62" t="s">
        <v>152</v>
      </c>
      <c r="F85" s="63" t="s">
        <v>683</v>
      </c>
      <c r="G85" s="64">
        <v>293020000</v>
      </c>
      <c r="H85" s="65">
        <v>4032710</v>
      </c>
      <c r="I85" s="65">
        <v>297052710</v>
      </c>
      <c r="J85" s="65">
        <v>13283550</v>
      </c>
      <c r="K85" s="65">
        <v>310336260</v>
      </c>
      <c r="L85" s="66"/>
      <c r="M85" s="66"/>
      <c r="N85" s="67"/>
    </row>
    <row r="86" spans="1:14" s="49" customFormat="1" ht="14.1" customHeight="1">
      <c r="A86" s="1"/>
      <c r="B86" s="59">
        <v>77</v>
      </c>
      <c r="C86" s="68"/>
      <c r="D86" s="61" t="s">
        <v>506</v>
      </c>
      <c r="E86" s="62" t="s">
        <v>157</v>
      </c>
      <c r="F86" s="63" t="s">
        <v>683</v>
      </c>
      <c r="G86" s="64">
        <v>277402224</v>
      </c>
      <c r="H86" s="65">
        <v>0</v>
      </c>
      <c r="I86" s="65">
        <v>277402224</v>
      </c>
      <c r="J86" s="66">
        <v>8232451</v>
      </c>
      <c r="K86" s="66">
        <v>285634675</v>
      </c>
      <c r="L86" s="66"/>
      <c r="M86" s="66"/>
      <c r="N86" s="67"/>
    </row>
    <row r="87" spans="1:14" s="49" customFormat="1" ht="14.1" customHeight="1">
      <c r="A87" s="1"/>
      <c r="B87" s="59">
        <v>78</v>
      </c>
      <c r="C87" s="60"/>
      <c r="D87" s="61" t="s">
        <v>507</v>
      </c>
      <c r="E87" s="62" t="s">
        <v>168</v>
      </c>
      <c r="F87" s="63" t="s">
        <v>683</v>
      </c>
      <c r="G87" s="64">
        <v>277000000</v>
      </c>
      <c r="H87" s="65">
        <v>0</v>
      </c>
      <c r="I87" s="65">
        <v>277000000</v>
      </c>
      <c r="J87" s="65">
        <v>4852644</v>
      </c>
      <c r="K87" s="65">
        <v>281852644</v>
      </c>
      <c r="L87" s="66"/>
      <c r="M87" s="66"/>
      <c r="N87" s="67"/>
    </row>
    <row r="88" spans="1:14" s="49" customFormat="1" ht="14.1" customHeight="1">
      <c r="A88" s="1"/>
      <c r="B88" s="59">
        <v>79</v>
      </c>
      <c r="C88" s="60"/>
      <c r="D88" s="61" t="s">
        <v>508</v>
      </c>
      <c r="E88" s="62" t="s">
        <v>211</v>
      </c>
      <c r="F88" s="63" t="s">
        <v>683</v>
      </c>
      <c r="G88" s="64">
        <v>274999275</v>
      </c>
      <c r="H88" s="65">
        <v>0</v>
      </c>
      <c r="I88" s="65">
        <v>274999275</v>
      </c>
      <c r="J88" s="65">
        <v>8153952</v>
      </c>
      <c r="K88" s="65">
        <v>283153227</v>
      </c>
      <c r="L88" s="66"/>
      <c r="M88" s="66"/>
      <c r="N88" s="67"/>
    </row>
    <row r="89" spans="1:14" s="49" customFormat="1" ht="14.1" customHeight="1">
      <c r="A89" s="1"/>
      <c r="B89" s="59">
        <v>80</v>
      </c>
      <c r="C89" s="60"/>
      <c r="D89" s="61" t="s">
        <v>509</v>
      </c>
      <c r="E89" s="62" t="s">
        <v>130</v>
      </c>
      <c r="F89" s="63" t="s">
        <v>683</v>
      </c>
      <c r="G89" s="64">
        <v>259000000</v>
      </c>
      <c r="H89" s="65">
        <v>0</v>
      </c>
      <c r="I89" s="65">
        <v>259000000</v>
      </c>
      <c r="J89" s="65">
        <v>7868297</v>
      </c>
      <c r="K89" s="65">
        <v>266868297</v>
      </c>
      <c r="L89" s="66"/>
      <c r="M89" s="66"/>
      <c r="N89" s="67"/>
    </row>
    <row r="90" spans="1:14" s="49" customFormat="1" ht="14.1" customHeight="1">
      <c r="A90" s="1"/>
      <c r="B90" s="59">
        <v>81</v>
      </c>
      <c r="C90" s="60"/>
      <c r="D90" s="61" t="s">
        <v>510</v>
      </c>
      <c r="E90" s="62" t="s">
        <v>130</v>
      </c>
      <c r="F90" s="63" t="s">
        <v>683</v>
      </c>
      <c r="G90" s="64">
        <v>248500000</v>
      </c>
      <c r="H90" s="65">
        <v>12828388</v>
      </c>
      <c r="I90" s="65">
        <v>261328388</v>
      </c>
      <c r="J90" s="65">
        <v>10426343</v>
      </c>
      <c r="K90" s="65">
        <v>271754731</v>
      </c>
      <c r="L90" s="66"/>
      <c r="M90" s="66"/>
      <c r="N90" s="67"/>
    </row>
    <row r="91" spans="1:14" s="49" customFormat="1" ht="14.1" customHeight="1">
      <c r="A91" s="1"/>
      <c r="B91" s="59">
        <v>82</v>
      </c>
      <c r="C91" s="60"/>
      <c r="D91" s="61" t="s">
        <v>511</v>
      </c>
      <c r="E91" s="62" t="s">
        <v>665</v>
      </c>
      <c r="F91" s="63" t="s">
        <v>683</v>
      </c>
      <c r="G91" s="64">
        <v>249100000</v>
      </c>
      <c r="H91" s="65">
        <v>0</v>
      </c>
      <c r="I91" s="65">
        <v>249100000</v>
      </c>
      <c r="J91" s="65">
        <v>5378732</v>
      </c>
      <c r="K91" s="65">
        <v>254478732</v>
      </c>
      <c r="L91" s="66"/>
      <c r="M91" s="66"/>
      <c r="N91" s="67"/>
    </row>
    <row r="92" spans="1:14" s="49" customFormat="1" ht="14.1" customHeight="1">
      <c r="A92" s="1"/>
      <c r="B92" s="59">
        <v>83</v>
      </c>
      <c r="C92" s="60"/>
      <c r="D92" s="61" t="s">
        <v>512</v>
      </c>
      <c r="E92" s="62" t="s">
        <v>152</v>
      </c>
      <c r="F92" s="63" t="s">
        <v>683</v>
      </c>
      <c r="G92" s="64">
        <v>245072525</v>
      </c>
      <c r="H92" s="65">
        <v>1089380</v>
      </c>
      <c r="I92" s="65">
        <v>246161905</v>
      </c>
      <c r="J92" s="65">
        <v>8322470</v>
      </c>
      <c r="K92" s="65">
        <v>254484375</v>
      </c>
      <c r="L92" s="66"/>
      <c r="M92" s="66"/>
      <c r="N92" s="67"/>
    </row>
    <row r="93" spans="1:14" s="49" customFormat="1" ht="14.1" customHeight="1">
      <c r="A93" s="1"/>
      <c r="B93" s="59">
        <v>84</v>
      </c>
      <c r="C93" s="60"/>
      <c r="D93" s="61" t="s">
        <v>513</v>
      </c>
      <c r="E93" s="62" t="s">
        <v>152</v>
      </c>
      <c r="F93" s="63" t="s">
        <v>683</v>
      </c>
      <c r="G93" s="64">
        <v>238000000</v>
      </c>
      <c r="H93" s="65">
        <v>3057444</v>
      </c>
      <c r="I93" s="65">
        <v>241057444</v>
      </c>
      <c r="J93" s="65">
        <v>18892079</v>
      </c>
      <c r="K93" s="65">
        <v>259949523</v>
      </c>
      <c r="L93" s="66"/>
      <c r="M93" s="66"/>
      <c r="N93" s="67"/>
    </row>
    <row r="94" spans="1:14" s="49" customFormat="1" ht="14.1" customHeight="1">
      <c r="A94" s="1"/>
      <c r="B94" s="59">
        <v>85</v>
      </c>
      <c r="C94" s="60"/>
      <c r="D94" s="61" t="s">
        <v>514</v>
      </c>
      <c r="E94" s="62" t="s">
        <v>666</v>
      </c>
      <c r="F94" s="63" t="s">
        <v>684</v>
      </c>
      <c r="G94" s="64">
        <v>240000000</v>
      </c>
      <c r="H94" s="65">
        <v>0</v>
      </c>
      <c r="I94" s="65">
        <v>240000000</v>
      </c>
      <c r="J94" s="65">
        <v>11507470</v>
      </c>
      <c r="K94" s="65">
        <v>251507470</v>
      </c>
      <c r="L94" s="66"/>
      <c r="M94" s="66"/>
      <c r="N94" s="67"/>
    </row>
    <row r="95" spans="1:14" s="49" customFormat="1" ht="14.1" customHeight="1">
      <c r="A95" s="1"/>
      <c r="B95" s="59">
        <v>86</v>
      </c>
      <c r="C95" s="60"/>
      <c r="D95" s="61" t="s">
        <v>515</v>
      </c>
      <c r="E95" s="62" t="s">
        <v>148</v>
      </c>
      <c r="F95" s="63" t="s">
        <v>683</v>
      </c>
      <c r="G95" s="64">
        <v>226998219</v>
      </c>
      <c r="H95" s="65">
        <v>0</v>
      </c>
      <c r="I95" s="65">
        <v>226998219</v>
      </c>
      <c r="J95" s="65">
        <v>4556686</v>
      </c>
      <c r="K95" s="65">
        <v>231554905</v>
      </c>
      <c r="L95" s="66"/>
      <c r="M95" s="66"/>
      <c r="N95" s="67"/>
    </row>
    <row r="96" spans="1:14" s="49" customFormat="1" ht="14.1" customHeight="1">
      <c r="A96" s="1"/>
      <c r="B96" s="59">
        <v>87</v>
      </c>
      <c r="C96" s="60"/>
      <c r="D96" s="61" t="s">
        <v>516</v>
      </c>
      <c r="E96" s="62" t="s">
        <v>152</v>
      </c>
      <c r="F96" s="63" t="s">
        <v>683</v>
      </c>
      <c r="G96" s="64">
        <v>226577704</v>
      </c>
      <c r="H96" s="65">
        <v>3477961</v>
      </c>
      <c r="I96" s="65">
        <v>230055665</v>
      </c>
      <c r="J96" s="65">
        <v>7133730</v>
      </c>
      <c r="K96" s="65">
        <v>237189395</v>
      </c>
      <c r="L96" s="66"/>
      <c r="M96" s="66"/>
      <c r="N96" s="67"/>
    </row>
    <row r="97" spans="1:14" s="49" customFormat="1" ht="14.1" customHeight="1">
      <c r="A97" s="1"/>
      <c r="B97" s="59">
        <v>88</v>
      </c>
      <c r="C97" s="60"/>
      <c r="D97" s="61" t="s">
        <v>517</v>
      </c>
      <c r="E97" s="62" t="s">
        <v>205</v>
      </c>
      <c r="F97" s="63" t="s">
        <v>683</v>
      </c>
      <c r="G97" s="64">
        <v>216786794</v>
      </c>
      <c r="H97" s="65">
        <v>0</v>
      </c>
      <c r="I97" s="65">
        <v>216786794</v>
      </c>
      <c r="J97" s="65">
        <v>16999815</v>
      </c>
      <c r="K97" s="65">
        <v>233786609</v>
      </c>
      <c r="L97" s="66"/>
      <c r="M97" s="66"/>
      <c r="N97" s="67"/>
    </row>
    <row r="98" spans="1:14" s="49" customFormat="1" ht="14.1" customHeight="1">
      <c r="A98" s="1"/>
      <c r="B98" s="59">
        <v>89</v>
      </c>
      <c r="C98" s="60"/>
      <c r="D98" s="61" t="s">
        <v>518</v>
      </c>
      <c r="E98" s="62" t="s">
        <v>194</v>
      </c>
      <c r="F98" s="63" t="s">
        <v>683</v>
      </c>
      <c r="G98" s="64">
        <v>209999013</v>
      </c>
      <c r="H98" s="65">
        <v>3453700</v>
      </c>
      <c r="I98" s="65">
        <v>213452713</v>
      </c>
      <c r="J98" s="65">
        <v>8156963</v>
      </c>
      <c r="K98" s="65">
        <v>221609676</v>
      </c>
      <c r="L98" s="66"/>
      <c r="M98" s="66"/>
      <c r="N98" s="67"/>
    </row>
    <row r="99" spans="1:14" s="49" customFormat="1" ht="14.1" customHeight="1">
      <c r="A99" s="1"/>
      <c r="B99" s="59">
        <v>90</v>
      </c>
      <c r="C99" s="60"/>
      <c r="D99" s="61" t="s">
        <v>519</v>
      </c>
      <c r="E99" s="62" t="s">
        <v>148</v>
      </c>
      <c r="F99" s="63" t="s">
        <v>683</v>
      </c>
      <c r="G99" s="64">
        <v>210000000</v>
      </c>
      <c r="H99" s="65">
        <v>1076460</v>
      </c>
      <c r="I99" s="65">
        <v>211076460</v>
      </c>
      <c r="J99" s="65">
        <v>10127628</v>
      </c>
      <c r="K99" s="65">
        <v>221204088</v>
      </c>
      <c r="L99" s="66"/>
      <c r="M99" s="66"/>
      <c r="N99" s="67"/>
    </row>
    <row r="100" spans="1:14" s="49" customFormat="1" ht="14.1" customHeight="1">
      <c r="A100" s="1"/>
      <c r="B100" s="59">
        <v>91</v>
      </c>
      <c r="C100" s="60"/>
      <c r="D100" s="61" t="s">
        <v>520</v>
      </c>
      <c r="E100" s="62" t="s">
        <v>152</v>
      </c>
      <c r="F100" s="63" t="s">
        <v>683</v>
      </c>
      <c r="G100" s="64">
        <v>210666619</v>
      </c>
      <c r="H100" s="65">
        <v>0</v>
      </c>
      <c r="I100" s="65">
        <v>210666619</v>
      </c>
      <c r="J100" s="65">
        <v>13600010</v>
      </c>
      <c r="K100" s="65">
        <v>224266629</v>
      </c>
      <c r="L100" s="66"/>
      <c r="M100" s="66"/>
      <c r="N100" s="67"/>
    </row>
    <row r="101" spans="1:14" s="49" customFormat="1" ht="14.1" customHeight="1">
      <c r="A101" s="1"/>
      <c r="B101" s="59">
        <v>92</v>
      </c>
      <c r="C101" s="60"/>
      <c r="D101" s="61" t="s">
        <v>521</v>
      </c>
      <c r="E101" s="62" t="s">
        <v>152</v>
      </c>
      <c r="F101" s="63" t="s">
        <v>683</v>
      </c>
      <c r="G101" s="64">
        <v>209339202</v>
      </c>
      <c r="H101" s="65">
        <v>1033640</v>
      </c>
      <c r="I101" s="65">
        <v>210372842</v>
      </c>
      <c r="J101" s="65">
        <v>9454432</v>
      </c>
      <c r="K101" s="65">
        <v>219827274</v>
      </c>
      <c r="L101" s="66"/>
      <c r="M101" s="66"/>
      <c r="N101" s="67"/>
    </row>
    <row r="102" spans="1:14" s="49" customFormat="1" ht="14.1" customHeight="1">
      <c r="A102" s="1"/>
      <c r="B102" s="59">
        <v>93</v>
      </c>
      <c r="C102" s="60"/>
      <c r="D102" s="61" t="s">
        <v>522</v>
      </c>
      <c r="E102" s="62" t="s">
        <v>92</v>
      </c>
      <c r="F102" s="63" t="s">
        <v>683</v>
      </c>
      <c r="G102" s="64">
        <v>209000000</v>
      </c>
      <c r="H102" s="65">
        <v>1147310</v>
      </c>
      <c r="I102" s="65">
        <v>210147310</v>
      </c>
      <c r="J102" s="65">
        <v>9315466</v>
      </c>
      <c r="K102" s="65">
        <v>219462776</v>
      </c>
      <c r="L102" s="66"/>
      <c r="M102" s="66"/>
      <c r="N102" s="67"/>
    </row>
    <row r="103" spans="1:14" s="49" customFormat="1" ht="14.1" customHeight="1">
      <c r="A103" s="1"/>
      <c r="B103" s="59">
        <v>94</v>
      </c>
      <c r="C103" s="60"/>
      <c r="D103" s="61" t="s">
        <v>523</v>
      </c>
      <c r="E103" s="62" t="s">
        <v>205</v>
      </c>
      <c r="F103" s="63" t="s">
        <v>683</v>
      </c>
      <c r="G103" s="64">
        <v>199999031</v>
      </c>
      <c r="H103" s="65">
        <v>3423630</v>
      </c>
      <c r="I103" s="65">
        <v>203422661</v>
      </c>
      <c r="J103" s="65">
        <v>8907169</v>
      </c>
      <c r="K103" s="65">
        <v>212329830</v>
      </c>
      <c r="L103" s="66"/>
      <c r="M103" s="66"/>
      <c r="N103" s="67"/>
    </row>
    <row r="104" spans="1:14" s="49" customFormat="1" ht="14.1" customHeight="1">
      <c r="A104" s="1"/>
      <c r="B104" s="59">
        <v>95</v>
      </c>
      <c r="C104" s="60"/>
      <c r="D104" s="61" t="s">
        <v>524</v>
      </c>
      <c r="E104" s="62" t="s">
        <v>109</v>
      </c>
      <c r="F104" s="63" t="s">
        <v>683</v>
      </c>
      <c r="G104" s="64">
        <v>200000000</v>
      </c>
      <c r="H104" s="65">
        <v>0</v>
      </c>
      <c r="I104" s="65">
        <v>200000000</v>
      </c>
      <c r="J104" s="65">
        <v>4321034</v>
      </c>
      <c r="K104" s="65">
        <v>204321034</v>
      </c>
      <c r="L104" s="66"/>
      <c r="M104" s="66"/>
      <c r="N104" s="67"/>
    </row>
    <row r="105" spans="1:14" s="49" customFormat="1" ht="14.1" customHeight="1">
      <c r="A105" s="1"/>
      <c r="B105" s="59">
        <v>96</v>
      </c>
      <c r="C105" s="60"/>
      <c r="D105" s="61" t="s">
        <v>525</v>
      </c>
      <c r="E105" s="62" t="s">
        <v>214</v>
      </c>
      <c r="F105" s="63" t="s">
        <v>683</v>
      </c>
      <c r="G105" s="64">
        <v>193333253</v>
      </c>
      <c r="H105" s="65">
        <v>944280</v>
      </c>
      <c r="I105" s="65">
        <v>194277533</v>
      </c>
      <c r="J105" s="65">
        <v>8384641</v>
      </c>
      <c r="K105" s="65">
        <v>202662174</v>
      </c>
      <c r="L105" s="66"/>
      <c r="M105" s="66"/>
      <c r="N105" s="67"/>
    </row>
    <row r="106" spans="1:14" s="49" customFormat="1" ht="14.1" customHeight="1">
      <c r="A106" s="1"/>
      <c r="B106" s="59">
        <v>97</v>
      </c>
      <c r="C106" s="60"/>
      <c r="D106" s="61" t="s">
        <v>526</v>
      </c>
      <c r="E106" s="62" t="s">
        <v>157</v>
      </c>
      <c r="F106" s="63" t="s">
        <v>683</v>
      </c>
      <c r="G106" s="64">
        <v>186000000</v>
      </c>
      <c r="H106" s="65">
        <v>3131380</v>
      </c>
      <c r="I106" s="65">
        <v>189131380</v>
      </c>
      <c r="J106" s="65">
        <v>11218688</v>
      </c>
      <c r="K106" s="65">
        <v>200350068</v>
      </c>
      <c r="L106" s="66"/>
      <c r="M106" s="66"/>
      <c r="N106" s="67"/>
    </row>
    <row r="107" spans="1:14" s="49" customFormat="1" ht="14.1" customHeight="1">
      <c r="A107" s="1"/>
      <c r="B107" s="59">
        <v>98</v>
      </c>
      <c r="C107" s="60"/>
      <c r="D107" s="61" t="s">
        <v>527</v>
      </c>
      <c r="E107" s="62" t="s">
        <v>135</v>
      </c>
      <c r="F107" s="63" t="s">
        <v>683</v>
      </c>
      <c r="G107" s="64">
        <v>116074147</v>
      </c>
      <c r="H107" s="65">
        <v>0</v>
      </c>
      <c r="I107" s="65">
        <v>116074147</v>
      </c>
      <c r="J107" s="65">
        <v>14443015</v>
      </c>
      <c r="K107" s="65">
        <v>130517162</v>
      </c>
      <c r="L107" s="66"/>
      <c r="M107" s="66"/>
      <c r="N107" s="67"/>
    </row>
    <row r="108" spans="1:14" s="49" customFormat="1" ht="14.1" customHeight="1">
      <c r="A108" s="1"/>
      <c r="B108" s="59">
        <v>99</v>
      </c>
      <c r="C108" s="60"/>
      <c r="D108" s="61" t="s">
        <v>528</v>
      </c>
      <c r="E108" s="62" t="s">
        <v>152</v>
      </c>
      <c r="F108" s="63" t="s">
        <v>683</v>
      </c>
      <c r="G108" s="64">
        <v>177743867</v>
      </c>
      <c r="H108" s="65">
        <v>0</v>
      </c>
      <c r="I108" s="65">
        <v>177743867</v>
      </c>
      <c r="J108" s="65">
        <v>4883936</v>
      </c>
      <c r="K108" s="65">
        <v>182627803</v>
      </c>
      <c r="L108" s="66"/>
      <c r="M108" s="66"/>
      <c r="N108" s="67"/>
    </row>
    <row r="109" spans="1:14" s="49" customFormat="1" ht="14.1" customHeight="1">
      <c r="A109" s="1"/>
      <c r="B109" s="59">
        <v>100</v>
      </c>
      <c r="C109" s="60"/>
      <c r="D109" s="61" t="s">
        <v>529</v>
      </c>
      <c r="E109" s="62" t="s">
        <v>194</v>
      </c>
      <c r="F109" s="63" t="s">
        <v>683</v>
      </c>
      <c r="G109" s="64">
        <v>172200000</v>
      </c>
      <c r="H109" s="65">
        <v>3007900</v>
      </c>
      <c r="I109" s="65">
        <v>175207900</v>
      </c>
      <c r="J109" s="65">
        <v>7663959</v>
      </c>
      <c r="K109" s="65">
        <v>182871859</v>
      </c>
      <c r="L109" s="66"/>
      <c r="M109" s="66"/>
      <c r="N109" s="67"/>
    </row>
    <row r="110" spans="1:14" s="49" customFormat="1" ht="14.1" customHeight="1">
      <c r="A110" s="1"/>
      <c r="B110" s="59">
        <v>101</v>
      </c>
      <c r="C110" s="60"/>
      <c r="D110" s="61" t="s">
        <v>530</v>
      </c>
      <c r="E110" s="62" t="s">
        <v>152</v>
      </c>
      <c r="F110" s="63" t="s">
        <v>683</v>
      </c>
      <c r="G110" s="64">
        <v>175000000</v>
      </c>
      <c r="H110" s="65">
        <v>0</v>
      </c>
      <c r="I110" s="65">
        <v>175000000</v>
      </c>
      <c r="J110" s="65">
        <v>6039863</v>
      </c>
      <c r="K110" s="65">
        <v>181039863</v>
      </c>
      <c r="L110" s="66"/>
      <c r="M110" s="66"/>
      <c r="N110" s="67"/>
    </row>
    <row r="111" spans="1:14" s="49" customFormat="1" ht="14.1" customHeight="1">
      <c r="A111" s="1"/>
      <c r="B111" s="59">
        <v>102</v>
      </c>
      <c r="C111" s="60"/>
      <c r="D111" s="61" t="s">
        <v>531</v>
      </c>
      <c r="E111" s="62" t="s">
        <v>284</v>
      </c>
      <c r="F111" s="63" t="s">
        <v>683</v>
      </c>
      <c r="G111" s="64">
        <v>170000000</v>
      </c>
      <c r="H111" s="65">
        <v>3034620</v>
      </c>
      <c r="I111" s="65">
        <v>173034620</v>
      </c>
      <c r="J111" s="65">
        <v>4730271</v>
      </c>
      <c r="K111" s="65">
        <v>177764891</v>
      </c>
      <c r="L111" s="66"/>
      <c r="M111" s="66"/>
      <c r="N111" s="67"/>
    </row>
    <row r="112" spans="1:14" s="49" customFormat="1" ht="14.1" customHeight="1">
      <c r="A112" s="1"/>
      <c r="B112" s="59">
        <v>103</v>
      </c>
      <c r="C112" s="60"/>
      <c r="D112" s="61" t="s">
        <v>532</v>
      </c>
      <c r="E112" s="62" t="s">
        <v>152</v>
      </c>
      <c r="F112" s="63" t="s">
        <v>683</v>
      </c>
      <c r="G112" s="64">
        <v>171500000</v>
      </c>
      <c r="H112" s="65">
        <v>0</v>
      </c>
      <c r="I112" s="65">
        <v>171500000</v>
      </c>
      <c r="J112" s="65">
        <v>5358978</v>
      </c>
      <c r="K112" s="65">
        <v>176858978</v>
      </c>
      <c r="L112" s="66"/>
      <c r="M112" s="66"/>
      <c r="N112" s="67"/>
    </row>
    <row r="113" spans="1:14" s="49" customFormat="1" ht="14.1" customHeight="1">
      <c r="A113" s="1"/>
      <c r="B113" s="59">
        <v>104</v>
      </c>
      <c r="C113" s="60"/>
      <c r="D113" s="61" t="s">
        <v>533</v>
      </c>
      <c r="E113" s="62" t="s">
        <v>221</v>
      </c>
      <c r="F113" s="63" t="s">
        <v>683</v>
      </c>
      <c r="G113" s="64">
        <v>168849405</v>
      </c>
      <c r="H113" s="65">
        <v>0</v>
      </c>
      <c r="I113" s="65">
        <v>168849405</v>
      </c>
      <c r="J113" s="65">
        <v>5986846</v>
      </c>
      <c r="K113" s="65">
        <v>174836251</v>
      </c>
      <c r="L113" s="66"/>
      <c r="M113" s="66"/>
      <c r="N113" s="67"/>
    </row>
    <row r="114" spans="1:14" s="49" customFormat="1" ht="14.1" customHeight="1">
      <c r="A114" s="1"/>
      <c r="B114" s="59">
        <v>105</v>
      </c>
      <c r="C114" s="60"/>
      <c r="D114" s="61" t="s">
        <v>534</v>
      </c>
      <c r="E114" s="62" t="s">
        <v>667</v>
      </c>
      <c r="F114" s="63" t="s">
        <v>684</v>
      </c>
      <c r="G114" s="64">
        <v>166650000</v>
      </c>
      <c r="H114" s="65">
        <v>0</v>
      </c>
      <c r="I114" s="65">
        <v>166650000</v>
      </c>
      <c r="J114" s="65">
        <v>4060026</v>
      </c>
      <c r="K114" s="65">
        <v>170710026</v>
      </c>
      <c r="L114" s="66"/>
      <c r="M114" s="66"/>
      <c r="N114" s="67"/>
    </row>
    <row r="115" spans="1:14" s="49" customFormat="1" ht="14.1" customHeight="1">
      <c r="A115" s="1"/>
      <c r="B115" s="59">
        <v>106</v>
      </c>
      <c r="C115" s="60"/>
      <c r="D115" s="61" t="s">
        <v>535</v>
      </c>
      <c r="E115" s="62" t="s">
        <v>109</v>
      </c>
      <c r="F115" s="63" t="s">
        <v>683</v>
      </c>
      <c r="G115" s="64">
        <v>163604314</v>
      </c>
      <c r="H115" s="65">
        <v>0</v>
      </c>
      <c r="I115" s="65">
        <v>163604314</v>
      </c>
      <c r="J115" s="65">
        <v>6196243</v>
      </c>
      <c r="K115" s="65">
        <v>169800557</v>
      </c>
      <c r="L115" s="66"/>
      <c r="M115" s="66"/>
      <c r="N115" s="67"/>
    </row>
    <row r="116" spans="1:14" s="49" customFormat="1" ht="14.1" customHeight="1">
      <c r="A116" s="1"/>
      <c r="B116" s="59">
        <v>107</v>
      </c>
      <c r="C116" s="60"/>
      <c r="D116" s="61" t="s">
        <v>536</v>
      </c>
      <c r="E116" s="62" t="s">
        <v>92</v>
      </c>
      <c r="F116" s="63" t="s">
        <v>683</v>
      </c>
      <c r="G116" s="64">
        <v>161999082</v>
      </c>
      <c r="H116" s="65">
        <v>2904220</v>
      </c>
      <c r="I116" s="65">
        <v>164903302</v>
      </c>
      <c r="J116" s="65">
        <v>4172210</v>
      </c>
      <c r="K116" s="65">
        <v>169075512</v>
      </c>
      <c r="L116" s="66"/>
      <c r="M116" s="66"/>
      <c r="N116" s="67"/>
    </row>
    <row r="117" spans="1:14" s="49" customFormat="1" ht="14.1" customHeight="1">
      <c r="A117" s="1"/>
      <c r="B117" s="59">
        <v>108</v>
      </c>
      <c r="C117" s="60"/>
      <c r="D117" s="61" t="s">
        <v>537</v>
      </c>
      <c r="E117" s="62" t="s">
        <v>221</v>
      </c>
      <c r="F117" s="63" t="s">
        <v>683</v>
      </c>
      <c r="G117" s="64">
        <v>159383272</v>
      </c>
      <c r="H117" s="65">
        <v>0</v>
      </c>
      <c r="I117" s="65">
        <v>159383272</v>
      </c>
      <c r="J117" s="65">
        <v>3267468</v>
      </c>
      <c r="K117" s="65">
        <v>162650740</v>
      </c>
      <c r="L117" s="66"/>
      <c r="M117" s="66"/>
      <c r="N117" s="67"/>
    </row>
    <row r="118" spans="1:14" s="49" customFormat="1" ht="14.1" customHeight="1">
      <c r="A118" s="1"/>
      <c r="B118" s="59">
        <v>109</v>
      </c>
      <c r="C118" s="60"/>
      <c r="D118" s="61" t="s">
        <v>538</v>
      </c>
      <c r="E118" s="62" t="s">
        <v>173</v>
      </c>
      <c r="F118" s="63" t="s">
        <v>683</v>
      </c>
      <c r="G118" s="64">
        <v>156000000</v>
      </c>
      <c r="H118" s="65">
        <v>0</v>
      </c>
      <c r="I118" s="65">
        <v>156000000</v>
      </c>
      <c r="J118" s="65">
        <v>5303100</v>
      </c>
      <c r="K118" s="65">
        <v>161303100</v>
      </c>
      <c r="L118" s="66"/>
      <c r="M118" s="66"/>
      <c r="N118" s="67"/>
    </row>
    <row r="119" spans="1:14" s="49" customFormat="1" ht="14.1" customHeight="1">
      <c r="A119" s="1"/>
      <c r="B119" s="59">
        <v>110</v>
      </c>
      <c r="C119" s="60"/>
      <c r="D119" s="61" t="s">
        <v>539</v>
      </c>
      <c r="E119" s="62" t="s">
        <v>152</v>
      </c>
      <c r="F119" s="63" t="s">
        <v>683</v>
      </c>
      <c r="G119" s="64">
        <v>154820537</v>
      </c>
      <c r="H119" s="65">
        <v>0</v>
      </c>
      <c r="I119" s="65">
        <v>154820537</v>
      </c>
      <c r="J119" s="65">
        <v>3258072</v>
      </c>
      <c r="K119" s="65">
        <v>158078609</v>
      </c>
      <c r="L119" s="66"/>
      <c r="M119" s="66"/>
      <c r="N119" s="67"/>
    </row>
    <row r="120" spans="1:14" s="49" customFormat="1" ht="14.1" customHeight="1">
      <c r="A120" s="1"/>
      <c r="B120" s="59">
        <v>111</v>
      </c>
      <c r="C120" s="60"/>
      <c r="D120" s="61" t="s">
        <v>540</v>
      </c>
      <c r="E120" s="62" t="s">
        <v>175</v>
      </c>
      <c r="F120" s="63" t="s">
        <v>683</v>
      </c>
      <c r="G120" s="64">
        <v>147914942</v>
      </c>
      <c r="H120" s="65">
        <v>0</v>
      </c>
      <c r="I120" s="65">
        <v>147914942</v>
      </c>
      <c r="J120" s="65">
        <v>3674060</v>
      </c>
      <c r="K120" s="65">
        <v>151589002</v>
      </c>
      <c r="L120" s="66"/>
      <c r="M120" s="66"/>
      <c r="N120" s="67"/>
    </row>
    <row r="121" spans="1:14" s="49" customFormat="1" ht="14.1" customHeight="1">
      <c r="A121" s="1"/>
      <c r="B121" s="59">
        <v>112</v>
      </c>
      <c r="C121" s="60"/>
      <c r="D121" s="61" t="s">
        <v>541</v>
      </c>
      <c r="E121" s="62" t="s">
        <v>168</v>
      </c>
      <c r="F121" s="63" t="s">
        <v>683</v>
      </c>
      <c r="G121" s="64">
        <v>147692850</v>
      </c>
      <c r="H121" s="65">
        <v>0</v>
      </c>
      <c r="I121" s="65">
        <v>147692850</v>
      </c>
      <c r="J121" s="65">
        <v>16886100</v>
      </c>
      <c r="K121" s="65">
        <v>164578950</v>
      </c>
      <c r="L121" s="66"/>
      <c r="M121" s="66"/>
      <c r="N121" s="67"/>
    </row>
    <row r="122" spans="1:14" s="49" customFormat="1" ht="14.1" customHeight="1">
      <c r="A122" s="1"/>
      <c r="B122" s="59">
        <v>113</v>
      </c>
      <c r="C122" s="60"/>
      <c r="D122" s="61" t="s">
        <v>542</v>
      </c>
      <c r="E122" s="62" t="s">
        <v>130</v>
      </c>
      <c r="F122" s="63" t="s">
        <v>683</v>
      </c>
      <c r="G122" s="64">
        <v>140000000</v>
      </c>
      <c r="H122" s="65">
        <v>2813768</v>
      </c>
      <c r="I122" s="65">
        <v>142813768</v>
      </c>
      <c r="J122" s="65">
        <v>6239602</v>
      </c>
      <c r="K122" s="65">
        <v>149053370</v>
      </c>
      <c r="L122" s="66"/>
      <c r="M122" s="66"/>
      <c r="N122" s="67"/>
    </row>
    <row r="123" spans="1:14" s="49" customFormat="1" ht="14.1" customHeight="1">
      <c r="A123" s="1"/>
      <c r="B123" s="59">
        <v>114</v>
      </c>
      <c r="C123" s="60"/>
      <c r="D123" s="61" t="s">
        <v>543</v>
      </c>
      <c r="E123" s="62" t="s">
        <v>109</v>
      </c>
      <c r="F123" s="63" t="s">
        <v>683</v>
      </c>
      <c r="G123" s="64">
        <v>139854116</v>
      </c>
      <c r="H123" s="65">
        <v>2856332</v>
      </c>
      <c r="I123" s="65">
        <v>142710448</v>
      </c>
      <c r="J123" s="65">
        <v>4790711</v>
      </c>
      <c r="K123" s="65">
        <v>147501159</v>
      </c>
      <c r="L123" s="66"/>
      <c r="M123" s="66"/>
      <c r="N123" s="67"/>
    </row>
    <row r="124" spans="1:14" s="49" customFormat="1" ht="14.1" customHeight="1">
      <c r="A124" s="1"/>
      <c r="B124" s="59">
        <v>115</v>
      </c>
      <c r="C124" s="60"/>
      <c r="D124" s="61" t="s">
        <v>544</v>
      </c>
      <c r="E124" s="62" t="s">
        <v>151</v>
      </c>
      <c r="F124" s="63" t="s">
        <v>683</v>
      </c>
      <c r="G124" s="64">
        <v>139000000</v>
      </c>
      <c r="H124" s="65">
        <v>2864808</v>
      </c>
      <c r="I124" s="65">
        <v>141864808</v>
      </c>
      <c r="J124" s="65">
        <v>11882904</v>
      </c>
      <c r="K124" s="65">
        <v>153747712</v>
      </c>
      <c r="L124" s="66"/>
      <c r="M124" s="66"/>
      <c r="N124" s="67"/>
    </row>
    <row r="125" spans="1:14" s="49" customFormat="1" ht="14.1" customHeight="1">
      <c r="A125" s="1"/>
      <c r="B125" s="59">
        <v>116</v>
      </c>
      <c r="C125" s="60"/>
      <c r="D125" s="61" t="s">
        <v>545</v>
      </c>
      <c r="E125" s="62" t="s">
        <v>148</v>
      </c>
      <c r="F125" s="63" t="s">
        <v>683</v>
      </c>
      <c r="G125" s="64">
        <v>140810438</v>
      </c>
      <c r="H125" s="65">
        <v>0</v>
      </c>
      <c r="I125" s="65">
        <v>140810438</v>
      </c>
      <c r="J125" s="65">
        <v>6171189</v>
      </c>
      <c r="K125" s="65">
        <v>146981627</v>
      </c>
      <c r="L125" s="66"/>
      <c r="M125" s="66"/>
      <c r="N125" s="67"/>
    </row>
    <row r="126" spans="1:14" s="49" customFormat="1" ht="14.1" customHeight="1">
      <c r="A126" s="1"/>
      <c r="B126" s="59">
        <v>117</v>
      </c>
      <c r="C126" s="60"/>
      <c r="D126" s="61" t="s">
        <v>546</v>
      </c>
      <c r="E126" s="62" t="s">
        <v>208</v>
      </c>
      <c r="F126" s="63" t="s">
        <v>683</v>
      </c>
      <c r="G126" s="64">
        <v>140166660</v>
      </c>
      <c r="H126" s="65">
        <v>0</v>
      </c>
      <c r="I126" s="65">
        <v>140166660</v>
      </c>
      <c r="J126" s="65">
        <v>4931727</v>
      </c>
      <c r="K126" s="65">
        <v>145098387</v>
      </c>
      <c r="L126" s="66"/>
      <c r="M126" s="66"/>
      <c r="N126" s="67"/>
    </row>
    <row r="127" spans="1:14" s="49" customFormat="1" ht="14.1" customHeight="1">
      <c r="A127" s="1"/>
      <c r="B127" s="59">
        <v>118</v>
      </c>
      <c r="C127" s="60"/>
      <c r="D127" s="61" t="s">
        <v>547</v>
      </c>
      <c r="E127" s="62" t="s">
        <v>109</v>
      </c>
      <c r="F127" s="63" t="s">
        <v>683</v>
      </c>
      <c r="G127" s="64">
        <v>139092583</v>
      </c>
      <c r="H127" s="65">
        <v>0</v>
      </c>
      <c r="I127" s="65">
        <v>139092583</v>
      </c>
      <c r="J127" s="65">
        <v>6126256</v>
      </c>
      <c r="K127" s="65">
        <v>145218839</v>
      </c>
      <c r="L127" s="66"/>
      <c r="M127" s="66"/>
      <c r="N127" s="67"/>
    </row>
    <row r="128" spans="1:14" s="49" customFormat="1" ht="14.1" customHeight="1">
      <c r="A128" s="1"/>
      <c r="B128" s="59">
        <v>119</v>
      </c>
      <c r="C128" s="70"/>
      <c r="D128" s="61" t="s">
        <v>548</v>
      </c>
      <c r="E128" s="62" t="s">
        <v>151</v>
      </c>
      <c r="F128" s="63" t="s">
        <v>683</v>
      </c>
      <c r="G128" s="64">
        <v>136049120</v>
      </c>
      <c r="H128" s="65">
        <v>2820518</v>
      </c>
      <c r="I128" s="65">
        <v>138869638</v>
      </c>
      <c r="J128" s="65">
        <v>4392100</v>
      </c>
      <c r="K128" s="65">
        <v>143261738</v>
      </c>
      <c r="L128" s="66"/>
      <c r="M128" s="66"/>
      <c r="N128" s="67"/>
    </row>
    <row r="129" spans="1:14" s="49" customFormat="1" ht="14.1" customHeight="1">
      <c r="A129" s="1"/>
      <c r="B129" s="59">
        <v>120</v>
      </c>
      <c r="C129" s="60"/>
      <c r="D129" s="61" t="s">
        <v>549</v>
      </c>
      <c r="E129" s="62" t="s">
        <v>236</v>
      </c>
      <c r="F129" s="63" t="s">
        <v>683</v>
      </c>
      <c r="G129" s="64">
        <v>132574144</v>
      </c>
      <c r="H129" s="65">
        <v>0</v>
      </c>
      <c r="I129" s="65">
        <v>132574144</v>
      </c>
      <c r="J129" s="65">
        <v>6331437</v>
      </c>
      <c r="K129" s="65">
        <v>138905581</v>
      </c>
      <c r="L129" s="66"/>
      <c r="M129" s="66"/>
      <c r="N129" s="67"/>
    </row>
    <row r="130" spans="1:14" s="49" customFormat="1" ht="14.1" customHeight="1">
      <c r="A130" s="1"/>
      <c r="B130" s="59">
        <v>121</v>
      </c>
      <c r="C130" s="60"/>
      <c r="D130" s="61" t="s">
        <v>550</v>
      </c>
      <c r="E130" s="62" t="s">
        <v>668</v>
      </c>
      <c r="F130" s="63" t="s">
        <v>683</v>
      </c>
      <c r="G130" s="64">
        <v>131995357</v>
      </c>
      <c r="H130" s="65">
        <v>2756790</v>
      </c>
      <c r="I130" s="65">
        <v>134752147</v>
      </c>
      <c r="J130" s="65">
        <v>3950649</v>
      </c>
      <c r="K130" s="65">
        <v>138702796</v>
      </c>
      <c r="L130" s="66"/>
      <c r="M130" s="66"/>
      <c r="N130" s="67"/>
    </row>
    <row r="131" spans="1:14" s="49" customFormat="1" ht="14.1" customHeight="1">
      <c r="A131" s="1"/>
      <c r="B131" s="59">
        <v>122</v>
      </c>
      <c r="C131" s="60"/>
      <c r="D131" s="61" t="s">
        <v>551</v>
      </c>
      <c r="E131" s="62" t="s">
        <v>669</v>
      </c>
      <c r="F131" s="63" t="s">
        <v>683</v>
      </c>
      <c r="G131" s="64">
        <v>130704624</v>
      </c>
      <c r="H131" s="65">
        <v>0</v>
      </c>
      <c r="I131" s="65">
        <v>130704624</v>
      </c>
      <c r="J131" s="65">
        <v>3089606</v>
      </c>
      <c r="K131" s="65">
        <v>133794230</v>
      </c>
      <c r="L131" s="66"/>
      <c r="M131" s="66"/>
      <c r="N131" s="67"/>
    </row>
    <row r="132" spans="1:14" s="49" customFormat="1" ht="14.1" customHeight="1">
      <c r="A132" s="1"/>
      <c r="B132" s="59">
        <v>123</v>
      </c>
      <c r="C132" s="60"/>
      <c r="D132" s="61" t="s">
        <v>552</v>
      </c>
      <c r="E132" s="62" t="s">
        <v>109</v>
      </c>
      <c r="F132" s="63" t="s">
        <v>683</v>
      </c>
      <c r="G132" s="64">
        <v>129999748</v>
      </c>
      <c r="H132" s="65">
        <v>2603560</v>
      </c>
      <c r="I132" s="65">
        <v>132603308</v>
      </c>
      <c r="J132" s="65">
        <v>4136242</v>
      </c>
      <c r="K132" s="65">
        <v>136739550</v>
      </c>
      <c r="L132" s="66"/>
      <c r="M132" s="66"/>
      <c r="N132" s="67"/>
    </row>
    <row r="133" spans="1:14" s="49" customFormat="1" ht="14.1" customHeight="1">
      <c r="A133" s="1"/>
      <c r="B133" s="59">
        <v>124</v>
      </c>
      <c r="C133" s="60"/>
      <c r="D133" s="61" t="s">
        <v>553</v>
      </c>
      <c r="E133" s="62" t="s">
        <v>226</v>
      </c>
      <c r="F133" s="63" t="s">
        <v>683</v>
      </c>
      <c r="G133" s="64">
        <v>125323513</v>
      </c>
      <c r="H133" s="65">
        <v>0</v>
      </c>
      <c r="I133" s="65">
        <v>125323513</v>
      </c>
      <c r="J133" s="65">
        <v>2480905</v>
      </c>
      <c r="K133" s="65">
        <v>127804418</v>
      </c>
      <c r="L133" s="66"/>
      <c r="M133" s="66"/>
      <c r="N133" s="67"/>
    </row>
    <row r="134" spans="1:14" s="49" customFormat="1" ht="14.1" customHeight="1">
      <c r="A134" s="1"/>
      <c r="B134" s="59">
        <v>125</v>
      </c>
      <c r="C134" s="60"/>
      <c r="D134" s="61" t="s">
        <v>554</v>
      </c>
      <c r="E134" s="62" t="s">
        <v>141</v>
      </c>
      <c r="F134" s="63" t="s">
        <v>683</v>
      </c>
      <c r="G134" s="64">
        <v>123839735</v>
      </c>
      <c r="H134" s="65">
        <v>948530</v>
      </c>
      <c r="I134" s="65">
        <v>124788265</v>
      </c>
      <c r="J134" s="65">
        <v>5921916</v>
      </c>
      <c r="K134" s="65">
        <v>130710181</v>
      </c>
      <c r="L134" s="66"/>
      <c r="M134" s="66"/>
      <c r="N134" s="67"/>
    </row>
    <row r="135" spans="1:14" s="49" customFormat="1" ht="14.1" customHeight="1">
      <c r="A135" s="1"/>
      <c r="B135" s="59">
        <v>126</v>
      </c>
      <c r="C135" s="60"/>
      <c r="D135" s="61" t="s">
        <v>555</v>
      </c>
      <c r="E135" s="62" t="s">
        <v>152</v>
      </c>
      <c r="F135" s="63" t="s">
        <v>683</v>
      </c>
      <c r="G135" s="64">
        <v>120110920</v>
      </c>
      <c r="H135" s="65">
        <v>0</v>
      </c>
      <c r="I135" s="65">
        <v>120110920</v>
      </c>
      <c r="J135" s="65">
        <v>2598159</v>
      </c>
      <c r="K135" s="65">
        <v>122709079</v>
      </c>
      <c r="L135" s="66"/>
      <c r="M135" s="66"/>
      <c r="N135" s="67"/>
    </row>
    <row r="136" spans="1:14" s="49" customFormat="1" ht="14.1" customHeight="1">
      <c r="A136" s="1"/>
      <c r="B136" s="59">
        <v>127</v>
      </c>
      <c r="C136" s="60"/>
      <c r="D136" s="61" t="s">
        <v>556</v>
      </c>
      <c r="E136" s="62" t="s">
        <v>284</v>
      </c>
      <c r="F136" s="63" t="s">
        <v>683</v>
      </c>
      <c r="G136" s="64">
        <v>119970038</v>
      </c>
      <c r="H136" s="65">
        <v>0</v>
      </c>
      <c r="I136" s="65">
        <v>119970038</v>
      </c>
      <c r="J136" s="65">
        <v>2465477</v>
      </c>
      <c r="K136" s="65">
        <v>122435515</v>
      </c>
      <c r="L136" s="66"/>
      <c r="M136" s="66"/>
      <c r="N136" s="67"/>
    </row>
    <row r="137" spans="1:14" s="49" customFormat="1" ht="14.1" customHeight="1">
      <c r="A137" s="1"/>
      <c r="B137" s="59">
        <v>128</v>
      </c>
      <c r="C137" s="60"/>
      <c r="D137" s="61" t="s">
        <v>557</v>
      </c>
      <c r="E137" s="62" t="s">
        <v>152</v>
      </c>
      <c r="F137" s="63" t="s">
        <v>683</v>
      </c>
      <c r="G137" s="64">
        <v>117801818</v>
      </c>
      <c r="H137" s="65">
        <v>361764</v>
      </c>
      <c r="I137" s="65">
        <v>118163582</v>
      </c>
      <c r="J137" s="65">
        <v>6574417</v>
      </c>
      <c r="K137" s="65">
        <v>124737999</v>
      </c>
      <c r="L137" s="66"/>
      <c r="M137" s="66"/>
      <c r="N137" s="67"/>
    </row>
    <row r="138" spans="1:14" s="49" customFormat="1" ht="14.1" customHeight="1">
      <c r="A138" s="1"/>
      <c r="B138" s="59">
        <v>129</v>
      </c>
      <c r="C138" s="60"/>
      <c r="D138" s="61" t="s">
        <v>558</v>
      </c>
      <c r="E138" s="62" t="s">
        <v>202</v>
      </c>
      <c r="F138" s="63" t="s">
        <v>683</v>
      </c>
      <c r="G138" s="64">
        <v>117997875</v>
      </c>
      <c r="H138" s="65">
        <v>0</v>
      </c>
      <c r="I138" s="65">
        <v>117997875</v>
      </c>
      <c r="J138" s="65">
        <v>1860179</v>
      </c>
      <c r="K138" s="65">
        <v>119858054</v>
      </c>
      <c r="L138" s="66"/>
      <c r="M138" s="66"/>
      <c r="N138" s="67"/>
    </row>
    <row r="139" spans="1:14" s="49" customFormat="1" ht="14.1" customHeight="1">
      <c r="A139" s="1"/>
      <c r="B139" s="59">
        <v>130</v>
      </c>
      <c r="C139" s="60"/>
      <c r="D139" s="61" t="s">
        <v>559</v>
      </c>
      <c r="E139" s="62" t="s">
        <v>168</v>
      </c>
      <c r="F139" s="63" t="s">
        <v>683</v>
      </c>
      <c r="G139" s="64">
        <v>117333294</v>
      </c>
      <c r="H139" s="65">
        <v>0</v>
      </c>
      <c r="I139" s="65">
        <v>117333294</v>
      </c>
      <c r="J139" s="65">
        <v>2859280</v>
      </c>
      <c r="K139" s="65">
        <v>120192574</v>
      </c>
      <c r="L139" s="66"/>
      <c r="M139" s="66"/>
      <c r="N139" s="67"/>
    </row>
    <row r="140" spans="1:14" s="49" customFormat="1" ht="14.1" customHeight="1">
      <c r="A140" s="1"/>
      <c r="B140" s="59">
        <v>131</v>
      </c>
      <c r="C140" s="60"/>
      <c r="D140" s="61" t="s">
        <v>560</v>
      </c>
      <c r="E140" s="62" t="s">
        <v>670</v>
      </c>
      <c r="F140" s="63" t="s">
        <v>684</v>
      </c>
      <c r="G140" s="64">
        <v>110575021</v>
      </c>
      <c r="H140" s="65">
        <v>2605280</v>
      </c>
      <c r="I140" s="65">
        <v>113180301</v>
      </c>
      <c r="J140" s="65">
        <v>7698950</v>
      </c>
      <c r="K140" s="65">
        <v>120879251</v>
      </c>
      <c r="L140" s="66"/>
      <c r="M140" s="66"/>
      <c r="N140" s="67"/>
    </row>
    <row r="141" spans="1:14" s="49" customFormat="1" ht="14.1" customHeight="1">
      <c r="A141" s="1"/>
      <c r="B141" s="59">
        <v>132</v>
      </c>
      <c r="C141" s="60"/>
      <c r="D141" s="61" t="s">
        <v>561</v>
      </c>
      <c r="E141" s="62" t="s">
        <v>168</v>
      </c>
      <c r="F141" s="63" t="s">
        <v>683</v>
      </c>
      <c r="G141" s="64">
        <v>112400000</v>
      </c>
      <c r="H141" s="65">
        <v>0</v>
      </c>
      <c r="I141" s="65">
        <v>112400000</v>
      </c>
      <c r="J141" s="65">
        <v>5019907</v>
      </c>
      <c r="K141" s="65">
        <v>117419907</v>
      </c>
      <c r="L141" s="66"/>
      <c r="M141" s="66"/>
      <c r="N141" s="67"/>
    </row>
    <row r="142" spans="1:14" s="49" customFormat="1" ht="14.1" customHeight="1">
      <c r="A142" s="1"/>
      <c r="B142" s="59">
        <v>133</v>
      </c>
      <c r="C142" s="60"/>
      <c r="D142" s="61" t="s">
        <v>562</v>
      </c>
      <c r="E142" s="62" t="s">
        <v>109</v>
      </c>
      <c r="F142" s="63" t="s">
        <v>683</v>
      </c>
      <c r="G142" s="64">
        <v>110167773</v>
      </c>
      <c r="H142" s="65">
        <v>0</v>
      </c>
      <c r="I142" s="65">
        <v>110167773</v>
      </c>
      <c r="J142" s="65">
        <v>2445261</v>
      </c>
      <c r="K142" s="65">
        <v>112613034</v>
      </c>
      <c r="L142" s="66"/>
      <c r="M142" s="66"/>
      <c r="N142" s="67"/>
    </row>
    <row r="143" spans="1:14" s="49" customFormat="1" ht="14.1" customHeight="1">
      <c r="A143" s="1"/>
      <c r="B143" s="59">
        <v>134</v>
      </c>
      <c r="C143" s="60"/>
      <c r="D143" s="61" t="s">
        <v>563</v>
      </c>
      <c r="E143" s="62" t="s">
        <v>109</v>
      </c>
      <c r="F143" s="63" t="s">
        <v>683</v>
      </c>
      <c r="G143" s="64">
        <v>109833981</v>
      </c>
      <c r="H143" s="65">
        <v>2681324</v>
      </c>
      <c r="I143" s="65">
        <v>112515305</v>
      </c>
      <c r="J143" s="65">
        <v>5289234</v>
      </c>
      <c r="K143" s="65">
        <v>117804539</v>
      </c>
      <c r="L143" s="66"/>
      <c r="M143" s="66"/>
      <c r="N143" s="67"/>
    </row>
    <row r="144" spans="1:14" s="49" customFormat="1" ht="14.1" customHeight="1">
      <c r="A144" s="1"/>
      <c r="B144" s="59">
        <v>135</v>
      </c>
      <c r="C144" s="60"/>
      <c r="D144" s="61" t="s">
        <v>564</v>
      </c>
      <c r="E144" s="62" t="s">
        <v>138</v>
      </c>
      <c r="F144" s="63" t="s">
        <v>683</v>
      </c>
      <c r="G144" s="64">
        <v>106000000</v>
      </c>
      <c r="H144" s="65">
        <v>2496449</v>
      </c>
      <c r="I144" s="65">
        <v>108496449</v>
      </c>
      <c r="J144" s="65">
        <v>4843425</v>
      </c>
      <c r="K144" s="65">
        <v>113339874</v>
      </c>
      <c r="L144" s="66"/>
      <c r="M144" s="66"/>
      <c r="N144" s="67"/>
    </row>
    <row r="145" spans="1:14" s="49" customFormat="1" ht="14.1" customHeight="1">
      <c r="A145" s="1"/>
      <c r="B145" s="59">
        <v>136</v>
      </c>
      <c r="C145" s="60"/>
      <c r="D145" s="61" t="s">
        <v>565</v>
      </c>
      <c r="E145" s="62" t="s">
        <v>109</v>
      </c>
      <c r="F145" s="63" t="s">
        <v>683</v>
      </c>
      <c r="G145" s="64">
        <v>103208401</v>
      </c>
      <c r="H145" s="65">
        <v>2493110</v>
      </c>
      <c r="I145" s="65">
        <v>105701511</v>
      </c>
      <c r="J145" s="65">
        <v>3205687</v>
      </c>
      <c r="K145" s="65">
        <v>108907198</v>
      </c>
      <c r="L145" s="66"/>
      <c r="M145" s="66"/>
      <c r="N145" s="67"/>
    </row>
    <row r="146" spans="1:14" s="49" customFormat="1" ht="14.1" customHeight="1">
      <c r="A146" s="1"/>
      <c r="B146" s="59">
        <v>137</v>
      </c>
      <c r="C146" s="60"/>
      <c r="D146" s="61" t="s">
        <v>566</v>
      </c>
      <c r="E146" s="62" t="s">
        <v>109</v>
      </c>
      <c r="F146" s="63" t="s">
        <v>683</v>
      </c>
      <c r="G146" s="64">
        <v>105208266</v>
      </c>
      <c r="H146" s="65">
        <v>2384359</v>
      </c>
      <c r="I146" s="65">
        <v>107592625</v>
      </c>
      <c r="J146" s="65">
        <v>1664302</v>
      </c>
      <c r="K146" s="65">
        <v>109256927</v>
      </c>
      <c r="L146" s="66"/>
      <c r="M146" s="66"/>
      <c r="N146" s="67"/>
    </row>
    <row r="147" spans="1:14" s="49" customFormat="1" ht="14.1" customHeight="1">
      <c r="A147" s="1"/>
      <c r="B147" s="59">
        <v>138</v>
      </c>
      <c r="C147" s="60"/>
      <c r="D147" s="61" t="s">
        <v>567</v>
      </c>
      <c r="E147" s="62" t="s">
        <v>234</v>
      </c>
      <c r="F147" s="63" t="s">
        <v>683</v>
      </c>
      <c r="G147" s="64">
        <v>105047708</v>
      </c>
      <c r="H147" s="65">
        <v>0</v>
      </c>
      <c r="I147" s="65">
        <v>105047708</v>
      </c>
      <c r="J147" s="65">
        <v>1809108</v>
      </c>
      <c r="K147" s="65">
        <v>106856816</v>
      </c>
      <c r="L147" s="66"/>
      <c r="M147" s="66"/>
      <c r="N147" s="67"/>
    </row>
    <row r="148" spans="1:14" s="49" customFormat="1" ht="14.1" customHeight="1">
      <c r="A148" s="1"/>
      <c r="B148" s="59">
        <v>139</v>
      </c>
      <c r="C148" s="60"/>
      <c r="D148" s="61" t="s">
        <v>568</v>
      </c>
      <c r="E148" s="62" t="s">
        <v>663</v>
      </c>
      <c r="F148" s="63" t="s">
        <v>683</v>
      </c>
      <c r="G148" s="64">
        <v>101139066</v>
      </c>
      <c r="H148" s="65">
        <v>2439530</v>
      </c>
      <c r="I148" s="65">
        <v>103578596</v>
      </c>
      <c r="J148" s="65">
        <v>4982600</v>
      </c>
      <c r="K148" s="65">
        <v>108561196</v>
      </c>
      <c r="L148" s="66"/>
      <c r="M148" s="66"/>
      <c r="N148" s="67"/>
    </row>
    <row r="149" spans="1:14" s="49" customFormat="1" ht="14.1" customHeight="1">
      <c r="A149" s="1"/>
      <c r="B149" s="59">
        <v>140</v>
      </c>
      <c r="C149" s="60"/>
      <c r="D149" s="61" t="s">
        <v>569</v>
      </c>
      <c r="E149" s="62" t="s">
        <v>109</v>
      </c>
      <c r="F149" s="63" t="s">
        <v>683</v>
      </c>
      <c r="G149" s="64">
        <v>100953121</v>
      </c>
      <c r="H149" s="65">
        <v>2360024</v>
      </c>
      <c r="I149" s="65">
        <v>103313145</v>
      </c>
      <c r="J149" s="65">
        <v>4580743</v>
      </c>
      <c r="K149" s="65">
        <v>107893888</v>
      </c>
      <c r="L149" s="66"/>
      <c r="M149" s="66"/>
      <c r="N149" s="67"/>
    </row>
    <row r="150" spans="1:14" s="49" customFormat="1" ht="14.1" customHeight="1">
      <c r="A150" s="1"/>
      <c r="B150" s="59">
        <v>141</v>
      </c>
      <c r="C150" s="60"/>
      <c r="D150" s="61" t="s">
        <v>570</v>
      </c>
      <c r="E150" s="62" t="s">
        <v>226</v>
      </c>
      <c r="F150" s="63" t="s">
        <v>683</v>
      </c>
      <c r="G150" s="64">
        <v>99400000</v>
      </c>
      <c r="H150" s="65">
        <v>2653280</v>
      </c>
      <c r="I150" s="65">
        <v>102053280</v>
      </c>
      <c r="J150" s="65">
        <v>3918879</v>
      </c>
      <c r="K150" s="65">
        <v>105972159</v>
      </c>
      <c r="L150" s="66"/>
      <c r="M150" s="66"/>
      <c r="N150" s="67"/>
    </row>
    <row r="151" spans="1:14" s="49" customFormat="1" ht="14.1" customHeight="1">
      <c r="A151" s="1"/>
      <c r="B151" s="59">
        <v>142</v>
      </c>
      <c r="C151" s="60"/>
      <c r="D151" s="61" t="s">
        <v>571</v>
      </c>
      <c r="E151" s="62" t="s">
        <v>671</v>
      </c>
      <c r="F151" s="63" t="s">
        <v>683</v>
      </c>
      <c r="G151" s="64">
        <v>100066814</v>
      </c>
      <c r="H151" s="65">
        <v>0</v>
      </c>
      <c r="I151" s="65">
        <v>100066814</v>
      </c>
      <c r="J151" s="65">
        <v>2638341</v>
      </c>
      <c r="K151" s="65">
        <v>102705155</v>
      </c>
      <c r="L151" s="66"/>
      <c r="M151" s="66"/>
      <c r="N151" s="67"/>
    </row>
    <row r="152" spans="1:14" s="49" customFormat="1" ht="14.1" customHeight="1">
      <c r="A152" s="1"/>
      <c r="B152" s="59">
        <v>143</v>
      </c>
      <c r="C152" s="60"/>
      <c r="D152" s="61" t="s">
        <v>572</v>
      </c>
      <c r="E152" s="62" t="s">
        <v>179</v>
      </c>
      <c r="F152" s="63" t="s">
        <v>683</v>
      </c>
      <c r="G152" s="64">
        <v>98529588</v>
      </c>
      <c r="H152" s="65">
        <v>0</v>
      </c>
      <c r="I152" s="65">
        <v>98529588</v>
      </c>
      <c r="J152" s="65">
        <v>3273121</v>
      </c>
      <c r="K152" s="65">
        <v>101802709</v>
      </c>
      <c r="L152" s="66"/>
      <c r="M152" s="66"/>
      <c r="N152" s="67"/>
    </row>
    <row r="153" spans="1:14" s="71" customFormat="1" ht="14.1" customHeight="1">
      <c r="A153" s="1"/>
      <c r="B153" s="59">
        <v>144</v>
      </c>
      <c r="C153" s="60"/>
      <c r="D153" s="61" t="s">
        <v>573</v>
      </c>
      <c r="E153" s="62" t="s">
        <v>152</v>
      </c>
      <c r="F153" s="63" t="s">
        <v>683</v>
      </c>
      <c r="G153" s="64">
        <v>93655628</v>
      </c>
      <c r="H153" s="65">
        <v>2334050</v>
      </c>
      <c r="I153" s="65">
        <v>95989678</v>
      </c>
      <c r="J153" s="65">
        <v>2703875</v>
      </c>
      <c r="K153" s="65">
        <v>98693553</v>
      </c>
      <c r="L153" s="66"/>
      <c r="M153" s="66"/>
      <c r="N153" s="67"/>
    </row>
    <row r="154" spans="1:14" s="49" customFormat="1" ht="14.1" customHeight="1">
      <c r="A154" s="1"/>
      <c r="B154" s="59">
        <v>145</v>
      </c>
      <c r="C154" s="60"/>
      <c r="D154" s="61" t="s">
        <v>574</v>
      </c>
      <c r="E154" s="62" t="s">
        <v>152</v>
      </c>
      <c r="F154" s="63" t="s">
        <v>683</v>
      </c>
      <c r="G154" s="64">
        <v>90729352</v>
      </c>
      <c r="H154" s="65">
        <v>0</v>
      </c>
      <c r="I154" s="65">
        <v>90729352</v>
      </c>
      <c r="J154" s="65">
        <v>3215218</v>
      </c>
      <c r="K154" s="65">
        <v>93944570</v>
      </c>
      <c r="L154" s="66"/>
      <c r="M154" s="66"/>
      <c r="N154" s="67"/>
    </row>
    <row r="155" spans="1:14" s="49" customFormat="1" ht="14.1" customHeight="1">
      <c r="A155" s="1"/>
      <c r="B155" s="59">
        <v>146</v>
      </c>
      <c r="C155" s="60"/>
      <c r="D155" s="61" t="s">
        <v>575</v>
      </c>
      <c r="E155" s="62" t="s">
        <v>151</v>
      </c>
      <c r="F155" s="63" t="s">
        <v>683</v>
      </c>
      <c r="G155" s="64">
        <v>90000000</v>
      </c>
      <c r="H155" s="65">
        <v>652980</v>
      </c>
      <c r="I155" s="65">
        <v>90652980</v>
      </c>
      <c r="J155" s="65">
        <v>3848758</v>
      </c>
      <c r="K155" s="65">
        <v>94501738</v>
      </c>
      <c r="L155" s="66"/>
      <c r="M155" s="66"/>
      <c r="N155" s="67"/>
    </row>
    <row r="156" spans="1:14" s="49" customFormat="1" ht="14.1" customHeight="1">
      <c r="A156" s="1"/>
      <c r="B156" s="59">
        <v>147</v>
      </c>
      <c r="C156" s="60"/>
      <c r="D156" s="61" t="s">
        <v>576</v>
      </c>
      <c r="E156" s="62" t="s">
        <v>672</v>
      </c>
      <c r="F156" s="63" t="s">
        <v>683</v>
      </c>
      <c r="G156" s="64">
        <v>89990000</v>
      </c>
      <c r="H156" s="65">
        <v>0</v>
      </c>
      <c r="I156" s="65">
        <v>89990000</v>
      </c>
      <c r="J156" s="65">
        <v>4617615</v>
      </c>
      <c r="K156" s="65">
        <v>94607615</v>
      </c>
      <c r="L156" s="66"/>
      <c r="M156" s="66"/>
      <c r="N156" s="67"/>
    </row>
    <row r="157" spans="1:14" s="49" customFormat="1" ht="14.1" customHeight="1">
      <c r="A157" s="1"/>
      <c r="B157" s="59">
        <v>148</v>
      </c>
      <c r="C157" s="68"/>
      <c r="D157" s="61" t="s">
        <v>577</v>
      </c>
      <c r="E157" s="62" t="s">
        <v>673</v>
      </c>
      <c r="F157" s="63" t="s">
        <v>683</v>
      </c>
      <c r="G157" s="64">
        <v>86761818</v>
      </c>
      <c r="H157" s="65">
        <v>0</v>
      </c>
      <c r="I157" s="65">
        <v>86761818</v>
      </c>
      <c r="J157" s="66">
        <v>1660011</v>
      </c>
      <c r="K157" s="66">
        <v>88421829</v>
      </c>
      <c r="L157" s="66"/>
      <c r="M157" s="66"/>
      <c r="N157" s="67"/>
    </row>
    <row r="158" spans="1:14" s="49" customFormat="1" ht="14.1" customHeight="1">
      <c r="A158" s="1"/>
      <c r="B158" s="59">
        <v>149</v>
      </c>
      <c r="C158" s="60"/>
      <c r="D158" s="61" t="s">
        <v>578</v>
      </c>
      <c r="E158" s="62" t="s">
        <v>148</v>
      </c>
      <c r="F158" s="63" t="s">
        <v>683</v>
      </c>
      <c r="G158" s="64">
        <v>81222184</v>
      </c>
      <c r="H158" s="65">
        <v>0</v>
      </c>
      <c r="I158" s="65">
        <v>81222184</v>
      </c>
      <c r="J158" s="65">
        <v>516318</v>
      </c>
      <c r="K158" s="65">
        <v>81738502</v>
      </c>
      <c r="L158" s="66"/>
      <c r="M158" s="66"/>
      <c r="N158" s="67"/>
    </row>
    <row r="159" spans="1:14" s="49" customFormat="1" ht="14.1" customHeight="1">
      <c r="A159" s="1"/>
      <c r="B159" s="59">
        <v>150</v>
      </c>
      <c r="C159" s="60"/>
      <c r="D159" s="61" t="s">
        <v>579</v>
      </c>
      <c r="E159" s="62" t="s">
        <v>152</v>
      </c>
      <c r="F159" s="63" t="s">
        <v>683</v>
      </c>
      <c r="G159" s="64">
        <v>80000000</v>
      </c>
      <c r="H159" s="65">
        <v>619550</v>
      </c>
      <c r="I159" s="65">
        <v>80619550</v>
      </c>
      <c r="J159" s="65">
        <v>2073223</v>
      </c>
      <c r="K159" s="65">
        <v>82692773</v>
      </c>
      <c r="L159" s="66"/>
      <c r="M159" s="66"/>
      <c r="N159" s="67"/>
    </row>
    <row r="160" spans="1:14" s="49" customFormat="1" ht="14.1" customHeight="1">
      <c r="A160" s="1"/>
      <c r="B160" s="59">
        <v>151</v>
      </c>
      <c r="C160" s="60"/>
      <c r="D160" s="61" t="s">
        <v>580</v>
      </c>
      <c r="E160" s="62" t="s">
        <v>214</v>
      </c>
      <c r="F160" s="63" t="s">
        <v>683</v>
      </c>
      <c r="G160" s="64">
        <v>78351222</v>
      </c>
      <c r="H160" s="65">
        <v>2111380</v>
      </c>
      <c r="I160" s="65">
        <v>80462602</v>
      </c>
      <c r="J160" s="65">
        <v>2682096</v>
      </c>
      <c r="K160" s="65">
        <v>83144698</v>
      </c>
      <c r="L160" s="66"/>
      <c r="M160" s="66"/>
      <c r="N160" s="67"/>
    </row>
    <row r="161" spans="1:14" s="49" customFormat="1" ht="14.1" customHeight="1">
      <c r="A161" s="1"/>
      <c r="B161" s="59">
        <v>152</v>
      </c>
      <c r="C161" s="60"/>
      <c r="D161" s="61" t="s">
        <v>581</v>
      </c>
      <c r="E161" s="62" t="s">
        <v>674</v>
      </c>
      <c r="F161" s="63" t="s">
        <v>683</v>
      </c>
      <c r="G161" s="64">
        <v>80000000</v>
      </c>
      <c r="H161" s="65">
        <v>0</v>
      </c>
      <c r="I161" s="65">
        <v>80000000</v>
      </c>
      <c r="J161" s="65">
        <v>2211458</v>
      </c>
      <c r="K161" s="65">
        <v>82211458</v>
      </c>
      <c r="L161" s="66"/>
      <c r="M161" s="66"/>
      <c r="N161" s="67"/>
    </row>
    <row r="162" spans="1:14" s="49" customFormat="1" ht="14.1" customHeight="1">
      <c r="A162" s="1"/>
      <c r="B162" s="59">
        <v>153</v>
      </c>
      <c r="C162" s="60"/>
      <c r="D162" s="61" t="s">
        <v>582</v>
      </c>
      <c r="E162" s="62" t="s">
        <v>175</v>
      </c>
      <c r="F162" s="63" t="s">
        <v>683</v>
      </c>
      <c r="G162" s="64">
        <v>78564896</v>
      </c>
      <c r="H162" s="65">
        <v>603270</v>
      </c>
      <c r="I162" s="65">
        <v>79168166</v>
      </c>
      <c r="J162" s="65">
        <v>2441521</v>
      </c>
      <c r="K162" s="65">
        <v>81609687</v>
      </c>
      <c r="L162" s="66"/>
      <c r="M162" s="66"/>
      <c r="N162" s="67"/>
    </row>
    <row r="163" spans="1:14" s="49" customFormat="1" ht="14.1" customHeight="1">
      <c r="A163" s="1"/>
      <c r="B163" s="59">
        <v>154</v>
      </c>
      <c r="C163" s="60"/>
      <c r="D163" s="61" t="s">
        <v>583</v>
      </c>
      <c r="E163" s="62" t="s">
        <v>152</v>
      </c>
      <c r="F163" s="63" t="s">
        <v>683</v>
      </c>
      <c r="G163" s="64">
        <v>75000000</v>
      </c>
      <c r="H163" s="65">
        <v>0</v>
      </c>
      <c r="I163" s="65">
        <v>75000000</v>
      </c>
      <c r="J163" s="65">
        <v>2994401</v>
      </c>
      <c r="K163" s="65">
        <v>77994401</v>
      </c>
      <c r="L163" s="66"/>
      <c r="M163" s="66"/>
      <c r="N163" s="67"/>
    </row>
    <row r="164" spans="1:14" s="49" customFormat="1" ht="14.1" customHeight="1">
      <c r="A164" s="1"/>
      <c r="B164" s="59">
        <v>155</v>
      </c>
      <c r="C164" s="60"/>
      <c r="D164" s="61" t="s">
        <v>584</v>
      </c>
      <c r="E164" s="62" t="s">
        <v>214</v>
      </c>
      <c r="F164" s="63" t="s">
        <v>683</v>
      </c>
      <c r="G164" s="64">
        <v>75000000</v>
      </c>
      <c r="H164" s="65">
        <v>0</v>
      </c>
      <c r="I164" s="65">
        <v>75000000</v>
      </c>
      <c r="J164" s="65">
        <v>3667535</v>
      </c>
      <c r="K164" s="65">
        <v>78667535</v>
      </c>
      <c r="L164" s="66"/>
      <c r="M164" s="66"/>
      <c r="N164" s="67"/>
    </row>
    <row r="165" spans="1:14" s="49" customFormat="1" ht="14.1" customHeight="1">
      <c r="A165" s="1"/>
      <c r="B165" s="59">
        <v>156</v>
      </c>
      <c r="C165" s="60"/>
      <c r="D165" s="61" t="s">
        <v>585</v>
      </c>
      <c r="E165" s="62" t="s">
        <v>221</v>
      </c>
      <c r="F165" s="63" t="s">
        <v>683</v>
      </c>
      <c r="G165" s="64">
        <v>74270312</v>
      </c>
      <c r="H165" s="65">
        <v>0</v>
      </c>
      <c r="I165" s="65">
        <v>74270312</v>
      </c>
      <c r="J165" s="65">
        <v>1205356</v>
      </c>
      <c r="K165" s="65">
        <v>75475668</v>
      </c>
      <c r="L165" s="66"/>
      <c r="M165" s="66"/>
      <c r="N165" s="67"/>
    </row>
    <row r="166" spans="1:14" s="49" customFormat="1" ht="14.1" customHeight="1">
      <c r="A166" s="1"/>
      <c r="B166" s="59">
        <v>157</v>
      </c>
      <c r="C166" s="60"/>
      <c r="D166" s="61" t="s">
        <v>586</v>
      </c>
      <c r="E166" s="62" t="s">
        <v>92</v>
      </c>
      <c r="F166" s="63" t="s">
        <v>683</v>
      </c>
      <c r="G166" s="64">
        <v>70000000</v>
      </c>
      <c r="H166" s="65">
        <v>2082059</v>
      </c>
      <c r="I166" s="65">
        <v>72082059</v>
      </c>
      <c r="J166" s="65">
        <v>2007414</v>
      </c>
      <c r="K166" s="65">
        <v>74089473</v>
      </c>
      <c r="L166" s="66"/>
      <c r="M166" s="66"/>
      <c r="N166" s="67"/>
    </row>
    <row r="167" spans="1:14" s="49" customFormat="1" ht="14.1" customHeight="1">
      <c r="A167" s="1"/>
      <c r="B167" s="59">
        <v>158</v>
      </c>
      <c r="C167" s="60"/>
      <c r="D167" s="61" t="s">
        <v>587</v>
      </c>
      <c r="E167" s="62" t="s">
        <v>152</v>
      </c>
      <c r="F167" s="63" t="s">
        <v>683</v>
      </c>
      <c r="G167" s="64">
        <v>70000000</v>
      </c>
      <c r="H167" s="65">
        <v>578790</v>
      </c>
      <c r="I167" s="65">
        <v>70578790</v>
      </c>
      <c r="J167" s="65">
        <v>1297063</v>
      </c>
      <c r="K167" s="65">
        <v>71875853</v>
      </c>
      <c r="L167" s="66"/>
      <c r="M167" s="66"/>
      <c r="N167" s="67"/>
    </row>
    <row r="168" spans="1:14" s="49" customFormat="1" ht="14.1" customHeight="1">
      <c r="A168" s="1"/>
      <c r="B168" s="59">
        <v>159</v>
      </c>
      <c r="C168" s="60"/>
      <c r="D168" s="61" t="s">
        <v>588</v>
      </c>
      <c r="E168" s="62" t="s">
        <v>152</v>
      </c>
      <c r="F168" s="63" t="s">
        <v>683</v>
      </c>
      <c r="G168" s="64">
        <v>67196788</v>
      </c>
      <c r="H168" s="65">
        <v>1995530</v>
      </c>
      <c r="I168" s="65">
        <v>69192318</v>
      </c>
      <c r="J168" s="65">
        <v>2251436</v>
      </c>
      <c r="K168" s="65">
        <v>71443754</v>
      </c>
      <c r="L168" s="66"/>
      <c r="M168" s="66"/>
      <c r="N168" s="67"/>
    </row>
    <row r="169" spans="1:14" s="49" customFormat="1" ht="14.1" customHeight="1">
      <c r="A169" s="1"/>
      <c r="B169" s="59">
        <v>160</v>
      </c>
      <c r="C169" s="60"/>
      <c r="D169" s="61" t="s">
        <v>589</v>
      </c>
      <c r="E169" s="62" t="s">
        <v>130</v>
      </c>
      <c r="F169" s="63" t="s">
        <v>683</v>
      </c>
      <c r="G169" s="64">
        <v>69060529</v>
      </c>
      <c r="H169" s="65">
        <v>0</v>
      </c>
      <c r="I169" s="65">
        <v>69060529</v>
      </c>
      <c r="J169" s="65">
        <v>875955</v>
      </c>
      <c r="K169" s="65">
        <v>69936484</v>
      </c>
      <c r="L169" s="66"/>
      <c r="M169" s="66"/>
      <c r="N169" s="67"/>
    </row>
    <row r="170" spans="1:14" s="49" customFormat="1" ht="14.1" customHeight="1">
      <c r="A170" s="1"/>
      <c r="B170" s="59">
        <v>161</v>
      </c>
      <c r="C170" s="60"/>
      <c r="D170" s="61" t="s">
        <v>590</v>
      </c>
      <c r="E170" s="62" t="s">
        <v>672</v>
      </c>
      <c r="F170" s="63" t="s">
        <v>683</v>
      </c>
      <c r="G170" s="64">
        <v>66000000</v>
      </c>
      <c r="H170" s="65">
        <v>0</v>
      </c>
      <c r="I170" s="65">
        <v>66000000</v>
      </c>
      <c r="J170" s="65">
        <v>738262</v>
      </c>
      <c r="K170" s="65">
        <v>66738262</v>
      </c>
      <c r="L170" s="66"/>
      <c r="M170" s="66"/>
      <c r="N170" s="67"/>
    </row>
    <row r="171" spans="1:14" s="49" customFormat="1" ht="14.1" customHeight="1">
      <c r="A171" s="1"/>
      <c r="B171" s="59">
        <v>162</v>
      </c>
      <c r="C171" s="60"/>
      <c r="D171" s="61" t="s">
        <v>591</v>
      </c>
      <c r="E171" s="62" t="s">
        <v>675</v>
      </c>
      <c r="F171" s="63" t="s">
        <v>683</v>
      </c>
      <c r="G171" s="64">
        <v>63467517</v>
      </c>
      <c r="H171" s="65">
        <v>1907450</v>
      </c>
      <c r="I171" s="65">
        <v>65374967</v>
      </c>
      <c r="J171" s="65">
        <v>1919113</v>
      </c>
      <c r="K171" s="65">
        <v>67294080</v>
      </c>
      <c r="L171" s="66"/>
      <c r="M171" s="66"/>
      <c r="N171" s="67"/>
    </row>
    <row r="172" spans="1:14" s="49" customFormat="1" ht="14.1" customHeight="1">
      <c r="A172" s="1"/>
      <c r="B172" s="59">
        <v>163</v>
      </c>
      <c r="C172" s="60"/>
      <c r="D172" s="61" t="s">
        <v>592</v>
      </c>
      <c r="E172" s="62" t="s">
        <v>208</v>
      </c>
      <c r="F172" s="63" t="s">
        <v>683</v>
      </c>
      <c r="G172" s="64">
        <v>65000000</v>
      </c>
      <c r="H172" s="65">
        <v>0</v>
      </c>
      <c r="I172" s="65">
        <v>65000000</v>
      </c>
      <c r="J172" s="65">
        <v>1943726</v>
      </c>
      <c r="K172" s="65">
        <v>66943726</v>
      </c>
      <c r="L172" s="66"/>
      <c r="M172" s="66"/>
      <c r="N172" s="67"/>
    </row>
    <row r="173" spans="1:14" s="49" customFormat="1" ht="14.1" customHeight="1">
      <c r="A173" s="1"/>
      <c r="B173" s="59">
        <v>164</v>
      </c>
      <c r="C173" s="60"/>
      <c r="D173" s="61" t="s">
        <v>593</v>
      </c>
      <c r="E173" s="62" t="s">
        <v>175</v>
      </c>
      <c r="F173" s="63" t="s">
        <v>683</v>
      </c>
      <c r="G173" s="64">
        <v>62749930</v>
      </c>
      <c r="H173" s="65">
        <v>1880841</v>
      </c>
      <c r="I173" s="65">
        <v>64630771</v>
      </c>
      <c r="J173" s="65">
        <v>1394723</v>
      </c>
      <c r="K173" s="65">
        <v>66025494</v>
      </c>
      <c r="L173" s="66"/>
      <c r="M173" s="66"/>
      <c r="N173" s="67"/>
    </row>
    <row r="174" spans="1:14" s="49" customFormat="1" ht="14.1" customHeight="1">
      <c r="A174" s="1"/>
      <c r="B174" s="59">
        <v>165</v>
      </c>
      <c r="C174" s="60"/>
      <c r="D174" s="61" t="s">
        <v>594</v>
      </c>
      <c r="E174" s="62" t="s">
        <v>173</v>
      </c>
      <c r="F174" s="63" t="s">
        <v>683</v>
      </c>
      <c r="G174" s="64">
        <v>63640510</v>
      </c>
      <c r="H174" s="65">
        <v>0</v>
      </c>
      <c r="I174" s="65">
        <v>63640510</v>
      </c>
      <c r="J174" s="65">
        <v>1043850</v>
      </c>
      <c r="K174" s="65">
        <v>64684360</v>
      </c>
      <c r="L174" s="66"/>
      <c r="M174" s="66"/>
      <c r="N174" s="67"/>
    </row>
    <row r="175" spans="1:14" s="49" customFormat="1" ht="14.1" customHeight="1">
      <c r="A175" s="1"/>
      <c r="B175" s="59">
        <v>166</v>
      </c>
      <c r="C175" s="60"/>
      <c r="D175" s="61" t="s">
        <v>595</v>
      </c>
      <c r="E175" s="62" t="s">
        <v>676</v>
      </c>
      <c r="F175" s="63" t="s">
        <v>683</v>
      </c>
      <c r="G175" s="64">
        <v>60000000</v>
      </c>
      <c r="H175" s="65">
        <v>1869310</v>
      </c>
      <c r="I175" s="65">
        <v>61869310</v>
      </c>
      <c r="J175" s="65">
        <v>1570933</v>
      </c>
      <c r="K175" s="65">
        <v>63440243</v>
      </c>
      <c r="L175" s="66"/>
      <c r="M175" s="66"/>
      <c r="N175" s="67"/>
    </row>
    <row r="176" spans="1:14" s="49" customFormat="1" ht="14.1" customHeight="1">
      <c r="A176" s="1"/>
      <c r="B176" s="59">
        <v>167</v>
      </c>
      <c r="C176" s="60"/>
      <c r="D176" s="61" t="s">
        <v>596</v>
      </c>
      <c r="E176" s="62" t="s">
        <v>130</v>
      </c>
      <c r="F176" s="63" t="s">
        <v>683</v>
      </c>
      <c r="G176" s="64">
        <v>60937902</v>
      </c>
      <c r="H176" s="65">
        <v>0</v>
      </c>
      <c r="I176" s="65">
        <v>60937902</v>
      </c>
      <c r="J176" s="65">
        <v>1514160</v>
      </c>
      <c r="K176" s="65">
        <v>62452062</v>
      </c>
      <c r="L176" s="66"/>
      <c r="M176" s="66"/>
      <c r="N176" s="67"/>
    </row>
    <row r="177" spans="1:14" s="49" customFormat="1" ht="14.1" customHeight="1">
      <c r="A177" s="1"/>
      <c r="B177" s="59">
        <v>168</v>
      </c>
      <c r="C177" s="60"/>
      <c r="D177" s="61" t="s">
        <v>597</v>
      </c>
      <c r="E177" s="62" t="s">
        <v>208</v>
      </c>
      <c r="F177" s="63" t="s">
        <v>683</v>
      </c>
      <c r="G177" s="64">
        <v>53681174</v>
      </c>
      <c r="H177" s="65">
        <v>0</v>
      </c>
      <c r="I177" s="65">
        <v>53681174</v>
      </c>
      <c r="J177" s="65">
        <v>255559</v>
      </c>
      <c r="K177" s="65">
        <v>53936733</v>
      </c>
      <c r="L177" s="66"/>
      <c r="M177" s="66"/>
      <c r="N177" s="67"/>
    </row>
    <row r="178" spans="1:14" s="49" customFormat="1" ht="14.1" customHeight="1">
      <c r="A178" s="1"/>
      <c r="B178" s="59">
        <v>169</v>
      </c>
      <c r="C178" s="60"/>
      <c r="D178" s="61" t="s">
        <v>598</v>
      </c>
      <c r="E178" s="62" t="s">
        <v>676</v>
      </c>
      <c r="F178" s="63" t="s">
        <v>683</v>
      </c>
      <c r="G178" s="64">
        <v>53624727</v>
      </c>
      <c r="H178" s="65">
        <v>0</v>
      </c>
      <c r="I178" s="65">
        <v>53624727</v>
      </c>
      <c r="J178" s="65">
        <v>3245398</v>
      </c>
      <c r="K178" s="65">
        <v>56870125</v>
      </c>
      <c r="L178" s="66"/>
      <c r="M178" s="66"/>
      <c r="N178" s="67"/>
    </row>
    <row r="179" spans="1:14" s="49" customFormat="1" ht="14.1" customHeight="1">
      <c r="A179" s="1"/>
      <c r="B179" s="59">
        <v>170</v>
      </c>
      <c r="C179" s="60"/>
      <c r="D179" s="61" t="s">
        <v>599</v>
      </c>
      <c r="E179" s="62" t="s">
        <v>677</v>
      </c>
      <c r="F179" s="63" t="s">
        <v>683</v>
      </c>
      <c r="G179" s="64">
        <v>53011601</v>
      </c>
      <c r="H179" s="65">
        <v>0</v>
      </c>
      <c r="I179" s="65">
        <v>53011601</v>
      </c>
      <c r="J179" s="65">
        <v>4177586</v>
      </c>
      <c r="K179" s="65">
        <v>57189187</v>
      </c>
      <c r="L179" s="66"/>
      <c r="M179" s="66"/>
      <c r="N179" s="67"/>
    </row>
    <row r="180" spans="1:14" s="49" customFormat="1" ht="14.1" customHeight="1">
      <c r="A180" s="1"/>
      <c r="B180" s="59">
        <v>171</v>
      </c>
      <c r="C180" s="60"/>
      <c r="D180" s="61" t="s">
        <v>600</v>
      </c>
      <c r="E180" s="62" t="s">
        <v>141</v>
      </c>
      <c r="F180" s="63" t="s">
        <v>683</v>
      </c>
      <c r="G180" s="64">
        <v>51537709</v>
      </c>
      <c r="H180" s="65">
        <v>0</v>
      </c>
      <c r="I180" s="65">
        <v>51537709</v>
      </c>
      <c r="J180" s="65">
        <v>1795675</v>
      </c>
      <c r="K180" s="65">
        <v>53333384</v>
      </c>
      <c r="L180" s="66"/>
      <c r="M180" s="66"/>
      <c r="N180" s="67"/>
    </row>
    <row r="181" spans="1:14" s="49" customFormat="1" ht="14.1" customHeight="1">
      <c r="A181" s="1"/>
      <c r="B181" s="59">
        <v>172</v>
      </c>
      <c r="C181" s="60"/>
      <c r="D181" s="61" t="s">
        <v>601</v>
      </c>
      <c r="E181" s="62" t="s">
        <v>152</v>
      </c>
      <c r="F181" s="63" t="s">
        <v>683</v>
      </c>
      <c r="G181" s="64">
        <v>51400000</v>
      </c>
      <c r="H181" s="65">
        <v>0</v>
      </c>
      <c r="I181" s="65">
        <v>51400000</v>
      </c>
      <c r="J181" s="65">
        <v>1145678</v>
      </c>
      <c r="K181" s="65">
        <v>52545678</v>
      </c>
      <c r="L181" s="66"/>
      <c r="M181" s="66"/>
      <c r="N181" s="67"/>
    </row>
    <row r="182" spans="1:14" s="49" customFormat="1" ht="14.1" customHeight="1">
      <c r="A182" s="1"/>
      <c r="B182" s="59">
        <v>173</v>
      </c>
      <c r="C182" s="60"/>
      <c r="D182" s="61" t="s">
        <v>602</v>
      </c>
      <c r="E182" s="62" t="s">
        <v>135</v>
      </c>
      <c r="F182" s="63" t="s">
        <v>683</v>
      </c>
      <c r="G182" s="64">
        <v>48333024</v>
      </c>
      <c r="H182" s="65">
        <v>1621678</v>
      </c>
      <c r="I182" s="65">
        <v>49954702</v>
      </c>
      <c r="J182" s="65">
        <v>1481198</v>
      </c>
      <c r="K182" s="65">
        <v>51435900</v>
      </c>
      <c r="L182" s="66"/>
      <c r="M182" s="66"/>
      <c r="N182" s="67"/>
    </row>
    <row r="183" spans="1:14" s="49" customFormat="1" ht="14.1" customHeight="1">
      <c r="A183" s="1"/>
      <c r="B183" s="59">
        <v>174</v>
      </c>
      <c r="C183" s="60"/>
      <c r="D183" s="61" t="s">
        <v>603</v>
      </c>
      <c r="E183" s="62" t="s">
        <v>678</v>
      </c>
      <c r="F183" s="63" t="s">
        <v>684</v>
      </c>
      <c r="G183" s="64">
        <v>50000000</v>
      </c>
      <c r="H183" s="65">
        <v>0</v>
      </c>
      <c r="I183" s="65">
        <v>50000000</v>
      </c>
      <c r="J183" s="65">
        <v>1223138</v>
      </c>
      <c r="K183" s="65">
        <v>51223138</v>
      </c>
      <c r="L183" s="66"/>
      <c r="M183" s="66"/>
      <c r="N183" s="67"/>
    </row>
    <row r="184" spans="1:14" s="49" customFormat="1" ht="14.1" customHeight="1">
      <c r="A184" s="1"/>
      <c r="B184" s="59">
        <v>175</v>
      </c>
      <c r="C184" s="60"/>
      <c r="D184" s="61" t="s">
        <v>604</v>
      </c>
      <c r="E184" s="62" t="s">
        <v>679</v>
      </c>
      <c r="F184" s="63" t="s">
        <v>684</v>
      </c>
      <c r="G184" s="64">
        <v>50000000</v>
      </c>
      <c r="H184" s="65">
        <v>0</v>
      </c>
      <c r="I184" s="65">
        <v>50000000</v>
      </c>
      <c r="J184" s="65">
        <v>2116018</v>
      </c>
      <c r="K184" s="65">
        <v>52116018</v>
      </c>
      <c r="L184" s="66"/>
      <c r="M184" s="66"/>
      <c r="N184" s="67"/>
    </row>
    <row r="185" spans="1:14" s="49" customFormat="1" ht="14.1" customHeight="1">
      <c r="A185" s="1"/>
      <c r="B185" s="59">
        <v>176</v>
      </c>
      <c r="C185" s="60"/>
      <c r="D185" s="61" t="s">
        <v>605</v>
      </c>
      <c r="E185" s="62" t="s">
        <v>109</v>
      </c>
      <c r="F185" s="63" t="s">
        <v>683</v>
      </c>
      <c r="G185" s="64">
        <v>48132347</v>
      </c>
      <c r="H185" s="65">
        <v>1706250</v>
      </c>
      <c r="I185" s="65">
        <v>49838597</v>
      </c>
      <c r="J185" s="65">
        <v>2216580</v>
      </c>
      <c r="K185" s="65">
        <v>52055177</v>
      </c>
      <c r="L185" s="66"/>
      <c r="M185" s="66"/>
      <c r="N185" s="67"/>
    </row>
    <row r="186" spans="1:14" s="49" customFormat="1" ht="14.1" customHeight="1">
      <c r="A186" s="1"/>
      <c r="B186" s="59">
        <v>177</v>
      </c>
      <c r="C186" s="60"/>
      <c r="D186" s="61" t="s">
        <v>606</v>
      </c>
      <c r="E186" s="62" t="s">
        <v>152</v>
      </c>
      <c r="F186" s="63" t="s">
        <v>683</v>
      </c>
      <c r="G186" s="64">
        <v>47143983</v>
      </c>
      <c r="H186" s="65">
        <v>1632728</v>
      </c>
      <c r="I186" s="65">
        <v>48776711</v>
      </c>
      <c r="J186" s="65">
        <v>2123514</v>
      </c>
      <c r="K186" s="65">
        <v>50900225</v>
      </c>
      <c r="L186" s="66"/>
      <c r="M186" s="66"/>
      <c r="N186" s="67"/>
    </row>
    <row r="187" spans="1:14" s="49" customFormat="1" ht="14.1" customHeight="1">
      <c r="A187" s="1"/>
      <c r="B187" s="59">
        <v>178</v>
      </c>
      <c r="C187" s="60"/>
      <c r="D187" s="61" t="s">
        <v>607</v>
      </c>
      <c r="E187" s="62" t="s">
        <v>208</v>
      </c>
      <c r="F187" s="63" t="s">
        <v>683</v>
      </c>
      <c r="G187" s="64">
        <v>48000000</v>
      </c>
      <c r="H187" s="65">
        <v>551990</v>
      </c>
      <c r="I187" s="65">
        <v>48551990</v>
      </c>
      <c r="J187" s="65">
        <v>2781801</v>
      </c>
      <c r="K187" s="65">
        <v>51333791</v>
      </c>
      <c r="L187" s="66"/>
      <c r="M187" s="66"/>
      <c r="N187" s="67"/>
    </row>
    <row r="188" spans="1:14" s="49" customFormat="1" ht="14.1" customHeight="1">
      <c r="A188" s="1"/>
      <c r="B188" s="59">
        <v>179</v>
      </c>
      <c r="C188" s="60"/>
      <c r="D188" s="61" t="s">
        <v>608</v>
      </c>
      <c r="E188" s="62" t="s">
        <v>221</v>
      </c>
      <c r="F188" s="63" t="s">
        <v>683</v>
      </c>
      <c r="G188" s="64">
        <v>48435345</v>
      </c>
      <c r="H188" s="65">
        <v>0</v>
      </c>
      <c r="I188" s="65">
        <v>48435345</v>
      </c>
      <c r="J188" s="65">
        <v>1280998</v>
      </c>
      <c r="K188" s="65">
        <v>49716343</v>
      </c>
      <c r="L188" s="66"/>
      <c r="M188" s="66"/>
      <c r="N188" s="67"/>
    </row>
    <row r="189" spans="1:14" s="49" customFormat="1" ht="14.1" customHeight="1">
      <c r="A189" s="1"/>
      <c r="B189" s="59">
        <v>180</v>
      </c>
      <c r="C189" s="60"/>
      <c r="D189" s="61" t="s">
        <v>609</v>
      </c>
      <c r="E189" s="62" t="s">
        <v>183</v>
      </c>
      <c r="F189" s="63" t="s">
        <v>683</v>
      </c>
      <c r="G189" s="64">
        <v>47622122</v>
      </c>
      <c r="H189" s="65">
        <v>0</v>
      </c>
      <c r="I189" s="65">
        <v>47622122</v>
      </c>
      <c r="J189" s="65">
        <v>1871116</v>
      </c>
      <c r="K189" s="65">
        <v>49493238</v>
      </c>
      <c r="L189" s="66"/>
      <c r="M189" s="66"/>
      <c r="N189" s="67"/>
    </row>
    <row r="190" spans="1:14" s="49" customFormat="1" ht="14.1" customHeight="1">
      <c r="A190" s="1"/>
      <c r="B190" s="59">
        <v>181</v>
      </c>
      <c r="C190" s="60"/>
      <c r="D190" s="61" t="s">
        <v>610</v>
      </c>
      <c r="E190" s="62" t="s">
        <v>109</v>
      </c>
      <c r="F190" s="63" t="s">
        <v>683</v>
      </c>
      <c r="G190" s="64">
        <v>45000000</v>
      </c>
      <c r="H190" s="65">
        <v>1720880</v>
      </c>
      <c r="I190" s="65">
        <v>46720880</v>
      </c>
      <c r="J190" s="65">
        <v>1302048</v>
      </c>
      <c r="K190" s="65">
        <v>48022928</v>
      </c>
      <c r="L190" s="66"/>
      <c r="M190" s="66"/>
      <c r="N190" s="67"/>
    </row>
    <row r="191" spans="1:14" s="49" customFormat="1" ht="14.1" customHeight="1">
      <c r="A191" s="1"/>
      <c r="B191" s="59">
        <v>182</v>
      </c>
      <c r="C191" s="60"/>
      <c r="D191" s="61" t="s">
        <v>611</v>
      </c>
      <c r="E191" s="62" t="s">
        <v>135</v>
      </c>
      <c r="F191" s="63" t="s">
        <v>683</v>
      </c>
      <c r="G191" s="64">
        <v>44948712</v>
      </c>
      <c r="H191" s="65">
        <v>0</v>
      </c>
      <c r="I191" s="65">
        <v>44948712</v>
      </c>
      <c r="J191" s="65">
        <v>1357129</v>
      </c>
      <c r="K191" s="65">
        <v>46305841</v>
      </c>
      <c r="L191" s="66"/>
      <c r="M191" s="66"/>
      <c r="N191" s="67"/>
    </row>
    <row r="192" spans="1:14" s="49" customFormat="1" ht="14.1" customHeight="1">
      <c r="A192" s="1"/>
      <c r="B192" s="59">
        <v>183</v>
      </c>
      <c r="C192" s="60"/>
      <c r="D192" s="61" t="s">
        <v>612</v>
      </c>
      <c r="E192" s="62" t="s">
        <v>646</v>
      </c>
      <c r="F192" s="63" t="s">
        <v>683</v>
      </c>
      <c r="G192" s="64">
        <v>40200000</v>
      </c>
      <c r="H192" s="65">
        <v>1556650</v>
      </c>
      <c r="I192" s="65">
        <v>41756650</v>
      </c>
      <c r="J192" s="65">
        <v>1836718</v>
      </c>
      <c r="K192" s="65">
        <v>43593368</v>
      </c>
      <c r="L192" s="66"/>
      <c r="M192" s="66"/>
      <c r="N192" s="67"/>
    </row>
    <row r="193" spans="1:14" s="49" customFormat="1" ht="14.1" customHeight="1">
      <c r="A193" s="1"/>
      <c r="B193" s="59">
        <v>184</v>
      </c>
      <c r="C193" s="60"/>
      <c r="D193" s="61" t="s">
        <v>613</v>
      </c>
      <c r="E193" s="62" t="s">
        <v>109</v>
      </c>
      <c r="F193" s="63" t="s">
        <v>683</v>
      </c>
      <c r="G193" s="64">
        <v>39000000</v>
      </c>
      <c r="H193" s="65">
        <v>1534240</v>
      </c>
      <c r="I193" s="65">
        <v>40534240</v>
      </c>
      <c r="J193" s="65">
        <v>2524956</v>
      </c>
      <c r="K193" s="65">
        <v>43059196</v>
      </c>
      <c r="L193" s="66"/>
      <c r="M193" s="66"/>
      <c r="N193" s="67"/>
    </row>
    <row r="194" spans="1:14" s="49" customFormat="1" ht="14.1" customHeight="1">
      <c r="A194" s="1"/>
      <c r="B194" s="59">
        <v>185</v>
      </c>
      <c r="C194" s="60"/>
      <c r="D194" s="61" t="s">
        <v>614</v>
      </c>
      <c r="E194" s="62" t="s">
        <v>152</v>
      </c>
      <c r="F194" s="63" t="s">
        <v>683</v>
      </c>
      <c r="G194" s="64">
        <v>39890000</v>
      </c>
      <c r="H194" s="65">
        <v>0</v>
      </c>
      <c r="I194" s="65">
        <v>39890000</v>
      </c>
      <c r="J194" s="65">
        <v>2464759</v>
      </c>
      <c r="K194" s="65">
        <v>42354759</v>
      </c>
      <c r="L194" s="66"/>
      <c r="M194" s="66"/>
      <c r="N194" s="67"/>
    </row>
    <row r="195" spans="1:14" s="49" customFormat="1" ht="14.1" customHeight="1">
      <c r="A195" s="1"/>
      <c r="B195" s="59">
        <v>186</v>
      </c>
      <c r="C195" s="60"/>
      <c r="D195" s="61" t="s">
        <v>615</v>
      </c>
      <c r="E195" s="62" t="s">
        <v>168</v>
      </c>
      <c r="F195" s="63" t="s">
        <v>683</v>
      </c>
      <c r="G195" s="64">
        <v>37000000</v>
      </c>
      <c r="H195" s="65">
        <v>1463133</v>
      </c>
      <c r="I195" s="65">
        <v>38463133</v>
      </c>
      <c r="J195" s="65">
        <v>1206799</v>
      </c>
      <c r="K195" s="65">
        <v>39669932</v>
      </c>
      <c r="L195" s="66"/>
      <c r="M195" s="66"/>
      <c r="N195" s="67"/>
    </row>
    <row r="196" spans="1:14" s="49" customFormat="1" ht="14.1" customHeight="1">
      <c r="A196" s="1"/>
      <c r="B196" s="59">
        <v>187</v>
      </c>
      <c r="C196" s="60"/>
      <c r="D196" s="61" t="s">
        <v>616</v>
      </c>
      <c r="E196" s="62" t="s">
        <v>168</v>
      </c>
      <c r="F196" s="63" t="s">
        <v>683</v>
      </c>
      <c r="G196" s="64">
        <v>38304329</v>
      </c>
      <c r="H196" s="65">
        <v>1459304</v>
      </c>
      <c r="I196" s="65">
        <v>39763633</v>
      </c>
      <c r="J196" s="65">
        <v>987334</v>
      </c>
      <c r="K196" s="65">
        <v>40750967</v>
      </c>
      <c r="L196" s="66"/>
      <c r="M196" s="66"/>
      <c r="N196" s="67"/>
    </row>
    <row r="197" spans="1:14" s="49" customFormat="1" ht="14.1" customHeight="1">
      <c r="A197" s="1"/>
      <c r="B197" s="59">
        <v>188</v>
      </c>
      <c r="C197" s="60"/>
      <c r="D197" s="61" t="s">
        <v>617</v>
      </c>
      <c r="E197" s="62" t="s">
        <v>152</v>
      </c>
      <c r="F197" s="63" t="s">
        <v>683</v>
      </c>
      <c r="G197" s="64">
        <v>37998855</v>
      </c>
      <c r="H197" s="65">
        <v>0</v>
      </c>
      <c r="I197" s="65">
        <v>37998855</v>
      </c>
      <c r="J197" s="65">
        <v>606253</v>
      </c>
      <c r="K197" s="65">
        <v>38605108</v>
      </c>
      <c r="L197" s="66"/>
      <c r="M197" s="66"/>
      <c r="N197" s="67"/>
    </row>
    <row r="198" spans="1:14" s="49" customFormat="1" ht="14.1" customHeight="1">
      <c r="A198" s="1"/>
      <c r="B198" s="59">
        <v>189</v>
      </c>
      <c r="C198" s="60"/>
      <c r="D198" s="61" t="s">
        <v>618</v>
      </c>
      <c r="E198" s="62" t="s">
        <v>92</v>
      </c>
      <c r="F198" s="63" t="s">
        <v>683</v>
      </c>
      <c r="G198" s="64">
        <v>37591551</v>
      </c>
      <c r="H198" s="65">
        <v>0</v>
      </c>
      <c r="I198" s="65">
        <v>37591551</v>
      </c>
      <c r="J198" s="65">
        <v>714018</v>
      </c>
      <c r="K198" s="65">
        <v>38305569</v>
      </c>
      <c r="L198" s="66"/>
      <c r="M198" s="66"/>
      <c r="N198" s="67"/>
    </row>
    <row r="199" spans="1:14" s="49" customFormat="1" ht="14.1" customHeight="1">
      <c r="A199" s="1"/>
      <c r="B199" s="59">
        <v>190</v>
      </c>
      <c r="C199" s="60"/>
      <c r="D199" s="61" t="s">
        <v>619</v>
      </c>
      <c r="E199" s="62" t="s">
        <v>109</v>
      </c>
      <c r="F199" s="63" t="s">
        <v>683</v>
      </c>
      <c r="G199" s="64">
        <v>37000000</v>
      </c>
      <c r="H199" s="65">
        <v>0</v>
      </c>
      <c r="I199" s="65">
        <v>37000000</v>
      </c>
      <c r="J199" s="65">
        <v>1373945</v>
      </c>
      <c r="K199" s="65">
        <v>38373945</v>
      </c>
      <c r="L199" s="66"/>
      <c r="M199" s="66"/>
      <c r="N199" s="67"/>
    </row>
    <row r="200" spans="1:14" s="49" customFormat="1" ht="14.1" customHeight="1">
      <c r="A200" s="1"/>
      <c r="B200" s="59">
        <v>191</v>
      </c>
      <c r="C200" s="60"/>
      <c r="D200" s="61" t="s">
        <v>620</v>
      </c>
      <c r="E200" s="62" t="s">
        <v>661</v>
      </c>
      <c r="F200" s="63" t="s">
        <v>683</v>
      </c>
      <c r="G200" s="64">
        <v>34799168</v>
      </c>
      <c r="H200" s="65">
        <v>1458690</v>
      </c>
      <c r="I200" s="65">
        <v>36257858</v>
      </c>
      <c r="J200" s="65">
        <v>2016639</v>
      </c>
      <c r="K200" s="65">
        <v>38274497</v>
      </c>
      <c r="L200" s="66"/>
      <c r="M200" s="66"/>
      <c r="N200" s="67"/>
    </row>
    <row r="201" spans="1:14" s="49" customFormat="1" ht="14.1" customHeight="1">
      <c r="A201" s="1"/>
      <c r="B201" s="59">
        <v>192</v>
      </c>
      <c r="C201" s="60"/>
      <c r="D201" s="61" t="s">
        <v>621</v>
      </c>
      <c r="E201" s="62" t="s">
        <v>680</v>
      </c>
      <c r="F201" s="63" t="s">
        <v>683</v>
      </c>
      <c r="G201" s="64">
        <v>34665328</v>
      </c>
      <c r="H201" s="65">
        <v>0</v>
      </c>
      <c r="I201" s="65">
        <v>34665328</v>
      </c>
      <c r="J201" s="65">
        <v>4247400</v>
      </c>
      <c r="K201" s="65">
        <v>38912728</v>
      </c>
      <c r="L201" s="66"/>
      <c r="M201" s="66"/>
      <c r="N201" s="67"/>
    </row>
    <row r="202" spans="1:14" s="49" customFormat="1" ht="14.1" customHeight="1">
      <c r="A202" s="1"/>
      <c r="B202" s="59">
        <v>193</v>
      </c>
      <c r="C202" s="60"/>
      <c r="D202" s="61" t="s">
        <v>622</v>
      </c>
      <c r="E202" s="62" t="s">
        <v>141</v>
      </c>
      <c r="F202" s="63" t="s">
        <v>683</v>
      </c>
      <c r="G202" s="64">
        <v>32064941</v>
      </c>
      <c r="H202" s="65">
        <v>1476150</v>
      </c>
      <c r="I202" s="65">
        <v>33541091</v>
      </c>
      <c r="J202" s="65">
        <v>1744308</v>
      </c>
      <c r="K202" s="65">
        <v>35285399</v>
      </c>
      <c r="L202" s="66"/>
      <c r="M202" s="66"/>
      <c r="N202" s="67"/>
    </row>
    <row r="203" spans="1:14" s="49" customFormat="1" ht="14.1" customHeight="1">
      <c r="A203" s="1"/>
      <c r="B203" s="59">
        <v>194</v>
      </c>
      <c r="C203" s="60"/>
      <c r="D203" s="61" t="s">
        <v>623</v>
      </c>
      <c r="E203" s="62" t="s">
        <v>141</v>
      </c>
      <c r="F203" s="63" t="s">
        <v>683</v>
      </c>
      <c r="G203" s="64">
        <v>32541520</v>
      </c>
      <c r="H203" s="65">
        <v>1629960</v>
      </c>
      <c r="I203" s="65">
        <v>34171480</v>
      </c>
      <c r="J203" s="65">
        <v>1099037</v>
      </c>
      <c r="K203" s="65">
        <v>35270517</v>
      </c>
      <c r="L203" s="66"/>
      <c r="M203" s="66"/>
      <c r="N203" s="67"/>
    </row>
    <row r="204" spans="1:14" s="49" customFormat="1" ht="14.1" customHeight="1">
      <c r="A204" s="1"/>
      <c r="B204" s="59">
        <v>195</v>
      </c>
      <c r="C204" s="60"/>
      <c r="D204" s="61" t="s">
        <v>624</v>
      </c>
      <c r="E204" s="62" t="s">
        <v>221</v>
      </c>
      <c r="F204" s="63" t="s">
        <v>683</v>
      </c>
      <c r="G204" s="64">
        <v>30000000</v>
      </c>
      <c r="H204" s="65">
        <v>1444070</v>
      </c>
      <c r="I204" s="65">
        <v>31444070</v>
      </c>
      <c r="J204" s="65">
        <v>3892073</v>
      </c>
      <c r="K204" s="65">
        <v>35336143</v>
      </c>
      <c r="L204" s="66"/>
      <c r="M204" s="66"/>
      <c r="N204" s="67"/>
    </row>
    <row r="205" spans="1:14" s="49" customFormat="1" ht="14.1" customHeight="1">
      <c r="A205" s="1"/>
      <c r="B205" s="59">
        <v>196</v>
      </c>
      <c r="C205" s="60"/>
      <c r="D205" s="61" t="s">
        <v>625</v>
      </c>
      <c r="E205" s="62" t="s">
        <v>681</v>
      </c>
      <c r="F205" s="63" t="s">
        <v>683</v>
      </c>
      <c r="G205" s="64">
        <v>30556982</v>
      </c>
      <c r="H205" s="65">
        <v>1481120</v>
      </c>
      <c r="I205" s="65">
        <v>32038102</v>
      </c>
      <c r="J205" s="65">
        <v>876610</v>
      </c>
      <c r="K205" s="65">
        <v>32914712</v>
      </c>
      <c r="L205" s="66"/>
      <c r="M205" s="66"/>
      <c r="N205" s="67"/>
    </row>
    <row r="206" spans="1:14" s="49" customFormat="1" ht="14.1" customHeight="1">
      <c r="A206" s="1"/>
      <c r="B206" s="59">
        <v>197</v>
      </c>
      <c r="C206" s="60"/>
      <c r="D206" s="61" t="s">
        <v>626</v>
      </c>
      <c r="E206" s="62" t="s">
        <v>137</v>
      </c>
      <c r="F206" s="63" t="s">
        <v>683</v>
      </c>
      <c r="G206" s="64">
        <v>29000000</v>
      </c>
      <c r="H206" s="65">
        <v>449910</v>
      </c>
      <c r="I206" s="65">
        <v>29449910</v>
      </c>
      <c r="J206" s="65">
        <v>1229550</v>
      </c>
      <c r="K206" s="65">
        <v>30679460</v>
      </c>
      <c r="L206" s="66"/>
      <c r="M206" s="66"/>
      <c r="N206" s="67"/>
    </row>
    <row r="207" spans="1:14" s="49" customFormat="1" ht="14.1" customHeight="1">
      <c r="A207" s="1"/>
      <c r="B207" s="59">
        <v>198</v>
      </c>
      <c r="C207" s="60"/>
      <c r="D207" s="61" t="s">
        <v>627</v>
      </c>
      <c r="E207" s="62" t="s">
        <v>109</v>
      </c>
      <c r="F207" s="63" t="s">
        <v>683</v>
      </c>
      <c r="G207" s="64">
        <v>26600000</v>
      </c>
      <c r="H207" s="65">
        <v>1319600</v>
      </c>
      <c r="I207" s="65">
        <v>27919600</v>
      </c>
      <c r="J207" s="65">
        <v>1543083</v>
      </c>
      <c r="K207" s="65">
        <v>29462683</v>
      </c>
      <c r="L207" s="66"/>
      <c r="M207" s="66"/>
      <c r="N207" s="67"/>
    </row>
    <row r="208" spans="1:14" s="49" customFormat="1" ht="14.1" customHeight="1">
      <c r="A208" s="1"/>
      <c r="B208" s="59">
        <v>199</v>
      </c>
      <c r="C208" s="60"/>
      <c r="D208" s="61" t="s">
        <v>628</v>
      </c>
      <c r="E208" s="62" t="s">
        <v>152</v>
      </c>
      <c r="F208" s="63" t="s">
        <v>683</v>
      </c>
      <c r="G208" s="64">
        <v>25725000</v>
      </c>
      <c r="H208" s="65">
        <v>1229375</v>
      </c>
      <c r="I208" s="65">
        <v>26954375</v>
      </c>
      <c r="J208" s="65">
        <v>987713</v>
      </c>
      <c r="K208" s="65">
        <v>27942088</v>
      </c>
      <c r="L208" s="66"/>
      <c r="M208" s="66"/>
      <c r="N208" s="67"/>
    </row>
    <row r="209" spans="1:14" s="49" customFormat="1" ht="14.1" customHeight="1">
      <c r="A209" s="1"/>
      <c r="B209" s="59">
        <v>200</v>
      </c>
      <c r="C209" s="60"/>
      <c r="D209" s="61" t="s">
        <v>629</v>
      </c>
      <c r="E209" s="62" t="s">
        <v>234</v>
      </c>
      <c r="F209" s="63" t="s">
        <v>683</v>
      </c>
      <c r="G209" s="64">
        <v>24997321</v>
      </c>
      <c r="H209" s="65">
        <v>1213679</v>
      </c>
      <c r="I209" s="65">
        <v>26211000</v>
      </c>
      <c r="J209" s="65">
        <v>950568</v>
      </c>
      <c r="K209" s="65">
        <v>27161568</v>
      </c>
      <c r="L209" s="66"/>
      <c r="M209" s="66"/>
      <c r="N209" s="67"/>
    </row>
    <row r="210" spans="1:14" s="49" customFormat="1" ht="14.1" customHeight="1">
      <c r="A210" s="1"/>
      <c r="B210" s="59">
        <v>201</v>
      </c>
      <c r="C210" s="60"/>
      <c r="D210" s="61" t="s">
        <v>630</v>
      </c>
      <c r="E210" s="62" t="s">
        <v>168</v>
      </c>
      <c r="F210" s="63" t="s">
        <v>683</v>
      </c>
      <c r="G210" s="64">
        <v>19845000</v>
      </c>
      <c r="H210" s="65">
        <v>1223960</v>
      </c>
      <c r="I210" s="65">
        <v>21068960</v>
      </c>
      <c r="J210" s="65">
        <v>802188</v>
      </c>
      <c r="K210" s="65">
        <v>21871148</v>
      </c>
      <c r="L210" s="66"/>
      <c r="M210" s="66"/>
      <c r="N210" s="67"/>
    </row>
    <row r="211" spans="1:14" s="49" customFormat="1" ht="14.1" customHeight="1">
      <c r="A211" s="1"/>
      <c r="B211" s="59">
        <v>202</v>
      </c>
      <c r="C211" s="60"/>
      <c r="D211" s="61" t="s">
        <v>631</v>
      </c>
      <c r="E211" s="62" t="s">
        <v>151</v>
      </c>
      <c r="F211" s="63" t="s">
        <v>683</v>
      </c>
      <c r="G211" s="64">
        <v>20000000</v>
      </c>
      <c r="H211" s="65">
        <v>1201440</v>
      </c>
      <c r="I211" s="65">
        <v>21201440</v>
      </c>
      <c r="J211" s="65">
        <v>1085519</v>
      </c>
      <c r="K211" s="65">
        <v>22286959</v>
      </c>
      <c r="L211" s="66"/>
      <c r="M211" s="66"/>
      <c r="N211" s="67"/>
    </row>
    <row r="212" spans="1:14" s="49" customFormat="1" ht="14.1" customHeight="1">
      <c r="A212" s="1"/>
      <c r="B212" s="59">
        <v>203</v>
      </c>
      <c r="C212" s="60"/>
      <c r="D212" s="61" t="s">
        <v>632</v>
      </c>
      <c r="E212" s="62" t="s">
        <v>205</v>
      </c>
      <c r="F212" s="63" t="s">
        <v>683</v>
      </c>
      <c r="G212" s="64">
        <v>20000000</v>
      </c>
      <c r="H212" s="65">
        <v>0</v>
      </c>
      <c r="I212" s="65">
        <v>20000000</v>
      </c>
      <c r="J212" s="65">
        <v>512825</v>
      </c>
      <c r="K212" s="65">
        <v>20512825</v>
      </c>
      <c r="L212" s="66"/>
      <c r="M212" s="66"/>
      <c r="N212" s="67"/>
    </row>
    <row r="213" spans="1:14" s="49" customFormat="1" ht="14.1" customHeight="1">
      <c r="A213" s="1"/>
      <c r="B213" s="59">
        <v>204</v>
      </c>
      <c r="C213" s="60"/>
      <c r="D213" s="61" t="s">
        <v>633</v>
      </c>
      <c r="E213" s="62" t="s">
        <v>152</v>
      </c>
      <c r="F213" s="63" t="s">
        <v>683</v>
      </c>
      <c r="G213" s="64">
        <v>15266486</v>
      </c>
      <c r="H213" s="65">
        <v>1269890</v>
      </c>
      <c r="I213" s="65">
        <v>16536376</v>
      </c>
      <c r="J213" s="65">
        <v>1048133</v>
      </c>
      <c r="K213" s="65">
        <v>17584509</v>
      </c>
      <c r="L213" s="66"/>
      <c r="M213" s="66"/>
      <c r="N213" s="67"/>
    </row>
    <row r="214" spans="1:14" s="49" customFormat="1" ht="14.1" customHeight="1">
      <c r="A214" s="1"/>
      <c r="B214" s="59">
        <v>205</v>
      </c>
      <c r="C214" s="60"/>
      <c r="D214" s="61" t="s">
        <v>634</v>
      </c>
      <c r="E214" s="62" t="s">
        <v>152</v>
      </c>
      <c r="F214" s="63" t="s">
        <v>683</v>
      </c>
      <c r="G214" s="64">
        <v>14355125</v>
      </c>
      <c r="H214" s="65">
        <v>1070420</v>
      </c>
      <c r="I214" s="65">
        <v>15425545</v>
      </c>
      <c r="J214" s="65">
        <v>574980</v>
      </c>
      <c r="K214" s="65">
        <v>16000525</v>
      </c>
      <c r="L214" s="66"/>
      <c r="M214" s="66"/>
      <c r="N214" s="67"/>
    </row>
    <row r="215" spans="1:14" s="49" customFormat="1" ht="14.1" customHeight="1">
      <c r="A215" s="1"/>
      <c r="B215" s="59">
        <v>206</v>
      </c>
      <c r="C215" s="60"/>
      <c r="D215" s="61" t="s">
        <v>635</v>
      </c>
      <c r="E215" s="62" t="s">
        <v>152</v>
      </c>
      <c r="F215" s="63" t="s">
        <v>683</v>
      </c>
      <c r="G215" s="64">
        <v>14368477</v>
      </c>
      <c r="H215" s="65">
        <v>0</v>
      </c>
      <c r="I215" s="65">
        <v>14368477</v>
      </c>
      <c r="J215" s="65">
        <v>398792</v>
      </c>
      <c r="K215" s="65">
        <v>14767269</v>
      </c>
      <c r="L215" s="66"/>
      <c r="M215" s="66"/>
      <c r="N215" s="67"/>
    </row>
    <row r="216" spans="1:14" s="49" customFormat="1" ht="14.1" customHeight="1">
      <c r="A216" s="1"/>
      <c r="B216" s="59">
        <v>207</v>
      </c>
      <c r="C216" s="60"/>
      <c r="D216" s="61" t="s">
        <v>636</v>
      </c>
      <c r="E216" s="62" t="s">
        <v>138</v>
      </c>
      <c r="F216" s="63" t="s">
        <v>683</v>
      </c>
      <c r="G216" s="64">
        <v>8400000</v>
      </c>
      <c r="H216" s="65">
        <v>0</v>
      </c>
      <c r="I216" s="65">
        <v>8400000</v>
      </c>
      <c r="J216" s="65">
        <v>69285</v>
      </c>
      <c r="K216" s="65">
        <v>8469285</v>
      </c>
      <c r="L216" s="66"/>
      <c r="M216" s="66"/>
      <c r="N216" s="67"/>
    </row>
    <row r="217" spans="1:14" s="49" customFormat="1" ht="14.1" customHeight="1">
      <c r="A217" s="1"/>
      <c r="B217" s="59">
        <v>208</v>
      </c>
      <c r="C217" s="60"/>
      <c r="D217" s="61" t="s">
        <v>637</v>
      </c>
      <c r="E217" s="62" t="s">
        <v>682</v>
      </c>
      <c r="F217" s="63" t="s">
        <v>684</v>
      </c>
      <c r="G217" s="64">
        <v>2992000000</v>
      </c>
      <c r="H217" s="65">
        <v>0</v>
      </c>
      <c r="I217" s="65">
        <v>2992000000</v>
      </c>
      <c r="J217" s="65">
        <v>42571111</v>
      </c>
      <c r="K217" s="65">
        <v>3034571111</v>
      </c>
      <c r="L217" s="66"/>
      <c r="M217" s="66"/>
      <c r="N217" s="67"/>
    </row>
  </sheetData>
  <autoFilter ref="A9:N217"/>
  <phoneticPr fontId="4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4"/>
  <sheetViews>
    <sheetView showGridLines="0" workbookViewId="0">
      <selection sqref="A1:C5"/>
    </sheetView>
  </sheetViews>
  <sheetFormatPr defaultColWidth="9" defaultRowHeight="14.1" customHeight="1"/>
  <cols>
    <col min="1" max="1" width="2.625" style="87" customWidth="1"/>
    <col min="2" max="2" width="8.75" style="87" customWidth="1"/>
    <col min="3" max="3" width="10.875" style="87" customWidth="1"/>
    <col min="4" max="4" width="13.25" style="87" customWidth="1"/>
    <col min="5" max="5" width="21.125" style="87" customWidth="1"/>
    <col min="6" max="6" width="39" style="82" bestFit="1" customWidth="1"/>
    <col min="7" max="7" width="15.75" style="83" bestFit="1" customWidth="1"/>
    <col min="8" max="8" width="10.875" style="83" bestFit="1" customWidth="1"/>
    <col min="9" max="9" width="12.125" style="89" customWidth="1"/>
    <col min="10" max="10" width="18.75" style="89" customWidth="1"/>
    <col min="11" max="14" width="12.125" style="153" customWidth="1"/>
    <col min="15" max="15" width="13.5" style="82" customWidth="1"/>
    <col min="16" max="16" width="15.625" style="154" customWidth="1"/>
    <col min="17" max="17" width="14.375" style="153" customWidth="1"/>
    <col min="18" max="18" width="18.75" style="84" customWidth="1"/>
    <col min="19" max="19" width="20.375" style="84" customWidth="1"/>
    <col min="20" max="20" width="14.375" style="84" customWidth="1"/>
    <col min="21" max="21" width="20.125" style="84" customWidth="1"/>
    <col min="22" max="23" width="15.875" style="84" customWidth="1"/>
    <col min="24" max="24" width="23.875" style="82" customWidth="1"/>
    <col min="25" max="16384" width="9" style="79"/>
  </cols>
  <sheetData>
    <row r="1" spans="1:24" ht="13.5" customHeight="1">
      <c r="A1" s="75"/>
      <c r="B1" s="76"/>
      <c r="C1" s="76"/>
      <c r="D1" s="77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</row>
    <row r="2" spans="1:24" ht="20.100000000000001" customHeight="1">
      <c r="A2" s="80"/>
      <c r="B2" s="10" t="s">
        <v>429</v>
      </c>
      <c r="C2" s="81"/>
      <c r="D2" s="82"/>
      <c r="E2" s="82"/>
      <c r="I2" s="84"/>
      <c r="J2" s="84"/>
      <c r="K2" s="84"/>
      <c r="L2" s="85"/>
      <c r="M2" s="86"/>
      <c r="N2" s="83"/>
      <c r="P2" s="86"/>
      <c r="Q2" s="83"/>
      <c r="R2" s="86"/>
      <c r="S2" s="86"/>
      <c r="T2" s="86"/>
      <c r="U2" s="86"/>
      <c r="V2" s="86"/>
      <c r="W2" s="86"/>
      <c r="X2" s="75"/>
    </row>
    <row r="3" spans="1:24" ht="20.100000000000001" customHeight="1">
      <c r="B3" s="20" t="s">
        <v>29</v>
      </c>
      <c r="C3" s="88"/>
      <c r="D3" s="82"/>
      <c r="K3" s="90"/>
      <c r="L3" s="90"/>
      <c r="M3" s="91"/>
      <c r="N3" s="84"/>
      <c r="P3" s="92"/>
      <c r="Q3" s="91"/>
      <c r="R3" s="92"/>
      <c r="S3" s="92"/>
      <c r="T3" s="92"/>
      <c r="U3" s="92"/>
      <c r="V3" s="92"/>
      <c r="W3" s="92"/>
      <c r="X3" s="75"/>
    </row>
    <row r="4" spans="1:24" ht="20.100000000000001" customHeight="1">
      <c r="B4" s="20" t="s">
        <v>30</v>
      </c>
      <c r="C4" s="93"/>
      <c r="D4" s="82"/>
      <c r="K4" s="94"/>
      <c r="L4" s="95"/>
      <c r="M4" s="96"/>
      <c r="N4" s="75"/>
      <c r="P4" s="92"/>
      <c r="Q4" s="97"/>
      <c r="R4" s="98"/>
      <c r="S4" s="98"/>
      <c r="T4" s="98"/>
      <c r="U4" s="98"/>
      <c r="V4" s="98"/>
      <c r="W4" s="98"/>
      <c r="X4" s="75"/>
    </row>
    <row r="5" spans="1:24" ht="9.9499999999999993" customHeight="1" thickBot="1">
      <c r="A5" s="99"/>
      <c r="B5" s="100"/>
      <c r="C5" s="100"/>
      <c r="D5" s="101"/>
      <c r="E5" s="82"/>
      <c r="I5" s="82"/>
      <c r="J5" s="82"/>
      <c r="K5" s="82"/>
      <c r="L5" s="82"/>
      <c r="M5" s="82"/>
      <c r="N5" s="82"/>
      <c r="P5" s="82"/>
      <c r="Q5" s="82"/>
      <c r="R5" s="82"/>
      <c r="S5" s="82"/>
      <c r="T5" s="82"/>
      <c r="U5" s="82"/>
      <c r="V5" s="83"/>
      <c r="W5" s="82"/>
    </row>
    <row r="6" spans="1:24" ht="13.5" customHeight="1">
      <c r="A6" s="102"/>
      <c r="B6" s="103" t="s">
        <v>2</v>
      </c>
      <c r="C6" s="104"/>
      <c r="D6" s="104"/>
      <c r="E6" s="104"/>
      <c r="F6" s="104" t="s">
        <v>395</v>
      </c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 t="s">
        <v>31</v>
      </c>
      <c r="R6" s="104"/>
      <c r="S6" s="104"/>
      <c r="T6" s="104"/>
      <c r="U6" s="104"/>
      <c r="V6" s="104"/>
      <c r="W6" s="104"/>
      <c r="X6" s="105" t="s">
        <v>49</v>
      </c>
    </row>
    <row r="7" spans="1:24" ht="13.5" customHeight="1">
      <c r="A7" s="102"/>
      <c r="B7" s="106" t="s">
        <v>3</v>
      </c>
      <c r="C7" s="107" t="s">
        <v>4</v>
      </c>
      <c r="D7" s="107" t="s">
        <v>5</v>
      </c>
      <c r="E7" s="107" t="s">
        <v>288</v>
      </c>
      <c r="F7" s="107" t="s">
        <v>6</v>
      </c>
      <c r="G7" s="108" t="s">
        <v>289</v>
      </c>
      <c r="H7" s="107" t="s">
        <v>290</v>
      </c>
      <c r="I7" s="107" t="s">
        <v>7</v>
      </c>
      <c r="J7" s="107" t="s">
        <v>8</v>
      </c>
      <c r="K7" s="107" t="s">
        <v>9</v>
      </c>
      <c r="L7" s="107" t="s">
        <v>10</v>
      </c>
      <c r="M7" s="107" t="s">
        <v>11</v>
      </c>
      <c r="N7" s="107" t="s">
        <v>12</v>
      </c>
      <c r="O7" s="107" t="s">
        <v>13</v>
      </c>
      <c r="P7" s="107" t="s">
        <v>14</v>
      </c>
      <c r="Q7" s="107" t="s">
        <v>15</v>
      </c>
      <c r="R7" s="107" t="s">
        <v>16</v>
      </c>
      <c r="S7" s="107" t="s">
        <v>17</v>
      </c>
      <c r="T7" s="107" t="s">
        <v>18</v>
      </c>
      <c r="U7" s="107" t="s">
        <v>19</v>
      </c>
      <c r="V7" s="107" t="s">
        <v>32</v>
      </c>
      <c r="W7" s="107" t="s">
        <v>33</v>
      </c>
      <c r="X7" s="109" t="s">
        <v>34</v>
      </c>
    </row>
    <row r="8" spans="1:24" ht="35.1" customHeight="1">
      <c r="A8" s="102"/>
      <c r="B8" s="110" t="s">
        <v>20</v>
      </c>
      <c r="C8" s="111" t="s">
        <v>21</v>
      </c>
      <c r="D8" s="112" t="s">
        <v>22</v>
      </c>
      <c r="E8" s="112" t="s">
        <v>23</v>
      </c>
      <c r="F8" s="112" t="s">
        <v>396</v>
      </c>
      <c r="G8" s="113" t="s">
        <v>397</v>
      </c>
      <c r="H8" s="112" t="s">
        <v>398</v>
      </c>
      <c r="I8" s="112" t="s">
        <v>399</v>
      </c>
      <c r="J8" s="112" t="s">
        <v>690</v>
      </c>
      <c r="K8" s="112" t="s">
        <v>35</v>
      </c>
      <c r="L8" s="112" t="s">
        <v>400</v>
      </c>
      <c r="M8" s="112" t="s">
        <v>401</v>
      </c>
      <c r="N8" s="112" t="s">
        <v>402</v>
      </c>
      <c r="O8" s="112" t="s">
        <v>36</v>
      </c>
      <c r="P8" s="112" t="s">
        <v>403</v>
      </c>
      <c r="Q8" s="112" t="s">
        <v>36</v>
      </c>
      <c r="R8" s="112" t="s">
        <v>404</v>
      </c>
      <c r="S8" s="112" t="s">
        <v>405</v>
      </c>
      <c r="T8" s="112" t="s">
        <v>406</v>
      </c>
      <c r="U8" s="112" t="s">
        <v>407</v>
      </c>
      <c r="V8" s="112" t="s">
        <v>691</v>
      </c>
      <c r="W8" s="112" t="s">
        <v>37</v>
      </c>
      <c r="X8" s="114" t="s">
        <v>261</v>
      </c>
    </row>
    <row r="9" spans="1:24" ht="35.1" customHeight="1" thickBot="1">
      <c r="A9" s="102"/>
      <c r="B9" s="115" t="s">
        <v>24</v>
      </c>
      <c r="C9" s="116" t="s">
        <v>25</v>
      </c>
      <c r="D9" s="117" t="s">
        <v>26</v>
      </c>
      <c r="E9" s="117" t="s">
        <v>27</v>
      </c>
      <c r="F9" s="118" t="s">
        <v>38</v>
      </c>
      <c r="G9" s="119" t="s">
        <v>39</v>
      </c>
      <c r="H9" s="118"/>
      <c r="I9" s="118" t="s">
        <v>40</v>
      </c>
      <c r="J9" s="118" t="s">
        <v>40</v>
      </c>
      <c r="K9" s="118" t="s">
        <v>41</v>
      </c>
      <c r="L9" s="118" t="s">
        <v>42</v>
      </c>
      <c r="M9" s="118" t="s">
        <v>408</v>
      </c>
      <c r="N9" s="118" t="s">
        <v>409</v>
      </c>
      <c r="O9" s="118" t="s">
        <v>43</v>
      </c>
      <c r="P9" s="118" t="s">
        <v>410</v>
      </c>
      <c r="Q9" s="118" t="s">
        <v>43</v>
      </c>
      <c r="R9" s="118" t="s">
        <v>411</v>
      </c>
      <c r="S9" s="118" t="s">
        <v>28</v>
      </c>
      <c r="T9" s="118" t="s">
        <v>412</v>
      </c>
      <c r="U9" s="118" t="s">
        <v>413</v>
      </c>
      <c r="V9" s="118" t="s">
        <v>692</v>
      </c>
      <c r="W9" s="118" t="s">
        <v>44</v>
      </c>
      <c r="X9" s="120" t="s">
        <v>414</v>
      </c>
    </row>
    <row r="10" spans="1:24" s="121" customFormat="1" ht="14.1" customHeight="1">
      <c r="A10" s="87"/>
      <c r="B10" s="122">
        <v>1</v>
      </c>
      <c r="C10" s="123"/>
      <c r="D10" s="124" t="s">
        <v>430</v>
      </c>
      <c r="E10" s="125" t="s">
        <v>208</v>
      </c>
      <c r="F10" s="126" t="s">
        <v>685</v>
      </c>
      <c r="G10" s="127" t="s">
        <v>687</v>
      </c>
      <c r="H10" s="128">
        <v>1</v>
      </c>
      <c r="I10" s="129">
        <v>4.1399999999999999E-2</v>
      </c>
      <c r="J10" s="129">
        <v>0.12140000000000001</v>
      </c>
      <c r="K10" s="130">
        <v>20120828</v>
      </c>
      <c r="L10" s="130">
        <v>20170828</v>
      </c>
      <c r="M10" s="130">
        <v>20150205</v>
      </c>
      <c r="N10" s="130">
        <v>20150205</v>
      </c>
      <c r="O10" s="131" t="s">
        <v>80</v>
      </c>
      <c r="P10" s="132">
        <v>260000000</v>
      </c>
      <c r="Q10" s="133" t="s">
        <v>80</v>
      </c>
      <c r="R10" s="132">
        <v>260000000</v>
      </c>
      <c r="S10" s="134">
        <v>260000000</v>
      </c>
      <c r="T10" s="134">
        <v>0</v>
      </c>
      <c r="U10" s="134">
        <v>260000000</v>
      </c>
      <c r="V10" s="134">
        <v>38190406</v>
      </c>
      <c r="W10" s="135">
        <v>298190406</v>
      </c>
      <c r="X10" s="136"/>
    </row>
    <row r="11" spans="1:24" s="121" customFormat="1" ht="14.1" customHeight="1">
      <c r="A11" s="87"/>
      <c r="B11" s="343">
        <v>2</v>
      </c>
      <c r="C11" s="344"/>
      <c r="D11" s="345" t="s">
        <v>430</v>
      </c>
      <c r="E11" s="346" t="s">
        <v>208</v>
      </c>
      <c r="F11" s="347" t="s">
        <v>328</v>
      </c>
      <c r="G11" s="348" t="s">
        <v>355</v>
      </c>
      <c r="H11" s="349">
        <v>1</v>
      </c>
      <c r="I11" s="350">
        <v>4.8499999999999995E-2</v>
      </c>
      <c r="J11" s="350">
        <v>0.1285</v>
      </c>
      <c r="K11" s="351">
        <v>20121105</v>
      </c>
      <c r="L11" s="351">
        <v>20151105</v>
      </c>
      <c r="M11" s="351">
        <v>20150205</v>
      </c>
      <c r="N11" s="351">
        <v>20150205</v>
      </c>
      <c r="O11" s="352" t="s">
        <v>80</v>
      </c>
      <c r="P11" s="353">
        <v>60000000</v>
      </c>
      <c r="Q11" s="354" t="s">
        <v>80</v>
      </c>
      <c r="R11" s="353">
        <v>60000000</v>
      </c>
      <c r="S11" s="355">
        <v>60000000</v>
      </c>
      <c r="T11" s="355">
        <v>0</v>
      </c>
      <c r="U11" s="355">
        <v>60000000</v>
      </c>
      <c r="V11" s="355">
        <v>9488671</v>
      </c>
      <c r="W11" s="356">
        <v>69488671</v>
      </c>
      <c r="X11" s="357"/>
    </row>
    <row r="12" spans="1:24" s="121" customFormat="1" ht="14.1" customHeight="1">
      <c r="A12" s="87"/>
      <c r="B12" s="343">
        <v>3</v>
      </c>
      <c r="C12" s="344"/>
      <c r="D12" s="345" t="s">
        <v>430</v>
      </c>
      <c r="E12" s="346" t="s">
        <v>208</v>
      </c>
      <c r="F12" s="347" t="s">
        <v>328</v>
      </c>
      <c r="G12" s="348" t="s">
        <v>688</v>
      </c>
      <c r="H12" s="349">
        <v>1</v>
      </c>
      <c r="I12" s="350">
        <v>4.4400000000000002E-2</v>
      </c>
      <c r="J12" s="350">
        <v>0.1244</v>
      </c>
      <c r="K12" s="351">
        <v>20140619</v>
      </c>
      <c r="L12" s="351">
        <v>20150619</v>
      </c>
      <c r="M12" s="351">
        <v>20150205</v>
      </c>
      <c r="N12" s="351">
        <v>20150205</v>
      </c>
      <c r="O12" s="352" t="s">
        <v>80</v>
      </c>
      <c r="P12" s="353">
        <v>100000000</v>
      </c>
      <c r="Q12" s="354" t="s">
        <v>80</v>
      </c>
      <c r="R12" s="353">
        <v>100000000</v>
      </c>
      <c r="S12" s="355">
        <v>100000000</v>
      </c>
      <c r="T12" s="355">
        <v>0</v>
      </c>
      <c r="U12" s="355">
        <v>100000000</v>
      </c>
      <c r="V12" s="355">
        <v>15210680</v>
      </c>
      <c r="W12" s="356">
        <v>115210680</v>
      </c>
      <c r="X12" s="357"/>
    </row>
    <row r="13" spans="1:24" s="121" customFormat="1" ht="14.1" customHeight="1">
      <c r="A13" s="87"/>
      <c r="B13" s="343">
        <v>4</v>
      </c>
      <c r="C13" s="344"/>
      <c r="D13" s="345" t="s">
        <v>431</v>
      </c>
      <c r="E13" s="346" t="s">
        <v>186</v>
      </c>
      <c r="F13" s="347" t="s">
        <v>686</v>
      </c>
      <c r="G13" s="348" t="s">
        <v>689</v>
      </c>
      <c r="H13" s="349">
        <v>1</v>
      </c>
      <c r="I13" s="350">
        <v>5.0999999999999997E-2</v>
      </c>
      <c r="J13" s="350">
        <v>0.13100000000000001</v>
      </c>
      <c r="K13" s="351">
        <v>20120208</v>
      </c>
      <c r="L13" s="351">
        <v>20270208</v>
      </c>
      <c r="M13" s="351">
        <v>20141209</v>
      </c>
      <c r="N13" s="351">
        <v>20150210</v>
      </c>
      <c r="O13" s="352" t="s">
        <v>80</v>
      </c>
      <c r="P13" s="353">
        <v>70000000</v>
      </c>
      <c r="Q13" s="354" t="s">
        <v>80</v>
      </c>
      <c r="R13" s="353">
        <v>70000000</v>
      </c>
      <c r="S13" s="355">
        <v>70000000</v>
      </c>
      <c r="T13" s="355">
        <v>0</v>
      </c>
      <c r="U13" s="355">
        <v>70000000</v>
      </c>
      <c r="V13" s="355">
        <v>11822409</v>
      </c>
      <c r="W13" s="356">
        <v>81822409</v>
      </c>
      <c r="X13" s="357"/>
    </row>
    <row r="14" spans="1:24" s="121" customFormat="1" ht="14.1" customHeight="1">
      <c r="A14" s="87"/>
      <c r="B14" s="343">
        <v>5</v>
      </c>
      <c r="C14" s="344"/>
      <c r="D14" s="345" t="s">
        <v>432</v>
      </c>
      <c r="E14" s="346" t="s">
        <v>638</v>
      </c>
      <c r="F14" s="347" t="s">
        <v>693</v>
      </c>
      <c r="G14" s="348" t="s">
        <v>760</v>
      </c>
      <c r="H14" s="349">
        <v>1</v>
      </c>
      <c r="I14" s="350">
        <v>4.24E-2</v>
      </c>
      <c r="J14" s="350">
        <v>0.12240000000000001</v>
      </c>
      <c r="K14" s="351">
        <v>20131002</v>
      </c>
      <c r="L14" s="351">
        <v>20201002</v>
      </c>
      <c r="M14" s="351">
        <v>20151031</v>
      </c>
      <c r="N14" s="351">
        <v>20151031</v>
      </c>
      <c r="O14" s="352" t="s">
        <v>80</v>
      </c>
      <c r="P14" s="353">
        <v>2100000000</v>
      </c>
      <c r="Q14" s="354" t="s">
        <v>80</v>
      </c>
      <c r="R14" s="353">
        <v>2002669579</v>
      </c>
      <c r="S14" s="355">
        <v>2002669579</v>
      </c>
      <c r="T14" s="355">
        <v>10060390</v>
      </c>
      <c r="U14" s="355">
        <v>2012729969</v>
      </c>
      <c r="V14" s="355">
        <v>111675836</v>
      </c>
      <c r="W14" s="356">
        <v>2124405805</v>
      </c>
      <c r="X14" s="357" t="s">
        <v>3168</v>
      </c>
    </row>
    <row r="15" spans="1:24" s="121" customFormat="1" ht="14.1" customHeight="1">
      <c r="A15" s="87"/>
      <c r="B15" s="343">
        <v>6</v>
      </c>
      <c r="C15" s="344"/>
      <c r="D15" s="345" t="s">
        <v>432</v>
      </c>
      <c r="E15" s="346" t="s">
        <v>638</v>
      </c>
      <c r="F15" s="347" t="s">
        <v>694</v>
      </c>
      <c r="G15" s="348" t="s">
        <v>761</v>
      </c>
      <c r="H15" s="349">
        <v>1</v>
      </c>
      <c r="I15" s="350">
        <v>5.7999999999999996E-2</v>
      </c>
      <c r="J15" s="350">
        <v>0.13800000000000001</v>
      </c>
      <c r="K15" s="351">
        <v>20131002</v>
      </c>
      <c r="L15" s="351">
        <v>20151030</v>
      </c>
      <c r="M15" s="351">
        <v>20151031</v>
      </c>
      <c r="N15" s="351">
        <v>20151031</v>
      </c>
      <c r="O15" s="352" t="s">
        <v>80</v>
      </c>
      <c r="P15" s="353">
        <v>2000000000</v>
      </c>
      <c r="Q15" s="354" t="s">
        <v>80</v>
      </c>
      <c r="R15" s="353">
        <v>1840000000</v>
      </c>
      <c r="S15" s="355">
        <v>1840000000</v>
      </c>
      <c r="T15" s="355">
        <v>0</v>
      </c>
      <c r="U15" s="355">
        <v>1840000000</v>
      </c>
      <c r="V15" s="355">
        <v>127228966</v>
      </c>
      <c r="W15" s="356">
        <v>1967228966</v>
      </c>
      <c r="X15" s="357"/>
    </row>
    <row r="16" spans="1:24" s="121" customFormat="1" ht="14.1" customHeight="1">
      <c r="A16" s="87"/>
      <c r="B16" s="343">
        <v>7</v>
      </c>
      <c r="C16" s="344"/>
      <c r="D16" s="345" t="s">
        <v>432</v>
      </c>
      <c r="E16" s="346" t="s">
        <v>638</v>
      </c>
      <c r="F16" s="347" t="s">
        <v>695</v>
      </c>
      <c r="G16" s="348" t="s">
        <v>762</v>
      </c>
      <c r="H16" s="349">
        <v>135</v>
      </c>
      <c r="I16" s="350"/>
      <c r="J16" s="350">
        <v>0.129273</v>
      </c>
      <c r="K16" s="351">
        <v>20131007</v>
      </c>
      <c r="L16" s="351">
        <v>20151002</v>
      </c>
      <c r="M16" s="351">
        <v>20151027</v>
      </c>
      <c r="N16" s="351">
        <v>20151027</v>
      </c>
      <c r="O16" s="352" t="s">
        <v>80</v>
      </c>
      <c r="P16" s="353">
        <v>2000000000</v>
      </c>
      <c r="Q16" s="354" t="s">
        <v>80</v>
      </c>
      <c r="R16" s="353">
        <v>111523920</v>
      </c>
      <c r="S16" s="355">
        <v>111523920</v>
      </c>
      <c r="T16" s="355">
        <v>0</v>
      </c>
      <c r="U16" s="355">
        <v>111523920</v>
      </c>
      <c r="V16" s="355">
        <v>7355085</v>
      </c>
      <c r="W16" s="356">
        <v>118879005</v>
      </c>
      <c r="X16" s="357"/>
    </row>
    <row r="17" spans="1:24" s="121" customFormat="1" ht="14.1" customHeight="1">
      <c r="A17" s="87"/>
      <c r="B17" s="343">
        <v>8</v>
      </c>
      <c r="C17" s="344"/>
      <c r="D17" s="345" t="s">
        <v>432</v>
      </c>
      <c r="E17" s="346" t="s">
        <v>638</v>
      </c>
      <c r="F17" s="347" t="s">
        <v>695</v>
      </c>
      <c r="G17" s="348" t="s">
        <v>762</v>
      </c>
      <c r="H17" s="349">
        <v>136</v>
      </c>
      <c r="I17" s="350"/>
      <c r="J17" s="350">
        <v>0.129299</v>
      </c>
      <c r="K17" s="351">
        <v>20131007</v>
      </c>
      <c r="L17" s="351">
        <v>20151002</v>
      </c>
      <c r="M17" s="351">
        <v>20151030</v>
      </c>
      <c r="N17" s="351">
        <v>20151030</v>
      </c>
      <c r="O17" s="352" t="s">
        <v>80</v>
      </c>
      <c r="P17" s="353">
        <v>2000000000</v>
      </c>
      <c r="Q17" s="354" t="s">
        <v>80</v>
      </c>
      <c r="R17" s="353">
        <v>50853000</v>
      </c>
      <c r="S17" s="355">
        <v>50853000</v>
      </c>
      <c r="T17" s="355">
        <v>0</v>
      </c>
      <c r="U17" s="355">
        <v>50853000</v>
      </c>
      <c r="V17" s="355">
        <v>3115091</v>
      </c>
      <c r="W17" s="356">
        <v>53968091</v>
      </c>
      <c r="X17" s="357"/>
    </row>
    <row r="18" spans="1:24" s="121" customFormat="1" ht="14.1" customHeight="1">
      <c r="A18" s="87"/>
      <c r="B18" s="343">
        <v>9</v>
      </c>
      <c r="C18" s="344"/>
      <c r="D18" s="345" t="s">
        <v>432</v>
      </c>
      <c r="E18" s="346" t="s">
        <v>638</v>
      </c>
      <c r="F18" s="347" t="s">
        <v>695</v>
      </c>
      <c r="G18" s="348" t="s">
        <v>762</v>
      </c>
      <c r="H18" s="349">
        <v>137</v>
      </c>
      <c r="I18" s="350"/>
      <c r="J18" s="350">
        <v>0.129299</v>
      </c>
      <c r="K18" s="351">
        <v>20131007</v>
      </c>
      <c r="L18" s="351">
        <v>20151002</v>
      </c>
      <c r="M18" s="351">
        <v>20151030</v>
      </c>
      <c r="N18" s="351">
        <v>20151030</v>
      </c>
      <c r="O18" s="352" t="s">
        <v>80</v>
      </c>
      <c r="P18" s="353">
        <v>2000000000</v>
      </c>
      <c r="Q18" s="354" t="s">
        <v>80</v>
      </c>
      <c r="R18" s="353">
        <v>70733600</v>
      </c>
      <c r="S18" s="355">
        <v>70733600</v>
      </c>
      <c r="T18" s="355">
        <v>0</v>
      </c>
      <c r="U18" s="355">
        <v>70733600</v>
      </c>
      <c r="V18" s="355">
        <v>4332916</v>
      </c>
      <c r="W18" s="356">
        <v>75066516</v>
      </c>
      <c r="X18" s="357"/>
    </row>
    <row r="19" spans="1:24" s="121" customFormat="1" ht="14.1" customHeight="1">
      <c r="A19" s="87"/>
      <c r="B19" s="343">
        <v>10</v>
      </c>
      <c r="C19" s="344"/>
      <c r="D19" s="345" t="s">
        <v>432</v>
      </c>
      <c r="E19" s="346" t="s">
        <v>638</v>
      </c>
      <c r="F19" s="347" t="s">
        <v>695</v>
      </c>
      <c r="G19" s="348" t="s">
        <v>762</v>
      </c>
      <c r="H19" s="349">
        <v>138</v>
      </c>
      <c r="I19" s="350"/>
      <c r="J19" s="350">
        <v>0.12930800000000001</v>
      </c>
      <c r="K19" s="351">
        <v>20131007</v>
      </c>
      <c r="L19" s="351">
        <v>20151002</v>
      </c>
      <c r="M19" s="351">
        <v>20151031</v>
      </c>
      <c r="N19" s="351">
        <v>20151031</v>
      </c>
      <c r="O19" s="352" t="s">
        <v>80</v>
      </c>
      <c r="P19" s="353">
        <v>2000000000</v>
      </c>
      <c r="Q19" s="354" t="s">
        <v>80</v>
      </c>
      <c r="R19" s="353">
        <v>30490250</v>
      </c>
      <c r="S19" s="355">
        <v>30490250</v>
      </c>
      <c r="T19" s="355">
        <v>0</v>
      </c>
      <c r="U19" s="355">
        <v>30490250</v>
      </c>
      <c r="V19" s="355">
        <v>1862028</v>
      </c>
      <c r="W19" s="356">
        <v>32352278</v>
      </c>
      <c r="X19" s="357"/>
    </row>
    <row r="20" spans="1:24" s="121" customFormat="1" ht="14.1" customHeight="1">
      <c r="A20" s="87"/>
      <c r="B20" s="343">
        <v>11</v>
      </c>
      <c r="C20" s="344"/>
      <c r="D20" s="345" t="s">
        <v>432</v>
      </c>
      <c r="E20" s="346" t="s">
        <v>638</v>
      </c>
      <c r="F20" s="347" t="s">
        <v>695</v>
      </c>
      <c r="G20" s="348" t="s">
        <v>762</v>
      </c>
      <c r="H20" s="349">
        <v>139</v>
      </c>
      <c r="I20" s="350"/>
      <c r="J20" s="350">
        <v>0.12930800000000001</v>
      </c>
      <c r="K20" s="351">
        <v>20131007</v>
      </c>
      <c r="L20" s="351">
        <v>20151002</v>
      </c>
      <c r="M20" s="351">
        <v>20151031</v>
      </c>
      <c r="N20" s="351">
        <v>20151031</v>
      </c>
      <c r="O20" s="352" t="s">
        <v>80</v>
      </c>
      <c r="P20" s="353">
        <v>2000000000</v>
      </c>
      <c r="Q20" s="354" t="s">
        <v>80</v>
      </c>
      <c r="R20" s="353">
        <v>60035700</v>
      </c>
      <c r="S20" s="355">
        <v>60035700</v>
      </c>
      <c r="T20" s="355">
        <v>0</v>
      </c>
      <c r="U20" s="355">
        <v>60035700</v>
      </c>
      <c r="V20" s="355">
        <v>3666362</v>
      </c>
      <c r="W20" s="356">
        <v>63702062</v>
      </c>
      <c r="X20" s="357"/>
    </row>
    <row r="21" spans="1:24" s="121" customFormat="1" ht="14.1" customHeight="1">
      <c r="A21" s="87"/>
      <c r="B21" s="343">
        <v>12</v>
      </c>
      <c r="C21" s="344"/>
      <c r="D21" s="345" t="s">
        <v>432</v>
      </c>
      <c r="E21" s="346" t="s">
        <v>638</v>
      </c>
      <c r="F21" s="347" t="s">
        <v>695</v>
      </c>
      <c r="G21" s="348" t="s">
        <v>762</v>
      </c>
      <c r="H21" s="349">
        <v>140</v>
      </c>
      <c r="I21" s="350"/>
      <c r="J21" s="350">
        <v>0.12930800000000001</v>
      </c>
      <c r="K21" s="351">
        <v>20131007</v>
      </c>
      <c r="L21" s="351">
        <v>20151002</v>
      </c>
      <c r="M21" s="351">
        <v>20151031</v>
      </c>
      <c r="N21" s="351">
        <v>20151031</v>
      </c>
      <c r="O21" s="352" t="s">
        <v>80</v>
      </c>
      <c r="P21" s="353">
        <v>2000000000</v>
      </c>
      <c r="Q21" s="354" t="s">
        <v>80</v>
      </c>
      <c r="R21" s="353">
        <v>34685500</v>
      </c>
      <c r="S21" s="355">
        <v>34685500</v>
      </c>
      <c r="T21" s="355">
        <v>0</v>
      </c>
      <c r="U21" s="355">
        <v>34685500</v>
      </c>
      <c r="V21" s="355">
        <v>2118232</v>
      </c>
      <c r="W21" s="356">
        <v>36803732</v>
      </c>
      <c r="X21" s="357"/>
    </row>
    <row r="22" spans="1:24" s="121" customFormat="1" ht="14.1" customHeight="1">
      <c r="A22" s="87"/>
      <c r="B22" s="343">
        <v>13</v>
      </c>
      <c r="C22" s="344"/>
      <c r="D22" s="345" t="s">
        <v>432</v>
      </c>
      <c r="E22" s="346" t="s">
        <v>638</v>
      </c>
      <c r="F22" s="347" t="s">
        <v>695</v>
      </c>
      <c r="G22" s="348" t="s">
        <v>762</v>
      </c>
      <c r="H22" s="349">
        <v>141</v>
      </c>
      <c r="I22" s="350"/>
      <c r="J22" s="350">
        <v>0.12930800000000001</v>
      </c>
      <c r="K22" s="351">
        <v>20131007</v>
      </c>
      <c r="L22" s="351">
        <v>20151002</v>
      </c>
      <c r="M22" s="351">
        <v>20151031</v>
      </c>
      <c r="N22" s="351">
        <v>20151031</v>
      </c>
      <c r="O22" s="352" t="s">
        <v>80</v>
      </c>
      <c r="P22" s="353">
        <v>2000000000</v>
      </c>
      <c r="Q22" s="354" t="s">
        <v>80</v>
      </c>
      <c r="R22" s="353">
        <v>67665900</v>
      </c>
      <c r="S22" s="355">
        <v>67665900</v>
      </c>
      <c r="T22" s="355">
        <v>0</v>
      </c>
      <c r="U22" s="355">
        <v>67665900</v>
      </c>
      <c r="V22" s="355">
        <v>4132335</v>
      </c>
      <c r="W22" s="356">
        <v>71798235</v>
      </c>
      <c r="X22" s="357"/>
    </row>
    <row r="23" spans="1:24" s="121" customFormat="1" ht="14.1" customHeight="1">
      <c r="A23" s="87"/>
      <c r="B23" s="343">
        <v>14</v>
      </c>
      <c r="C23" s="344"/>
      <c r="D23" s="345" t="s">
        <v>432</v>
      </c>
      <c r="E23" s="346" t="s">
        <v>638</v>
      </c>
      <c r="F23" s="347" t="s">
        <v>695</v>
      </c>
      <c r="G23" s="348" t="s">
        <v>762</v>
      </c>
      <c r="H23" s="349">
        <v>142</v>
      </c>
      <c r="I23" s="350"/>
      <c r="J23" s="350">
        <v>0.12930800000000001</v>
      </c>
      <c r="K23" s="351">
        <v>20131007</v>
      </c>
      <c r="L23" s="351">
        <v>20151002</v>
      </c>
      <c r="M23" s="351">
        <v>20151031</v>
      </c>
      <c r="N23" s="351">
        <v>20151031</v>
      </c>
      <c r="O23" s="352" t="s">
        <v>80</v>
      </c>
      <c r="P23" s="353">
        <v>2000000000</v>
      </c>
      <c r="Q23" s="354" t="s">
        <v>80</v>
      </c>
      <c r="R23" s="353">
        <v>83989500</v>
      </c>
      <c r="S23" s="355">
        <v>83989500</v>
      </c>
      <c r="T23" s="355">
        <v>0</v>
      </c>
      <c r="U23" s="355">
        <v>83989500</v>
      </c>
      <c r="V23" s="355">
        <v>5129212</v>
      </c>
      <c r="W23" s="356">
        <v>89118712</v>
      </c>
      <c r="X23" s="357"/>
    </row>
    <row r="24" spans="1:24" s="121" customFormat="1" ht="14.1" customHeight="1">
      <c r="A24" s="87"/>
      <c r="B24" s="343">
        <v>15</v>
      </c>
      <c r="C24" s="344"/>
      <c r="D24" s="345" t="s">
        <v>432</v>
      </c>
      <c r="E24" s="346" t="s">
        <v>638</v>
      </c>
      <c r="F24" s="347" t="s">
        <v>695</v>
      </c>
      <c r="G24" s="348" t="s">
        <v>762</v>
      </c>
      <c r="H24" s="349">
        <v>143</v>
      </c>
      <c r="I24" s="350"/>
      <c r="J24" s="350">
        <v>0.12930800000000001</v>
      </c>
      <c r="K24" s="351">
        <v>20131007</v>
      </c>
      <c r="L24" s="351">
        <v>20151002</v>
      </c>
      <c r="M24" s="351">
        <v>20151031</v>
      </c>
      <c r="N24" s="351">
        <v>20151031</v>
      </c>
      <c r="O24" s="352" t="s">
        <v>80</v>
      </c>
      <c r="P24" s="353">
        <v>2000000000</v>
      </c>
      <c r="Q24" s="354" t="s">
        <v>80</v>
      </c>
      <c r="R24" s="353">
        <v>73183500</v>
      </c>
      <c r="S24" s="355">
        <v>73183500</v>
      </c>
      <c r="T24" s="355">
        <v>0</v>
      </c>
      <c r="U24" s="355">
        <v>73183500</v>
      </c>
      <c r="V24" s="355">
        <v>4469294</v>
      </c>
      <c r="W24" s="356">
        <v>77652794</v>
      </c>
      <c r="X24" s="357"/>
    </row>
    <row r="25" spans="1:24" s="121" customFormat="1" ht="14.1" customHeight="1">
      <c r="A25" s="87"/>
      <c r="B25" s="343">
        <v>16</v>
      </c>
      <c r="C25" s="344"/>
      <c r="D25" s="345" t="s">
        <v>432</v>
      </c>
      <c r="E25" s="346" t="s">
        <v>638</v>
      </c>
      <c r="F25" s="347" t="s">
        <v>695</v>
      </c>
      <c r="G25" s="348" t="s">
        <v>762</v>
      </c>
      <c r="H25" s="349">
        <v>144</v>
      </c>
      <c r="I25" s="350"/>
      <c r="J25" s="350">
        <v>0.12930800000000001</v>
      </c>
      <c r="K25" s="351">
        <v>20131007</v>
      </c>
      <c r="L25" s="351">
        <v>20151002</v>
      </c>
      <c r="M25" s="351">
        <v>20151031</v>
      </c>
      <c r="N25" s="351">
        <v>20151031</v>
      </c>
      <c r="O25" s="352" t="s">
        <v>80</v>
      </c>
      <c r="P25" s="353">
        <v>2000000000</v>
      </c>
      <c r="Q25" s="354" t="s">
        <v>80</v>
      </c>
      <c r="R25" s="353">
        <v>58285080</v>
      </c>
      <c r="S25" s="355">
        <v>58285080</v>
      </c>
      <c r="T25" s="355">
        <v>0</v>
      </c>
      <c r="U25" s="355">
        <v>58285080</v>
      </c>
      <c r="V25" s="355">
        <v>3559451</v>
      </c>
      <c r="W25" s="356">
        <v>61844531</v>
      </c>
      <c r="X25" s="357"/>
    </row>
    <row r="26" spans="1:24" s="121" customFormat="1" ht="14.1" customHeight="1">
      <c r="A26" s="87"/>
      <c r="B26" s="343">
        <v>17</v>
      </c>
      <c r="C26" s="344"/>
      <c r="D26" s="345" t="s">
        <v>432</v>
      </c>
      <c r="E26" s="346" t="s">
        <v>638</v>
      </c>
      <c r="F26" s="347" t="s">
        <v>695</v>
      </c>
      <c r="G26" s="348" t="s">
        <v>762</v>
      </c>
      <c r="H26" s="349">
        <v>145</v>
      </c>
      <c r="I26" s="350"/>
      <c r="J26" s="350">
        <v>0.12930800000000001</v>
      </c>
      <c r="K26" s="351">
        <v>20131007</v>
      </c>
      <c r="L26" s="351">
        <v>20151002</v>
      </c>
      <c r="M26" s="351">
        <v>20151031</v>
      </c>
      <c r="N26" s="351">
        <v>20151031</v>
      </c>
      <c r="O26" s="352" t="s">
        <v>80</v>
      </c>
      <c r="P26" s="353">
        <v>2000000000</v>
      </c>
      <c r="Q26" s="354" t="s">
        <v>80</v>
      </c>
      <c r="R26" s="353">
        <v>51263360</v>
      </c>
      <c r="S26" s="355">
        <v>51263360</v>
      </c>
      <c r="T26" s="355">
        <v>0</v>
      </c>
      <c r="U26" s="355">
        <v>51263360</v>
      </c>
      <c r="V26" s="355">
        <v>3130637</v>
      </c>
      <c r="W26" s="356">
        <v>54393997</v>
      </c>
      <c r="X26" s="357"/>
    </row>
    <row r="27" spans="1:24" s="121" customFormat="1" ht="14.1" customHeight="1">
      <c r="A27" s="87"/>
      <c r="B27" s="343">
        <v>18</v>
      </c>
      <c r="C27" s="344"/>
      <c r="D27" s="345" t="s">
        <v>432</v>
      </c>
      <c r="E27" s="346" t="s">
        <v>638</v>
      </c>
      <c r="F27" s="347" t="s">
        <v>695</v>
      </c>
      <c r="G27" s="348" t="s">
        <v>762</v>
      </c>
      <c r="H27" s="349">
        <v>146</v>
      </c>
      <c r="I27" s="350"/>
      <c r="J27" s="350">
        <v>0.12930800000000001</v>
      </c>
      <c r="K27" s="351">
        <v>20131007</v>
      </c>
      <c r="L27" s="351">
        <v>20151002</v>
      </c>
      <c r="M27" s="351">
        <v>20151031</v>
      </c>
      <c r="N27" s="351">
        <v>20151031</v>
      </c>
      <c r="O27" s="352" t="s">
        <v>80</v>
      </c>
      <c r="P27" s="353">
        <v>2000000000</v>
      </c>
      <c r="Q27" s="354" t="s">
        <v>80</v>
      </c>
      <c r="R27" s="353">
        <v>46559600</v>
      </c>
      <c r="S27" s="355">
        <v>46559600</v>
      </c>
      <c r="T27" s="355">
        <v>0</v>
      </c>
      <c r="U27" s="355">
        <v>46559600</v>
      </c>
      <c r="V27" s="355">
        <v>2843379</v>
      </c>
      <c r="W27" s="356">
        <v>49402979</v>
      </c>
      <c r="X27" s="357"/>
    </row>
    <row r="28" spans="1:24" s="121" customFormat="1" ht="14.1" customHeight="1">
      <c r="A28" s="87"/>
      <c r="B28" s="343">
        <v>19</v>
      </c>
      <c r="C28" s="344"/>
      <c r="D28" s="345" t="s">
        <v>432</v>
      </c>
      <c r="E28" s="346" t="s">
        <v>638</v>
      </c>
      <c r="F28" s="347" t="s">
        <v>695</v>
      </c>
      <c r="G28" s="348" t="s">
        <v>762</v>
      </c>
      <c r="H28" s="349">
        <v>147</v>
      </c>
      <c r="I28" s="350"/>
      <c r="J28" s="350">
        <v>0.12923000000000001</v>
      </c>
      <c r="K28" s="351">
        <v>20131007</v>
      </c>
      <c r="L28" s="351">
        <v>20151002</v>
      </c>
      <c r="M28" s="351">
        <v>20151031</v>
      </c>
      <c r="N28" s="351">
        <v>20151031</v>
      </c>
      <c r="O28" s="352" t="s">
        <v>80</v>
      </c>
      <c r="P28" s="353">
        <v>2000000000</v>
      </c>
      <c r="Q28" s="354" t="s">
        <v>80</v>
      </c>
      <c r="R28" s="353">
        <v>43736200</v>
      </c>
      <c r="S28" s="355">
        <v>43736200</v>
      </c>
      <c r="T28" s="355">
        <v>0</v>
      </c>
      <c r="U28" s="355">
        <v>43736200</v>
      </c>
      <c r="V28" s="355">
        <v>2669219</v>
      </c>
      <c r="W28" s="356">
        <v>46405419</v>
      </c>
      <c r="X28" s="357"/>
    </row>
    <row r="29" spans="1:24" s="121" customFormat="1" ht="14.1" customHeight="1">
      <c r="A29" s="87"/>
      <c r="B29" s="343">
        <v>20</v>
      </c>
      <c r="C29" s="344"/>
      <c r="D29" s="345" t="s">
        <v>432</v>
      </c>
      <c r="E29" s="346" t="s">
        <v>638</v>
      </c>
      <c r="F29" s="347" t="s">
        <v>695</v>
      </c>
      <c r="G29" s="348" t="s">
        <v>762</v>
      </c>
      <c r="H29" s="349">
        <v>148</v>
      </c>
      <c r="I29" s="350"/>
      <c r="J29" s="350">
        <v>0.12923000000000001</v>
      </c>
      <c r="K29" s="351">
        <v>20131007</v>
      </c>
      <c r="L29" s="351">
        <v>20151002</v>
      </c>
      <c r="M29" s="351">
        <v>20151031</v>
      </c>
      <c r="N29" s="351">
        <v>20151031</v>
      </c>
      <c r="O29" s="352" t="s">
        <v>80</v>
      </c>
      <c r="P29" s="353">
        <v>2000000000</v>
      </c>
      <c r="Q29" s="354" t="s">
        <v>80</v>
      </c>
      <c r="R29" s="353">
        <v>33755200</v>
      </c>
      <c r="S29" s="355">
        <v>33755200</v>
      </c>
      <c r="T29" s="355">
        <v>0</v>
      </c>
      <c r="U29" s="355">
        <v>33755200</v>
      </c>
      <c r="V29" s="355">
        <v>2060079</v>
      </c>
      <c r="W29" s="356">
        <v>35815279</v>
      </c>
      <c r="X29" s="357"/>
    </row>
    <row r="30" spans="1:24" s="121" customFormat="1" ht="14.1" customHeight="1">
      <c r="A30" s="87"/>
      <c r="B30" s="343">
        <v>21</v>
      </c>
      <c r="C30" s="344"/>
      <c r="D30" s="345" t="s">
        <v>432</v>
      </c>
      <c r="E30" s="346" t="s">
        <v>638</v>
      </c>
      <c r="F30" s="347" t="s">
        <v>695</v>
      </c>
      <c r="G30" s="348" t="s">
        <v>762</v>
      </c>
      <c r="H30" s="349">
        <v>149</v>
      </c>
      <c r="I30" s="350"/>
      <c r="J30" s="350">
        <v>0.12923000000000001</v>
      </c>
      <c r="K30" s="351">
        <v>20131007</v>
      </c>
      <c r="L30" s="351">
        <v>20151002</v>
      </c>
      <c r="M30" s="351">
        <v>20151031</v>
      </c>
      <c r="N30" s="351">
        <v>20151031</v>
      </c>
      <c r="O30" s="352" t="s">
        <v>80</v>
      </c>
      <c r="P30" s="353">
        <v>2000000000</v>
      </c>
      <c r="Q30" s="354" t="s">
        <v>80</v>
      </c>
      <c r="R30" s="353">
        <v>71401900</v>
      </c>
      <c r="S30" s="355">
        <v>71401900</v>
      </c>
      <c r="T30" s="355">
        <v>0</v>
      </c>
      <c r="U30" s="355">
        <v>71401900</v>
      </c>
      <c r="V30" s="355">
        <v>4357658</v>
      </c>
      <c r="W30" s="356">
        <v>75759558</v>
      </c>
      <c r="X30" s="357"/>
    </row>
    <row r="31" spans="1:24" s="121" customFormat="1" ht="14.1" customHeight="1">
      <c r="A31" s="87"/>
      <c r="B31" s="343">
        <v>22</v>
      </c>
      <c r="C31" s="344"/>
      <c r="D31" s="345" t="s">
        <v>432</v>
      </c>
      <c r="E31" s="346" t="s">
        <v>638</v>
      </c>
      <c r="F31" s="347" t="s">
        <v>695</v>
      </c>
      <c r="G31" s="348" t="s">
        <v>762</v>
      </c>
      <c r="H31" s="349">
        <v>150</v>
      </c>
      <c r="I31" s="350"/>
      <c r="J31" s="350">
        <v>0.12923000000000001</v>
      </c>
      <c r="K31" s="351">
        <v>20131007</v>
      </c>
      <c r="L31" s="351">
        <v>20151002</v>
      </c>
      <c r="M31" s="351">
        <v>20151031</v>
      </c>
      <c r="N31" s="351">
        <v>20151031</v>
      </c>
      <c r="O31" s="352" t="s">
        <v>80</v>
      </c>
      <c r="P31" s="353">
        <v>2000000000</v>
      </c>
      <c r="Q31" s="354" t="s">
        <v>80</v>
      </c>
      <c r="R31" s="353">
        <v>53219020</v>
      </c>
      <c r="S31" s="355">
        <v>53219020</v>
      </c>
      <c r="T31" s="355">
        <v>0</v>
      </c>
      <c r="U31" s="355">
        <v>53219020</v>
      </c>
      <c r="V31" s="355">
        <v>3247957</v>
      </c>
      <c r="W31" s="356">
        <v>56466977</v>
      </c>
      <c r="X31" s="357"/>
    </row>
    <row r="32" spans="1:24" s="121" customFormat="1" ht="14.1" customHeight="1">
      <c r="A32" s="87"/>
      <c r="B32" s="343">
        <v>23</v>
      </c>
      <c r="C32" s="344"/>
      <c r="D32" s="345" t="s">
        <v>432</v>
      </c>
      <c r="E32" s="346" t="s">
        <v>638</v>
      </c>
      <c r="F32" s="347" t="s">
        <v>695</v>
      </c>
      <c r="G32" s="348" t="s">
        <v>762</v>
      </c>
      <c r="H32" s="349">
        <v>151</v>
      </c>
      <c r="I32" s="350"/>
      <c r="J32" s="350">
        <v>0.12923000000000001</v>
      </c>
      <c r="K32" s="351">
        <v>20131007</v>
      </c>
      <c r="L32" s="351">
        <v>20151002</v>
      </c>
      <c r="M32" s="351">
        <v>20151031</v>
      </c>
      <c r="N32" s="351">
        <v>20151031</v>
      </c>
      <c r="O32" s="352" t="s">
        <v>80</v>
      </c>
      <c r="P32" s="353">
        <v>2000000000</v>
      </c>
      <c r="Q32" s="354" t="s">
        <v>80</v>
      </c>
      <c r="R32" s="353">
        <v>46792760</v>
      </c>
      <c r="S32" s="355">
        <v>46792760</v>
      </c>
      <c r="T32" s="355">
        <v>0</v>
      </c>
      <c r="U32" s="355">
        <v>46792760</v>
      </c>
      <c r="V32" s="355">
        <v>2855761</v>
      </c>
      <c r="W32" s="356">
        <v>49648521</v>
      </c>
      <c r="X32" s="357"/>
    </row>
    <row r="33" spans="1:24" s="121" customFormat="1" ht="14.1" customHeight="1">
      <c r="A33" s="87"/>
      <c r="B33" s="343">
        <v>24</v>
      </c>
      <c r="C33" s="344"/>
      <c r="D33" s="345" t="s">
        <v>432</v>
      </c>
      <c r="E33" s="346" t="s">
        <v>638</v>
      </c>
      <c r="F33" s="347" t="s">
        <v>695</v>
      </c>
      <c r="G33" s="348" t="s">
        <v>762</v>
      </c>
      <c r="H33" s="349">
        <v>160</v>
      </c>
      <c r="I33" s="350"/>
      <c r="J33" s="350">
        <v>0.12847600000000001</v>
      </c>
      <c r="K33" s="351">
        <v>20131007</v>
      </c>
      <c r="L33" s="351">
        <v>20151002</v>
      </c>
      <c r="M33" s="351">
        <v>20151031</v>
      </c>
      <c r="N33" s="351">
        <v>20151031</v>
      </c>
      <c r="O33" s="352" t="s">
        <v>80</v>
      </c>
      <c r="P33" s="353">
        <v>2000000000</v>
      </c>
      <c r="Q33" s="354" t="s">
        <v>80</v>
      </c>
      <c r="R33" s="353">
        <v>50665500</v>
      </c>
      <c r="S33" s="355">
        <v>50665500</v>
      </c>
      <c r="T33" s="355">
        <v>0</v>
      </c>
      <c r="U33" s="355">
        <v>50665500</v>
      </c>
      <c r="V33" s="355">
        <v>3153427</v>
      </c>
      <c r="W33" s="356">
        <v>53818927</v>
      </c>
      <c r="X33" s="357"/>
    </row>
    <row r="34" spans="1:24" s="121" customFormat="1" ht="14.1" customHeight="1">
      <c r="A34" s="87"/>
      <c r="B34" s="343">
        <v>25</v>
      </c>
      <c r="C34" s="344"/>
      <c r="D34" s="345" t="s">
        <v>432</v>
      </c>
      <c r="E34" s="346" t="s">
        <v>638</v>
      </c>
      <c r="F34" s="347" t="s">
        <v>695</v>
      </c>
      <c r="G34" s="348" t="s">
        <v>762</v>
      </c>
      <c r="H34" s="349">
        <v>161</v>
      </c>
      <c r="I34" s="350"/>
      <c r="J34" s="350">
        <v>0.12847600000000001</v>
      </c>
      <c r="K34" s="351">
        <v>20131007</v>
      </c>
      <c r="L34" s="351">
        <v>20151002</v>
      </c>
      <c r="M34" s="351">
        <v>20151031</v>
      </c>
      <c r="N34" s="351">
        <v>20151031</v>
      </c>
      <c r="O34" s="352" t="s">
        <v>80</v>
      </c>
      <c r="P34" s="353">
        <v>2000000000</v>
      </c>
      <c r="Q34" s="354" t="s">
        <v>80</v>
      </c>
      <c r="R34" s="353">
        <v>122360000</v>
      </c>
      <c r="S34" s="355">
        <v>122360000</v>
      </c>
      <c r="T34" s="355">
        <v>0</v>
      </c>
      <c r="U34" s="355">
        <v>122360000</v>
      </c>
      <c r="V34" s="355">
        <v>7615709</v>
      </c>
      <c r="W34" s="356">
        <v>129975709</v>
      </c>
      <c r="X34" s="357"/>
    </row>
    <row r="35" spans="1:24" s="121" customFormat="1" ht="14.1" customHeight="1">
      <c r="A35" s="87"/>
      <c r="B35" s="343">
        <v>26</v>
      </c>
      <c r="C35" s="344"/>
      <c r="D35" s="345" t="s">
        <v>432</v>
      </c>
      <c r="E35" s="346" t="s">
        <v>638</v>
      </c>
      <c r="F35" s="347" t="s">
        <v>695</v>
      </c>
      <c r="G35" s="348" t="s">
        <v>762</v>
      </c>
      <c r="H35" s="349">
        <v>162</v>
      </c>
      <c r="I35" s="350"/>
      <c r="J35" s="350">
        <v>0.12995900000000002</v>
      </c>
      <c r="K35" s="351">
        <v>20131007</v>
      </c>
      <c r="L35" s="351">
        <v>20151002</v>
      </c>
      <c r="M35" s="351">
        <v>20151103</v>
      </c>
      <c r="N35" s="351">
        <v>20151103</v>
      </c>
      <c r="O35" s="352" t="s">
        <v>80</v>
      </c>
      <c r="P35" s="353">
        <v>2000000000</v>
      </c>
      <c r="Q35" s="354" t="s">
        <v>80</v>
      </c>
      <c r="R35" s="353">
        <v>52217700</v>
      </c>
      <c r="S35" s="355">
        <v>52217700</v>
      </c>
      <c r="T35" s="355">
        <v>0</v>
      </c>
      <c r="U35" s="355">
        <v>52217700</v>
      </c>
      <c r="V35" s="355">
        <v>3179035</v>
      </c>
      <c r="W35" s="356">
        <v>55396735</v>
      </c>
      <c r="X35" s="357"/>
    </row>
    <row r="36" spans="1:24" s="121" customFormat="1" ht="14.1" customHeight="1">
      <c r="A36" s="87"/>
      <c r="B36" s="343">
        <v>27</v>
      </c>
      <c r="C36" s="344"/>
      <c r="D36" s="345" t="s">
        <v>432</v>
      </c>
      <c r="E36" s="346" t="s">
        <v>638</v>
      </c>
      <c r="F36" s="347" t="s">
        <v>695</v>
      </c>
      <c r="G36" s="348" t="s">
        <v>762</v>
      </c>
      <c r="H36" s="349">
        <v>163</v>
      </c>
      <c r="I36" s="350"/>
      <c r="J36" s="350">
        <v>0.129077</v>
      </c>
      <c r="K36" s="351">
        <v>20131007</v>
      </c>
      <c r="L36" s="351">
        <v>20151002</v>
      </c>
      <c r="M36" s="351">
        <v>20151031</v>
      </c>
      <c r="N36" s="351">
        <v>20151031</v>
      </c>
      <c r="O36" s="352" t="s">
        <v>80</v>
      </c>
      <c r="P36" s="353">
        <v>2000000000</v>
      </c>
      <c r="Q36" s="354" t="s">
        <v>80</v>
      </c>
      <c r="R36" s="353">
        <v>49340220</v>
      </c>
      <c r="S36" s="355">
        <v>49340220</v>
      </c>
      <c r="T36" s="355">
        <v>0</v>
      </c>
      <c r="U36" s="355">
        <v>49340220</v>
      </c>
      <c r="V36" s="355">
        <v>3173247</v>
      </c>
      <c r="W36" s="356">
        <v>52513467</v>
      </c>
      <c r="X36" s="357"/>
    </row>
    <row r="37" spans="1:24" s="121" customFormat="1" ht="14.1" customHeight="1">
      <c r="A37" s="87"/>
      <c r="B37" s="343">
        <v>28</v>
      </c>
      <c r="C37" s="344"/>
      <c r="D37" s="345" t="s">
        <v>432</v>
      </c>
      <c r="E37" s="346" t="s">
        <v>638</v>
      </c>
      <c r="F37" s="347" t="s">
        <v>695</v>
      </c>
      <c r="G37" s="348" t="s">
        <v>762</v>
      </c>
      <c r="H37" s="349">
        <v>164</v>
      </c>
      <c r="I37" s="350"/>
      <c r="J37" s="350">
        <v>0.129077</v>
      </c>
      <c r="K37" s="351">
        <v>20131007</v>
      </c>
      <c r="L37" s="351">
        <v>20151002</v>
      </c>
      <c r="M37" s="351">
        <v>20151031</v>
      </c>
      <c r="N37" s="351">
        <v>20151031</v>
      </c>
      <c r="O37" s="352" t="s">
        <v>80</v>
      </c>
      <c r="P37" s="353">
        <v>2000000000</v>
      </c>
      <c r="Q37" s="354" t="s">
        <v>80</v>
      </c>
      <c r="R37" s="353">
        <v>51358860</v>
      </c>
      <c r="S37" s="355">
        <v>51358860</v>
      </c>
      <c r="T37" s="355">
        <v>0</v>
      </c>
      <c r="U37" s="355">
        <v>51358860</v>
      </c>
      <c r="V37" s="355">
        <v>3303073</v>
      </c>
      <c r="W37" s="356">
        <v>54661933</v>
      </c>
      <c r="X37" s="357"/>
    </row>
    <row r="38" spans="1:24" s="121" customFormat="1" ht="14.1" customHeight="1">
      <c r="A38" s="87"/>
      <c r="B38" s="343">
        <v>29</v>
      </c>
      <c r="C38" s="344"/>
      <c r="D38" s="345" t="s">
        <v>432</v>
      </c>
      <c r="E38" s="346" t="s">
        <v>638</v>
      </c>
      <c r="F38" s="347" t="s">
        <v>695</v>
      </c>
      <c r="G38" s="348" t="s">
        <v>762</v>
      </c>
      <c r="H38" s="349">
        <v>165</v>
      </c>
      <c r="I38" s="350"/>
      <c r="J38" s="350">
        <v>0.12917999999999999</v>
      </c>
      <c r="K38" s="351">
        <v>20131007</v>
      </c>
      <c r="L38" s="351">
        <v>20151002</v>
      </c>
      <c r="M38" s="351">
        <v>20151031</v>
      </c>
      <c r="N38" s="351">
        <v>20151031</v>
      </c>
      <c r="O38" s="352" t="s">
        <v>80</v>
      </c>
      <c r="P38" s="353">
        <v>2000000000</v>
      </c>
      <c r="Q38" s="354" t="s">
        <v>80</v>
      </c>
      <c r="R38" s="353">
        <v>66858700</v>
      </c>
      <c r="S38" s="355">
        <v>66858700</v>
      </c>
      <c r="T38" s="355">
        <v>0</v>
      </c>
      <c r="U38" s="355">
        <v>66858700</v>
      </c>
      <c r="V38" s="355">
        <v>4078685</v>
      </c>
      <c r="W38" s="356">
        <v>70937385</v>
      </c>
      <c r="X38" s="357"/>
    </row>
    <row r="39" spans="1:24" s="121" customFormat="1" ht="14.1" customHeight="1">
      <c r="A39" s="87"/>
      <c r="B39" s="343">
        <v>30</v>
      </c>
      <c r="C39" s="344"/>
      <c r="D39" s="345" t="s">
        <v>433</v>
      </c>
      <c r="E39" s="346" t="s">
        <v>639</v>
      </c>
      <c r="F39" s="347" t="s">
        <v>331</v>
      </c>
      <c r="G39" s="348" t="s">
        <v>318</v>
      </c>
      <c r="H39" s="349">
        <v>1</v>
      </c>
      <c r="I39" s="350">
        <v>3.2599999999999997E-2</v>
      </c>
      <c r="J39" s="350">
        <v>0.1026</v>
      </c>
      <c r="K39" s="351">
        <v>20130711</v>
      </c>
      <c r="L39" s="351">
        <v>20160711</v>
      </c>
      <c r="M39" s="351">
        <v>20160114</v>
      </c>
      <c r="N39" s="351">
        <v>20160128</v>
      </c>
      <c r="O39" s="352" t="s">
        <v>80</v>
      </c>
      <c r="P39" s="353">
        <v>1150000000</v>
      </c>
      <c r="Q39" s="354" t="s">
        <v>80</v>
      </c>
      <c r="R39" s="353">
        <v>1150000000</v>
      </c>
      <c r="S39" s="355">
        <v>1150000000</v>
      </c>
      <c r="T39" s="355">
        <v>0</v>
      </c>
      <c r="U39" s="355">
        <v>1150000000</v>
      </c>
      <c r="V39" s="355">
        <v>33022657</v>
      </c>
      <c r="W39" s="356">
        <v>1183022657</v>
      </c>
      <c r="X39" s="357"/>
    </row>
    <row r="40" spans="1:24" s="121" customFormat="1" ht="14.1" customHeight="1">
      <c r="A40" s="87"/>
      <c r="B40" s="343">
        <v>31</v>
      </c>
      <c r="C40" s="344"/>
      <c r="D40" s="345" t="s">
        <v>433</v>
      </c>
      <c r="E40" s="346" t="s">
        <v>639</v>
      </c>
      <c r="F40" s="347" t="s">
        <v>328</v>
      </c>
      <c r="G40" s="348" t="s">
        <v>763</v>
      </c>
      <c r="H40" s="349">
        <v>1</v>
      </c>
      <c r="I40" s="350">
        <v>4.3499999999999997E-2</v>
      </c>
      <c r="J40" s="350">
        <v>0.11349999999999999</v>
      </c>
      <c r="K40" s="351">
        <v>20131115</v>
      </c>
      <c r="L40" s="351">
        <v>20160215</v>
      </c>
      <c r="M40" s="351">
        <v>20160116</v>
      </c>
      <c r="N40" s="351">
        <v>20160130</v>
      </c>
      <c r="O40" s="352" t="s">
        <v>80</v>
      </c>
      <c r="P40" s="353">
        <v>200000000</v>
      </c>
      <c r="Q40" s="354" t="s">
        <v>80</v>
      </c>
      <c r="R40" s="353">
        <v>200000000</v>
      </c>
      <c r="S40" s="355">
        <v>200000000</v>
      </c>
      <c r="T40" s="355">
        <v>0</v>
      </c>
      <c r="U40" s="355">
        <v>200000000</v>
      </c>
      <c r="V40" s="355">
        <v>6448014</v>
      </c>
      <c r="W40" s="356">
        <v>206448014</v>
      </c>
      <c r="X40" s="357"/>
    </row>
    <row r="41" spans="1:24" s="121" customFormat="1" ht="14.1" customHeight="1">
      <c r="A41" s="87"/>
      <c r="B41" s="343">
        <v>32</v>
      </c>
      <c r="C41" s="344"/>
      <c r="D41" s="345" t="s">
        <v>433</v>
      </c>
      <c r="E41" s="346" t="s">
        <v>639</v>
      </c>
      <c r="F41" s="347" t="s">
        <v>696</v>
      </c>
      <c r="G41" s="348" t="s">
        <v>764</v>
      </c>
      <c r="H41" s="349">
        <v>1</v>
      </c>
      <c r="I41" s="350">
        <v>4.3799999999999999E-2</v>
      </c>
      <c r="J41" s="350">
        <v>0.11380000000000001</v>
      </c>
      <c r="K41" s="351">
        <v>20131119</v>
      </c>
      <c r="L41" s="351">
        <v>20181114</v>
      </c>
      <c r="M41" s="351">
        <v>20160115</v>
      </c>
      <c r="N41" s="351">
        <v>20160129</v>
      </c>
      <c r="O41" s="352" t="s">
        <v>80</v>
      </c>
      <c r="P41" s="353">
        <v>1600000000</v>
      </c>
      <c r="Q41" s="354" t="s">
        <v>80</v>
      </c>
      <c r="R41" s="353">
        <v>1561904758</v>
      </c>
      <c r="S41" s="355">
        <v>1561904758</v>
      </c>
      <c r="T41" s="355">
        <v>0</v>
      </c>
      <c r="U41" s="355">
        <v>1561904758</v>
      </c>
      <c r="V41" s="355">
        <v>50972545</v>
      </c>
      <c r="W41" s="356">
        <v>1612877303</v>
      </c>
      <c r="X41" s="357"/>
    </row>
    <row r="42" spans="1:24" s="121" customFormat="1" ht="14.1" customHeight="1">
      <c r="A42" s="87"/>
      <c r="B42" s="343">
        <v>33</v>
      </c>
      <c r="C42" s="344"/>
      <c r="D42" s="345" t="s">
        <v>433</v>
      </c>
      <c r="E42" s="346" t="s">
        <v>639</v>
      </c>
      <c r="F42" s="347" t="s">
        <v>697</v>
      </c>
      <c r="G42" s="348" t="s">
        <v>765</v>
      </c>
      <c r="H42" s="349">
        <v>1</v>
      </c>
      <c r="I42" s="350">
        <v>3.3000000000000002E-2</v>
      </c>
      <c r="J42" s="350">
        <v>0.10300000000000001</v>
      </c>
      <c r="K42" s="351">
        <v>20140820</v>
      </c>
      <c r="L42" s="351">
        <v>20190816</v>
      </c>
      <c r="M42" s="351">
        <v>20160119</v>
      </c>
      <c r="N42" s="351">
        <v>20160202</v>
      </c>
      <c r="O42" s="352" t="s">
        <v>80</v>
      </c>
      <c r="P42" s="353">
        <v>1600000000</v>
      </c>
      <c r="Q42" s="354" t="s">
        <v>80</v>
      </c>
      <c r="R42" s="353">
        <v>1590000000</v>
      </c>
      <c r="S42" s="355">
        <v>1590000000</v>
      </c>
      <c r="T42" s="355">
        <v>4999310</v>
      </c>
      <c r="U42" s="355">
        <v>1594999310</v>
      </c>
      <c r="V42" s="355">
        <v>44259372</v>
      </c>
      <c r="W42" s="356">
        <v>1639258682</v>
      </c>
      <c r="X42" s="357" t="s">
        <v>3166</v>
      </c>
    </row>
    <row r="43" spans="1:24" s="121" customFormat="1" ht="14.1" customHeight="1">
      <c r="A43" s="87"/>
      <c r="B43" s="343">
        <v>34</v>
      </c>
      <c r="C43" s="344"/>
      <c r="D43" s="345" t="s">
        <v>434</v>
      </c>
      <c r="E43" s="346" t="s">
        <v>640</v>
      </c>
      <c r="F43" s="347" t="s">
        <v>693</v>
      </c>
      <c r="G43" s="348" t="s">
        <v>766</v>
      </c>
      <c r="H43" s="349">
        <v>1</v>
      </c>
      <c r="I43" s="350">
        <v>4.9299999999999997E-2</v>
      </c>
      <c r="J43" s="350">
        <v>0.1293</v>
      </c>
      <c r="K43" s="351">
        <v>20131226</v>
      </c>
      <c r="L43" s="351">
        <v>20181226</v>
      </c>
      <c r="M43" s="351">
        <v>20151121</v>
      </c>
      <c r="N43" s="351">
        <v>20151205</v>
      </c>
      <c r="O43" s="352" t="s">
        <v>80</v>
      </c>
      <c r="P43" s="353">
        <v>1350000000</v>
      </c>
      <c r="Q43" s="354" t="s">
        <v>80</v>
      </c>
      <c r="R43" s="353">
        <v>1150000000</v>
      </c>
      <c r="S43" s="355">
        <v>1150000000</v>
      </c>
      <c r="T43" s="355">
        <v>10880180</v>
      </c>
      <c r="U43" s="355">
        <v>1160880180</v>
      </c>
      <c r="V43" s="355">
        <v>62203757</v>
      </c>
      <c r="W43" s="356">
        <v>1223083937</v>
      </c>
      <c r="X43" s="357" t="s">
        <v>1170</v>
      </c>
    </row>
    <row r="44" spans="1:24" s="121" customFormat="1" ht="14.1" customHeight="1">
      <c r="A44" s="87"/>
      <c r="B44" s="343">
        <v>35</v>
      </c>
      <c r="C44" s="344"/>
      <c r="D44" s="345" t="s">
        <v>434</v>
      </c>
      <c r="E44" s="346" t="s">
        <v>640</v>
      </c>
      <c r="F44" s="347" t="s">
        <v>693</v>
      </c>
      <c r="G44" s="348" t="s">
        <v>767</v>
      </c>
      <c r="H44" s="349">
        <v>1</v>
      </c>
      <c r="I44" s="350">
        <v>3.9800000000000002E-2</v>
      </c>
      <c r="J44" s="350">
        <v>0.1198</v>
      </c>
      <c r="K44" s="351">
        <v>20140513</v>
      </c>
      <c r="L44" s="351">
        <v>20210408</v>
      </c>
      <c r="M44" s="351">
        <v>20151120</v>
      </c>
      <c r="N44" s="351">
        <v>20151204</v>
      </c>
      <c r="O44" s="352" t="s">
        <v>80</v>
      </c>
      <c r="P44" s="353">
        <v>2300000000</v>
      </c>
      <c r="Q44" s="354" t="s">
        <v>80</v>
      </c>
      <c r="R44" s="353">
        <v>1247327354</v>
      </c>
      <c r="S44" s="355">
        <v>1247327354</v>
      </c>
      <c r="T44" s="355">
        <v>11596500</v>
      </c>
      <c r="U44" s="355">
        <v>1258923854</v>
      </c>
      <c r="V44" s="355">
        <v>101538226</v>
      </c>
      <c r="W44" s="356">
        <v>1360462080</v>
      </c>
      <c r="X44" s="357" t="s">
        <v>3168</v>
      </c>
    </row>
    <row r="45" spans="1:24" s="121" customFormat="1" ht="14.1" customHeight="1">
      <c r="A45" s="87"/>
      <c r="B45" s="343">
        <v>36</v>
      </c>
      <c r="C45" s="344"/>
      <c r="D45" s="345" t="s">
        <v>434</v>
      </c>
      <c r="E45" s="346" t="s">
        <v>640</v>
      </c>
      <c r="F45" s="347" t="s">
        <v>695</v>
      </c>
      <c r="G45" s="348" t="s">
        <v>338</v>
      </c>
      <c r="H45" s="349">
        <v>6</v>
      </c>
      <c r="I45" s="350">
        <v>1.8100000000000002E-2</v>
      </c>
      <c r="J45" s="350">
        <v>0.15</v>
      </c>
      <c r="K45" s="351">
        <v>20140814</v>
      </c>
      <c r="L45" s="351">
        <v>20160314</v>
      </c>
      <c r="M45" s="351">
        <v>20151126</v>
      </c>
      <c r="N45" s="351">
        <v>20151210</v>
      </c>
      <c r="O45" s="352" t="s">
        <v>80</v>
      </c>
      <c r="P45" s="353">
        <v>375000000</v>
      </c>
      <c r="Q45" s="354" t="s">
        <v>80</v>
      </c>
      <c r="R45" s="353">
        <v>365807541</v>
      </c>
      <c r="S45" s="355">
        <v>365807541</v>
      </c>
      <c r="T45" s="355">
        <v>0</v>
      </c>
      <c r="U45" s="355">
        <v>365807541</v>
      </c>
      <c r="V45" s="355">
        <v>26692886</v>
      </c>
      <c r="W45" s="356">
        <v>392500427</v>
      </c>
      <c r="X45" s="357"/>
    </row>
    <row r="46" spans="1:24" s="121" customFormat="1" ht="14.1" customHeight="1">
      <c r="A46" s="87"/>
      <c r="B46" s="343">
        <v>37</v>
      </c>
      <c r="C46" s="344"/>
      <c r="D46" s="345" t="s">
        <v>435</v>
      </c>
      <c r="E46" s="346" t="s">
        <v>641</v>
      </c>
      <c r="F46" s="347" t="s">
        <v>698</v>
      </c>
      <c r="G46" s="348" t="s">
        <v>768</v>
      </c>
      <c r="H46" s="349">
        <v>1</v>
      </c>
      <c r="I46" s="350">
        <v>5.2699999999999997E-2</v>
      </c>
      <c r="J46" s="350">
        <v>0.13269999999999998</v>
      </c>
      <c r="K46" s="351">
        <v>20131002</v>
      </c>
      <c r="L46" s="351">
        <v>20150701</v>
      </c>
      <c r="M46" s="351">
        <v>20150702</v>
      </c>
      <c r="N46" s="351">
        <v>20150702</v>
      </c>
      <c r="O46" s="352" t="s">
        <v>80</v>
      </c>
      <c r="P46" s="353">
        <v>1250000000</v>
      </c>
      <c r="Q46" s="354" t="s">
        <v>80</v>
      </c>
      <c r="R46" s="353">
        <v>1250000000</v>
      </c>
      <c r="S46" s="355">
        <v>1250000000</v>
      </c>
      <c r="T46" s="355">
        <v>996271</v>
      </c>
      <c r="U46" s="355">
        <v>1250996271</v>
      </c>
      <c r="V46" s="355">
        <v>132543206</v>
      </c>
      <c r="W46" s="356">
        <v>1383539477</v>
      </c>
      <c r="X46" s="357" t="s">
        <v>1174</v>
      </c>
    </row>
    <row r="47" spans="1:24" s="121" customFormat="1" ht="14.1" customHeight="1">
      <c r="A47" s="87"/>
      <c r="B47" s="343">
        <v>38</v>
      </c>
      <c r="C47" s="344"/>
      <c r="D47" s="345" t="s">
        <v>435</v>
      </c>
      <c r="E47" s="346" t="s">
        <v>641</v>
      </c>
      <c r="F47" s="347" t="s">
        <v>699</v>
      </c>
      <c r="G47" s="348" t="s">
        <v>769</v>
      </c>
      <c r="H47" s="349">
        <v>1</v>
      </c>
      <c r="I47" s="350">
        <v>3.39E-2</v>
      </c>
      <c r="J47" s="350">
        <v>0.1139</v>
      </c>
      <c r="K47" s="351">
        <v>20131002</v>
      </c>
      <c r="L47" s="351">
        <v>20170929</v>
      </c>
      <c r="M47" s="351">
        <v>20150702</v>
      </c>
      <c r="N47" s="351">
        <v>20150702</v>
      </c>
      <c r="O47" s="352" t="s">
        <v>80</v>
      </c>
      <c r="P47" s="353">
        <v>1250000000</v>
      </c>
      <c r="Q47" s="354" t="s">
        <v>80</v>
      </c>
      <c r="R47" s="353">
        <v>1225000000</v>
      </c>
      <c r="S47" s="355">
        <v>1225000000</v>
      </c>
      <c r="T47" s="355">
        <v>0</v>
      </c>
      <c r="U47" s="355">
        <v>1225000000</v>
      </c>
      <c r="V47" s="355">
        <v>103327578</v>
      </c>
      <c r="W47" s="356">
        <v>1328327578</v>
      </c>
      <c r="X47" s="357"/>
    </row>
    <row r="48" spans="1:24" s="121" customFormat="1" ht="14.1" customHeight="1">
      <c r="A48" s="87"/>
      <c r="B48" s="343">
        <v>39</v>
      </c>
      <c r="C48" s="344"/>
      <c r="D48" s="345" t="s">
        <v>435</v>
      </c>
      <c r="E48" s="346" t="s">
        <v>641</v>
      </c>
      <c r="F48" s="347" t="s">
        <v>700</v>
      </c>
      <c r="G48" s="348" t="s">
        <v>770</v>
      </c>
      <c r="H48" s="349">
        <v>1</v>
      </c>
      <c r="I48" s="350">
        <v>5.2699999999999997E-2</v>
      </c>
      <c r="J48" s="350">
        <v>0.13269999999999998</v>
      </c>
      <c r="K48" s="351">
        <v>20131002</v>
      </c>
      <c r="L48" s="351">
        <v>20150701</v>
      </c>
      <c r="M48" s="351">
        <v>20150702</v>
      </c>
      <c r="N48" s="351">
        <v>20150702</v>
      </c>
      <c r="O48" s="352" t="s">
        <v>80</v>
      </c>
      <c r="P48" s="353">
        <v>250000000</v>
      </c>
      <c r="Q48" s="354" t="s">
        <v>80</v>
      </c>
      <c r="R48" s="353">
        <v>60000000</v>
      </c>
      <c r="S48" s="355">
        <v>60000000</v>
      </c>
      <c r="T48" s="355">
        <v>0</v>
      </c>
      <c r="U48" s="355">
        <v>60000000</v>
      </c>
      <c r="V48" s="355">
        <v>16471417</v>
      </c>
      <c r="W48" s="356">
        <v>76471417</v>
      </c>
      <c r="X48" s="357"/>
    </row>
    <row r="49" spans="1:24" s="121" customFormat="1" ht="14.1" customHeight="1">
      <c r="A49" s="87"/>
      <c r="B49" s="343">
        <v>40</v>
      </c>
      <c r="C49" s="344"/>
      <c r="D49" s="345" t="s">
        <v>436</v>
      </c>
      <c r="E49" s="346" t="s">
        <v>642</v>
      </c>
      <c r="F49" s="347" t="s">
        <v>701</v>
      </c>
      <c r="G49" s="348" t="s">
        <v>771</v>
      </c>
      <c r="H49" s="349">
        <v>1</v>
      </c>
      <c r="I49" s="350">
        <v>3.0699999999999998E-2</v>
      </c>
      <c r="J49" s="350">
        <v>0.11070000000000001</v>
      </c>
      <c r="K49" s="351">
        <v>20131203</v>
      </c>
      <c r="L49" s="351">
        <v>20231127</v>
      </c>
      <c r="M49" s="351">
        <v>20151231</v>
      </c>
      <c r="N49" s="351">
        <v>20160114</v>
      </c>
      <c r="O49" s="352" t="s">
        <v>80</v>
      </c>
      <c r="P49" s="353">
        <v>1700000000</v>
      </c>
      <c r="Q49" s="354" t="s">
        <v>80</v>
      </c>
      <c r="R49" s="353">
        <v>1699987581</v>
      </c>
      <c r="S49" s="355">
        <v>1699987581</v>
      </c>
      <c r="T49" s="355">
        <v>12784354</v>
      </c>
      <c r="U49" s="355">
        <v>1712771935</v>
      </c>
      <c r="V49" s="355">
        <v>47386571</v>
      </c>
      <c r="W49" s="356">
        <v>1760158506</v>
      </c>
      <c r="X49" s="357" t="s">
        <v>1170</v>
      </c>
    </row>
    <row r="50" spans="1:24" s="121" customFormat="1" ht="14.1" customHeight="1">
      <c r="A50" s="87"/>
      <c r="B50" s="343">
        <v>41</v>
      </c>
      <c r="C50" s="344"/>
      <c r="D50" s="345" t="s">
        <v>436</v>
      </c>
      <c r="E50" s="346" t="s">
        <v>642</v>
      </c>
      <c r="F50" s="347" t="s">
        <v>702</v>
      </c>
      <c r="G50" s="348" t="s">
        <v>772</v>
      </c>
      <c r="H50" s="349">
        <v>1</v>
      </c>
      <c r="I50" s="350">
        <v>5.5099999999999996E-2</v>
      </c>
      <c r="J50" s="350">
        <v>0.12509999999999999</v>
      </c>
      <c r="K50" s="351">
        <v>20140811</v>
      </c>
      <c r="L50" s="351">
        <v>20160811</v>
      </c>
      <c r="M50" s="351">
        <v>20160113</v>
      </c>
      <c r="N50" s="351">
        <v>20160127</v>
      </c>
      <c r="O50" s="352" t="s">
        <v>80</v>
      </c>
      <c r="P50" s="353">
        <v>160000000</v>
      </c>
      <c r="Q50" s="354" t="s">
        <v>80</v>
      </c>
      <c r="R50" s="353">
        <v>160000000</v>
      </c>
      <c r="S50" s="355">
        <v>160000000</v>
      </c>
      <c r="T50" s="355">
        <v>0</v>
      </c>
      <c r="U50" s="355">
        <v>160000000</v>
      </c>
      <c r="V50" s="355">
        <v>6004086</v>
      </c>
      <c r="W50" s="356">
        <v>166004086</v>
      </c>
      <c r="X50" s="357"/>
    </row>
    <row r="51" spans="1:24" s="121" customFormat="1" ht="14.1" customHeight="1">
      <c r="A51" s="87"/>
      <c r="B51" s="343">
        <v>42</v>
      </c>
      <c r="C51" s="344"/>
      <c r="D51" s="345" t="s">
        <v>436</v>
      </c>
      <c r="E51" s="346" t="s">
        <v>642</v>
      </c>
      <c r="F51" s="347" t="s">
        <v>703</v>
      </c>
      <c r="G51" s="348" t="s">
        <v>773</v>
      </c>
      <c r="H51" s="349">
        <v>1</v>
      </c>
      <c r="I51" s="350">
        <v>3.5400000000000001E-2</v>
      </c>
      <c r="J51" s="350">
        <v>0.11539999999999999</v>
      </c>
      <c r="K51" s="351">
        <v>20141210</v>
      </c>
      <c r="L51" s="351">
        <v>20161202</v>
      </c>
      <c r="M51" s="351">
        <v>20160112</v>
      </c>
      <c r="N51" s="351">
        <v>20160126</v>
      </c>
      <c r="O51" s="352" t="s">
        <v>80</v>
      </c>
      <c r="P51" s="353">
        <v>100000000</v>
      </c>
      <c r="Q51" s="354" t="s">
        <v>80</v>
      </c>
      <c r="R51" s="353">
        <v>9016322</v>
      </c>
      <c r="S51" s="355">
        <v>9016322</v>
      </c>
      <c r="T51" s="355">
        <v>0</v>
      </c>
      <c r="U51" s="355">
        <v>9016322</v>
      </c>
      <c r="V51" s="355">
        <v>2685302</v>
      </c>
      <c r="W51" s="356">
        <v>11701624</v>
      </c>
      <c r="X51" s="357"/>
    </row>
    <row r="52" spans="1:24" s="121" customFormat="1" ht="14.1" customHeight="1">
      <c r="A52" s="87"/>
      <c r="B52" s="343">
        <v>43</v>
      </c>
      <c r="C52" s="344"/>
      <c r="D52" s="345" t="s">
        <v>436</v>
      </c>
      <c r="E52" s="346" t="s">
        <v>642</v>
      </c>
      <c r="F52" s="347" t="s">
        <v>704</v>
      </c>
      <c r="G52" s="348" t="s">
        <v>356</v>
      </c>
      <c r="H52" s="349">
        <v>1</v>
      </c>
      <c r="I52" s="350">
        <v>2.4300000000000002E-2</v>
      </c>
      <c r="J52" s="350">
        <v>0.1043</v>
      </c>
      <c r="K52" s="351">
        <v>20141111</v>
      </c>
      <c r="L52" s="351">
        <v>20221107</v>
      </c>
      <c r="M52" s="351">
        <v>20160112</v>
      </c>
      <c r="N52" s="351">
        <v>20160126</v>
      </c>
      <c r="O52" s="352" t="s">
        <v>80</v>
      </c>
      <c r="P52" s="353">
        <v>500000000</v>
      </c>
      <c r="Q52" s="354" t="s">
        <v>80</v>
      </c>
      <c r="R52" s="353">
        <v>363807391</v>
      </c>
      <c r="S52" s="355">
        <v>363807391</v>
      </c>
      <c r="T52" s="355">
        <v>0</v>
      </c>
      <c r="U52" s="355">
        <v>363807391</v>
      </c>
      <c r="V52" s="355">
        <v>12875258</v>
      </c>
      <c r="W52" s="356">
        <v>376682649</v>
      </c>
      <c r="X52" s="357"/>
    </row>
    <row r="53" spans="1:24" s="121" customFormat="1" ht="14.1" customHeight="1">
      <c r="A53" s="87"/>
      <c r="B53" s="343">
        <v>44</v>
      </c>
      <c r="C53" s="344"/>
      <c r="D53" s="345" t="s">
        <v>437</v>
      </c>
      <c r="E53" s="346" t="s">
        <v>643</v>
      </c>
      <c r="F53" s="347" t="s">
        <v>705</v>
      </c>
      <c r="G53" s="348" t="s">
        <v>774</v>
      </c>
      <c r="H53" s="349">
        <v>1</v>
      </c>
      <c r="I53" s="350">
        <v>3.39E-2</v>
      </c>
      <c r="J53" s="350">
        <v>0.10390000000000001</v>
      </c>
      <c r="K53" s="351">
        <v>20140502</v>
      </c>
      <c r="L53" s="351">
        <v>20200202</v>
      </c>
      <c r="M53" s="351">
        <v>20160301</v>
      </c>
      <c r="N53" s="351">
        <v>20160315</v>
      </c>
      <c r="O53" s="352" t="s">
        <v>80</v>
      </c>
      <c r="P53" s="353">
        <v>270000000</v>
      </c>
      <c r="Q53" s="354" t="s">
        <v>80</v>
      </c>
      <c r="R53" s="353">
        <v>270000000</v>
      </c>
      <c r="S53" s="355">
        <v>270000000</v>
      </c>
      <c r="T53" s="355">
        <v>0</v>
      </c>
      <c r="U53" s="355">
        <v>270000000</v>
      </c>
      <c r="V53" s="355">
        <v>4314594</v>
      </c>
      <c r="W53" s="356">
        <v>274314594</v>
      </c>
      <c r="X53" s="357"/>
    </row>
    <row r="54" spans="1:24" s="121" customFormat="1" ht="14.1" customHeight="1">
      <c r="A54" s="87"/>
      <c r="B54" s="343">
        <v>45</v>
      </c>
      <c r="C54" s="344"/>
      <c r="D54" s="345" t="s">
        <v>437</v>
      </c>
      <c r="E54" s="346" t="s">
        <v>643</v>
      </c>
      <c r="F54" s="347" t="s">
        <v>706</v>
      </c>
      <c r="G54" s="348" t="s">
        <v>362</v>
      </c>
      <c r="H54" s="349">
        <v>1</v>
      </c>
      <c r="I54" s="350">
        <v>3.9699999999999999E-2</v>
      </c>
      <c r="J54" s="350">
        <v>0.10970000000000001</v>
      </c>
      <c r="K54" s="351">
        <v>20140502</v>
      </c>
      <c r="L54" s="351">
        <v>20220428</v>
      </c>
      <c r="M54" s="351">
        <v>20160227</v>
      </c>
      <c r="N54" s="351">
        <v>20160312</v>
      </c>
      <c r="O54" s="352" t="s">
        <v>80</v>
      </c>
      <c r="P54" s="353">
        <v>1300000000</v>
      </c>
      <c r="Q54" s="354" t="s">
        <v>80</v>
      </c>
      <c r="R54" s="353">
        <v>1300000000</v>
      </c>
      <c r="S54" s="355">
        <v>1300000000</v>
      </c>
      <c r="T54" s="355">
        <v>908380</v>
      </c>
      <c r="U54" s="355">
        <v>1300908380</v>
      </c>
      <c r="V54" s="355">
        <v>23522184</v>
      </c>
      <c r="W54" s="356">
        <v>1324430564</v>
      </c>
      <c r="X54" s="357" t="s">
        <v>1169</v>
      </c>
    </row>
    <row r="55" spans="1:24" s="121" customFormat="1" ht="14.1" customHeight="1">
      <c r="A55" s="87"/>
      <c r="B55" s="343">
        <v>46</v>
      </c>
      <c r="C55" s="344"/>
      <c r="D55" s="345" t="s">
        <v>437</v>
      </c>
      <c r="E55" s="346" t="s">
        <v>643</v>
      </c>
      <c r="F55" s="347" t="s">
        <v>697</v>
      </c>
      <c r="G55" s="348" t="s">
        <v>775</v>
      </c>
      <c r="H55" s="349">
        <v>1</v>
      </c>
      <c r="I55" s="350">
        <v>4.36E-2</v>
      </c>
      <c r="J55" s="350">
        <v>0.11359999999999999</v>
      </c>
      <c r="K55" s="351">
        <v>20140502</v>
      </c>
      <c r="L55" s="351">
        <v>20220428</v>
      </c>
      <c r="M55" s="351">
        <v>20160301</v>
      </c>
      <c r="N55" s="351">
        <v>20160315</v>
      </c>
      <c r="O55" s="352" t="s">
        <v>80</v>
      </c>
      <c r="P55" s="353">
        <v>1000000000</v>
      </c>
      <c r="Q55" s="354" t="s">
        <v>80</v>
      </c>
      <c r="R55" s="353">
        <v>545872296</v>
      </c>
      <c r="S55" s="355">
        <v>545872296</v>
      </c>
      <c r="T55" s="355">
        <v>0</v>
      </c>
      <c r="U55" s="355">
        <v>545872296</v>
      </c>
      <c r="V55" s="355">
        <v>16456942</v>
      </c>
      <c r="W55" s="356">
        <v>562329238</v>
      </c>
      <c r="X55" s="357"/>
    </row>
    <row r="56" spans="1:24" s="121" customFormat="1" ht="14.1" customHeight="1">
      <c r="A56" s="87"/>
      <c r="B56" s="343">
        <v>47</v>
      </c>
      <c r="C56" s="344"/>
      <c r="D56" s="345" t="s">
        <v>437</v>
      </c>
      <c r="E56" s="346" t="s">
        <v>643</v>
      </c>
      <c r="F56" s="347" t="s">
        <v>707</v>
      </c>
      <c r="G56" s="348" t="s">
        <v>776</v>
      </c>
      <c r="H56" s="349">
        <v>1</v>
      </c>
      <c r="I56" s="350">
        <v>0.12</v>
      </c>
      <c r="J56" s="350">
        <v>0.15</v>
      </c>
      <c r="K56" s="351">
        <v>20141212</v>
      </c>
      <c r="L56" s="351">
        <v>20160302</v>
      </c>
      <c r="M56" s="351">
        <v>20160227</v>
      </c>
      <c r="N56" s="351">
        <v>20160303</v>
      </c>
      <c r="O56" s="352" t="s">
        <v>80</v>
      </c>
      <c r="P56" s="353">
        <v>100000000</v>
      </c>
      <c r="Q56" s="354" t="s">
        <v>80</v>
      </c>
      <c r="R56" s="353">
        <v>100000000</v>
      </c>
      <c r="S56" s="355">
        <v>100000000</v>
      </c>
      <c r="T56" s="355">
        <v>0</v>
      </c>
      <c r="U56" s="355">
        <v>100000000</v>
      </c>
      <c r="V56" s="355">
        <v>3510277</v>
      </c>
      <c r="W56" s="356">
        <v>103510277</v>
      </c>
      <c r="X56" s="357"/>
    </row>
    <row r="57" spans="1:24" s="121" customFormat="1" ht="14.1" customHeight="1">
      <c r="A57" s="87"/>
      <c r="B57" s="343">
        <v>48</v>
      </c>
      <c r="C57" s="344"/>
      <c r="D57" s="345" t="s">
        <v>437</v>
      </c>
      <c r="E57" s="346" t="s">
        <v>643</v>
      </c>
      <c r="F57" s="347" t="s">
        <v>328</v>
      </c>
      <c r="G57" s="348" t="s">
        <v>777</v>
      </c>
      <c r="H57" s="349">
        <v>1</v>
      </c>
      <c r="I57" s="350">
        <v>0.1193</v>
      </c>
      <c r="J57" s="350">
        <v>0.15</v>
      </c>
      <c r="K57" s="351">
        <v>20150827</v>
      </c>
      <c r="L57" s="351">
        <v>20160302</v>
      </c>
      <c r="M57" s="351">
        <v>20160227</v>
      </c>
      <c r="N57" s="351">
        <v>20160303</v>
      </c>
      <c r="O57" s="352" t="s">
        <v>80</v>
      </c>
      <c r="P57" s="353">
        <v>60000000</v>
      </c>
      <c r="Q57" s="354" t="s">
        <v>80</v>
      </c>
      <c r="R57" s="353">
        <v>50000000</v>
      </c>
      <c r="S57" s="355">
        <v>50000000</v>
      </c>
      <c r="T57" s="355">
        <v>0</v>
      </c>
      <c r="U57" s="355">
        <v>50000000</v>
      </c>
      <c r="V57" s="355">
        <v>1652772</v>
      </c>
      <c r="W57" s="356">
        <v>51652772</v>
      </c>
      <c r="X57" s="357"/>
    </row>
    <row r="58" spans="1:24" s="121" customFormat="1" ht="14.1" customHeight="1">
      <c r="A58" s="87"/>
      <c r="B58" s="343">
        <v>49</v>
      </c>
      <c r="C58" s="344"/>
      <c r="D58" s="345" t="s">
        <v>438</v>
      </c>
      <c r="E58" s="346" t="s">
        <v>644</v>
      </c>
      <c r="F58" s="347" t="s">
        <v>708</v>
      </c>
      <c r="G58" s="348" t="s">
        <v>778</v>
      </c>
      <c r="H58" s="349">
        <v>0</v>
      </c>
      <c r="I58" s="350">
        <v>3.9900000000000005E-2</v>
      </c>
      <c r="J58" s="350">
        <v>9.9962999999999996E-2</v>
      </c>
      <c r="K58" s="351">
        <v>20120525</v>
      </c>
      <c r="L58" s="351">
        <v>20160520</v>
      </c>
      <c r="M58" s="351">
        <v>20160212</v>
      </c>
      <c r="N58" s="351">
        <v>20160220</v>
      </c>
      <c r="O58" s="352" t="s">
        <v>80</v>
      </c>
      <c r="P58" s="353">
        <v>200000000</v>
      </c>
      <c r="Q58" s="354" t="s">
        <v>80</v>
      </c>
      <c r="R58" s="353">
        <v>48320299</v>
      </c>
      <c r="S58" s="355">
        <v>48320299</v>
      </c>
      <c r="T58" s="355">
        <v>0</v>
      </c>
      <c r="U58" s="355">
        <v>48320299</v>
      </c>
      <c r="V58" s="355">
        <v>4314391</v>
      </c>
      <c r="W58" s="356">
        <v>52634690</v>
      </c>
      <c r="X58" s="357"/>
    </row>
    <row r="59" spans="1:24" s="121" customFormat="1" ht="14.1" customHeight="1">
      <c r="A59" s="87"/>
      <c r="B59" s="343">
        <v>50</v>
      </c>
      <c r="C59" s="344"/>
      <c r="D59" s="345" t="s">
        <v>438</v>
      </c>
      <c r="E59" s="346" t="s">
        <v>644</v>
      </c>
      <c r="F59" s="347" t="s">
        <v>329</v>
      </c>
      <c r="G59" s="348" t="s">
        <v>779</v>
      </c>
      <c r="H59" s="349">
        <v>0</v>
      </c>
      <c r="I59" s="350">
        <v>4.4400000000000002E-2</v>
      </c>
      <c r="J59" s="350">
        <v>0.104463</v>
      </c>
      <c r="K59" s="351">
        <v>20071119</v>
      </c>
      <c r="L59" s="351">
        <v>20161115</v>
      </c>
      <c r="M59" s="351">
        <v>20160212</v>
      </c>
      <c r="N59" s="351">
        <v>20160220</v>
      </c>
      <c r="O59" s="352" t="s">
        <v>80</v>
      </c>
      <c r="P59" s="353">
        <v>55000000</v>
      </c>
      <c r="Q59" s="354" t="s">
        <v>80</v>
      </c>
      <c r="R59" s="353">
        <v>53265475</v>
      </c>
      <c r="S59" s="355">
        <v>53265475</v>
      </c>
      <c r="T59" s="355">
        <v>0</v>
      </c>
      <c r="U59" s="355">
        <v>53265475</v>
      </c>
      <c r="V59" s="355">
        <v>1284043</v>
      </c>
      <c r="W59" s="356">
        <v>54549518</v>
      </c>
      <c r="X59" s="357"/>
    </row>
    <row r="60" spans="1:24" s="121" customFormat="1" ht="14.1" customHeight="1">
      <c r="A60" s="87"/>
      <c r="B60" s="343">
        <v>51</v>
      </c>
      <c r="C60" s="344"/>
      <c r="D60" s="345" t="s">
        <v>438</v>
      </c>
      <c r="E60" s="346" t="s">
        <v>644</v>
      </c>
      <c r="F60" s="347" t="s">
        <v>328</v>
      </c>
      <c r="G60" s="348" t="s">
        <v>324</v>
      </c>
      <c r="H60" s="349">
        <v>1</v>
      </c>
      <c r="I60" s="350">
        <v>4.6799999999999994E-2</v>
      </c>
      <c r="J60" s="350">
        <v>0.1168</v>
      </c>
      <c r="K60" s="351">
        <v>20111215</v>
      </c>
      <c r="L60" s="351">
        <v>20161215</v>
      </c>
      <c r="M60" s="351">
        <v>20160216</v>
      </c>
      <c r="N60" s="351">
        <v>20160220</v>
      </c>
      <c r="O60" s="352" t="s">
        <v>80</v>
      </c>
      <c r="P60" s="353">
        <v>100000000</v>
      </c>
      <c r="Q60" s="354" t="s">
        <v>80</v>
      </c>
      <c r="R60" s="353">
        <v>100000000</v>
      </c>
      <c r="S60" s="355">
        <v>100000000</v>
      </c>
      <c r="T60" s="355">
        <v>0</v>
      </c>
      <c r="U60" s="355">
        <v>100000000</v>
      </c>
      <c r="V60" s="355">
        <v>2548875</v>
      </c>
      <c r="W60" s="356">
        <v>102548875</v>
      </c>
      <c r="X60" s="357"/>
    </row>
    <row r="61" spans="1:24" s="121" customFormat="1" ht="14.1" customHeight="1">
      <c r="A61" s="87"/>
      <c r="B61" s="343">
        <v>52</v>
      </c>
      <c r="C61" s="344"/>
      <c r="D61" s="345" t="s">
        <v>438</v>
      </c>
      <c r="E61" s="346" t="s">
        <v>644</v>
      </c>
      <c r="F61" s="347" t="s">
        <v>328</v>
      </c>
      <c r="G61" s="348" t="s">
        <v>780</v>
      </c>
      <c r="H61" s="349">
        <v>1</v>
      </c>
      <c r="I61" s="350">
        <v>3.8300000000000001E-2</v>
      </c>
      <c r="J61" s="350">
        <v>0.10830000000000001</v>
      </c>
      <c r="K61" s="351">
        <v>20120518</v>
      </c>
      <c r="L61" s="351">
        <v>20160513</v>
      </c>
      <c r="M61" s="351">
        <v>20160219</v>
      </c>
      <c r="N61" s="351">
        <v>20160220</v>
      </c>
      <c r="O61" s="352" t="s">
        <v>80</v>
      </c>
      <c r="P61" s="353">
        <v>200000000</v>
      </c>
      <c r="Q61" s="354" t="s">
        <v>80</v>
      </c>
      <c r="R61" s="353">
        <v>34598597</v>
      </c>
      <c r="S61" s="355">
        <v>34598597</v>
      </c>
      <c r="T61" s="355">
        <v>0</v>
      </c>
      <c r="U61" s="355">
        <v>34598597</v>
      </c>
      <c r="V61" s="355">
        <v>3751843</v>
      </c>
      <c r="W61" s="356">
        <v>38350440</v>
      </c>
      <c r="X61" s="357"/>
    </row>
    <row r="62" spans="1:24" s="121" customFormat="1" ht="14.1" customHeight="1">
      <c r="A62" s="87"/>
      <c r="B62" s="343">
        <v>53</v>
      </c>
      <c r="C62" s="344"/>
      <c r="D62" s="345" t="s">
        <v>438</v>
      </c>
      <c r="E62" s="346" t="s">
        <v>644</v>
      </c>
      <c r="F62" s="347" t="s">
        <v>709</v>
      </c>
      <c r="G62" s="348" t="s">
        <v>781</v>
      </c>
      <c r="H62" s="349">
        <v>1</v>
      </c>
      <c r="I62" s="350">
        <v>4.0399999999999998E-2</v>
      </c>
      <c r="J62" s="350">
        <v>0.1104</v>
      </c>
      <c r="K62" s="351">
        <v>20120525</v>
      </c>
      <c r="L62" s="351">
        <v>20160520</v>
      </c>
      <c r="M62" s="351">
        <v>20160220</v>
      </c>
      <c r="N62" s="351">
        <v>20160220</v>
      </c>
      <c r="O62" s="352" t="s">
        <v>80</v>
      </c>
      <c r="P62" s="353">
        <v>300000000</v>
      </c>
      <c r="Q62" s="354" t="s">
        <v>80</v>
      </c>
      <c r="R62" s="353">
        <v>72864099</v>
      </c>
      <c r="S62" s="355">
        <v>72864099</v>
      </c>
      <c r="T62" s="355">
        <v>0</v>
      </c>
      <c r="U62" s="355">
        <v>72864099</v>
      </c>
      <c r="V62" s="355">
        <v>6220418</v>
      </c>
      <c r="W62" s="356">
        <v>79084517</v>
      </c>
      <c r="X62" s="357"/>
    </row>
    <row r="63" spans="1:24" s="121" customFormat="1" ht="14.1" customHeight="1">
      <c r="A63" s="87"/>
      <c r="B63" s="343">
        <v>54</v>
      </c>
      <c r="C63" s="344"/>
      <c r="D63" s="345" t="s">
        <v>438</v>
      </c>
      <c r="E63" s="346" t="s">
        <v>644</v>
      </c>
      <c r="F63" s="347" t="s">
        <v>328</v>
      </c>
      <c r="G63" s="348" t="s">
        <v>367</v>
      </c>
      <c r="H63" s="349">
        <v>1</v>
      </c>
      <c r="I63" s="350">
        <v>4.0300000000000002E-2</v>
      </c>
      <c r="J63" s="350">
        <v>0.1103</v>
      </c>
      <c r="K63" s="351">
        <v>20121119</v>
      </c>
      <c r="L63" s="351">
        <v>20161119</v>
      </c>
      <c r="M63" s="351">
        <v>20160220</v>
      </c>
      <c r="N63" s="351">
        <v>20160220</v>
      </c>
      <c r="O63" s="352" t="s">
        <v>80</v>
      </c>
      <c r="P63" s="353">
        <v>600000000</v>
      </c>
      <c r="Q63" s="354" t="s">
        <v>80</v>
      </c>
      <c r="R63" s="353">
        <v>600000000</v>
      </c>
      <c r="S63" s="355">
        <v>600000000</v>
      </c>
      <c r="T63" s="355">
        <v>9433845</v>
      </c>
      <c r="U63" s="355">
        <v>609433845</v>
      </c>
      <c r="V63" s="355">
        <v>13918031</v>
      </c>
      <c r="W63" s="356">
        <v>623351876</v>
      </c>
      <c r="X63" s="357" t="s">
        <v>1173</v>
      </c>
    </row>
    <row r="64" spans="1:24" s="121" customFormat="1" ht="14.1" customHeight="1">
      <c r="A64" s="87"/>
      <c r="B64" s="343">
        <v>55</v>
      </c>
      <c r="C64" s="344"/>
      <c r="D64" s="345" t="s">
        <v>438</v>
      </c>
      <c r="E64" s="346" t="s">
        <v>644</v>
      </c>
      <c r="F64" s="347" t="s">
        <v>710</v>
      </c>
      <c r="G64" s="348" t="s">
        <v>782</v>
      </c>
      <c r="H64" s="349">
        <v>1</v>
      </c>
      <c r="I64" s="350">
        <v>4.6900000000000004E-2</v>
      </c>
      <c r="J64" s="350">
        <v>0.11689999999999999</v>
      </c>
      <c r="K64" s="351">
        <v>20140617</v>
      </c>
      <c r="L64" s="351">
        <v>20160617</v>
      </c>
      <c r="M64" s="351">
        <v>20160218</v>
      </c>
      <c r="N64" s="351">
        <v>20160220</v>
      </c>
      <c r="O64" s="352" t="s">
        <v>80</v>
      </c>
      <c r="P64" s="353">
        <v>140000000</v>
      </c>
      <c r="Q64" s="354" t="s">
        <v>80</v>
      </c>
      <c r="R64" s="353">
        <v>66000000</v>
      </c>
      <c r="S64" s="355">
        <v>66000000</v>
      </c>
      <c r="T64" s="355">
        <v>0</v>
      </c>
      <c r="U64" s="355">
        <v>66000000</v>
      </c>
      <c r="V64" s="355">
        <v>1667066</v>
      </c>
      <c r="W64" s="356">
        <v>67667066</v>
      </c>
      <c r="X64" s="357"/>
    </row>
    <row r="65" spans="1:24" s="121" customFormat="1" ht="14.1" customHeight="1">
      <c r="A65" s="87"/>
      <c r="B65" s="343">
        <v>56</v>
      </c>
      <c r="C65" s="344"/>
      <c r="D65" s="345" t="s">
        <v>438</v>
      </c>
      <c r="E65" s="346" t="s">
        <v>644</v>
      </c>
      <c r="F65" s="347" t="s">
        <v>710</v>
      </c>
      <c r="G65" s="348" t="s">
        <v>783</v>
      </c>
      <c r="H65" s="349">
        <v>1</v>
      </c>
      <c r="I65" s="350">
        <v>4.6900000000000004E-2</v>
      </c>
      <c r="J65" s="350">
        <v>0.11689999999999999</v>
      </c>
      <c r="K65" s="351">
        <v>20150319</v>
      </c>
      <c r="L65" s="351">
        <v>20160319</v>
      </c>
      <c r="M65" s="351">
        <v>20160220</v>
      </c>
      <c r="N65" s="351">
        <v>20160220</v>
      </c>
      <c r="O65" s="352" t="s">
        <v>80</v>
      </c>
      <c r="P65" s="353">
        <v>200000000</v>
      </c>
      <c r="Q65" s="354" t="s">
        <v>80</v>
      </c>
      <c r="R65" s="353">
        <v>200000000</v>
      </c>
      <c r="S65" s="355">
        <v>200000000</v>
      </c>
      <c r="T65" s="355">
        <v>0</v>
      </c>
      <c r="U65" s="355">
        <v>200000000</v>
      </c>
      <c r="V65" s="355">
        <v>4999999</v>
      </c>
      <c r="W65" s="356">
        <v>204999999</v>
      </c>
      <c r="X65" s="357"/>
    </row>
    <row r="66" spans="1:24" s="121" customFormat="1" ht="14.1" customHeight="1">
      <c r="A66" s="87"/>
      <c r="B66" s="343">
        <v>57</v>
      </c>
      <c r="C66" s="344"/>
      <c r="D66" s="345" t="s">
        <v>439</v>
      </c>
      <c r="E66" s="346" t="s">
        <v>645</v>
      </c>
      <c r="F66" s="347" t="s">
        <v>711</v>
      </c>
      <c r="G66" s="348" t="s">
        <v>784</v>
      </c>
      <c r="H66" s="349">
        <v>1</v>
      </c>
      <c r="I66" s="350">
        <v>4.7500000000000001E-2</v>
      </c>
      <c r="J66" s="350">
        <v>0.1275</v>
      </c>
      <c r="K66" s="351">
        <v>20141210</v>
      </c>
      <c r="L66" s="351">
        <v>20171208</v>
      </c>
      <c r="M66" s="351">
        <v>20151222</v>
      </c>
      <c r="N66" s="351">
        <v>20160105</v>
      </c>
      <c r="O66" s="352" t="s">
        <v>80</v>
      </c>
      <c r="P66" s="353">
        <v>1400000000</v>
      </c>
      <c r="Q66" s="354" t="s">
        <v>80</v>
      </c>
      <c r="R66" s="353">
        <v>1400000000</v>
      </c>
      <c r="S66" s="355">
        <v>1400000000</v>
      </c>
      <c r="T66" s="355">
        <v>0</v>
      </c>
      <c r="U66" s="355">
        <v>1400000000</v>
      </c>
      <c r="V66" s="355">
        <v>59438729</v>
      </c>
      <c r="W66" s="356">
        <v>1459438729</v>
      </c>
      <c r="X66" s="357"/>
    </row>
    <row r="67" spans="1:24" s="121" customFormat="1" ht="14.1" customHeight="1">
      <c r="A67" s="87"/>
      <c r="B67" s="343">
        <v>58</v>
      </c>
      <c r="C67" s="344"/>
      <c r="D67" s="345" t="s">
        <v>439</v>
      </c>
      <c r="E67" s="346" t="s">
        <v>645</v>
      </c>
      <c r="F67" s="347" t="s">
        <v>712</v>
      </c>
      <c r="G67" s="348" t="s">
        <v>785</v>
      </c>
      <c r="H67" s="349">
        <v>1</v>
      </c>
      <c r="I67" s="350">
        <v>3.61E-2</v>
      </c>
      <c r="J67" s="350">
        <v>0.11609999999999999</v>
      </c>
      <c r="K67" s="351">
        <v>20150129</v>
      </c>
      <c r="L67" s="351">
        <v>20191224</v>
      </c>
      <c r="M67" s="351">
        <v>20151218</v>
      </c>
      <c r="N67" s="351">
        <v>20160101</v>
      </c>
      <c r="O67" s="352" t="s">
        <v>80</v>
      </c>
      <c r="P67" s="353">
        <v>470000000</v>
      </c>
      <c r="Q67" s="354" t="s">
        <v>80</v>
      </c>
      <c r="R67" s="353">
        <v>232072197</v>
      </c>
      <c r="S67" s="355">
        <v>232072197</v>
      </c>
      <c r="T67" s="355">
        <v>11656148</v>
      </c>
      <c r="U67" s="355">
        <v>243728345</v>
      </c>
      <c r="V67" s="355">
        <v>15407558</v>
      </c>
      <c r="W67" s="356">
        <v>259135903</v>
      </c>
      <c r="X67" s="357" t="s">
        <v>1168</v>
      </c>
    </row>
    <row r="68" spans="1:24" s="121" customFormat="1" ht="14.1" customHeight="1">
      <c r="A68" s="87"/>
      <c r="B68" s="343">
        <v>59</v>
      </c>
      <c r="C68" s="344"/>
      <c r="D68" s="345" t="s">
        <v>440</v>
      </c>
      <c r="E68" s="346" t="s">
        <v>646</v>
      </c>
      <c r="F68" s="347" t="s">
        <v>331</v>
      </c>
      <c r="G68" s="348" t="s">
        <v>786</v>
      </c>
      <c r="H68" s="349">
        <v>1</v>
      </c>
      <c r="I68" s="350">
        <v>4.1919999999999999E-2</v>
      </c>
      <c r="J68" s="350">
        <v>0.12191779999999999</v>
      </c>
      <c r="K68" s="351">
        <v>20120809</v>
      </c>
      <c r="L68" s="351">
        <v>20160209</v>
      </c>
      <c r="M68" s="351">
        <v>20160112</v>
      </c>
      <c r="N68" s="351">
        <v>20160126</v>
      </c>
      <c r="O68" s="352" t="s">
        <v>80</v>
      </c>
      <c r="P68" s="353">
        <v>490000000</v>
      </c>
      <c r="Q68" s="354" t="s">
        <v>80</v>
      </c>
      <c r="R68" s="353">
        <v>490000000</v>
      </c>
      <c r="S68" s="355">
        <v>490000000</v>
      </c>
      <c r="T68" s="355">
        <v>10090020</v>
      </c>
      <c r="U68" s="355">
        <v>500090020</v>
      </c>
      <c r="V68" s="355">
        <v>16223719</v>
      </c>
      <c r="W68" s="356">
        <v>516313739</v>
      </c>
      <c r="X68" s="357" t="s">
        <v>1168</v>
      </c>
    </row>
    <row r="69" spans="1:24" s="121" customFormat="1" ht="14.1" customHeight="1">
      <c r="A69" s="87"/>
      <c r="B69" s="343">
        <v>60</v>
      </c>
      <c r="C69" s="344"/>
      <c r="D69" s="345" t="s">
        <v>440</v>
      </c>
      <c r="E69" s="346" t="s">
        <v>646</v>
      </c>
      <c r="F69" s="347" t="s">
        <v>328</v>
      </c>
      <c r="G69" s="348" t="s">
        <v>787</v>
      </c>
      <c r="H69" s="349">
        <v>1</v>
      </c>
      <c r="I69" s="350">
        <v>4.4960000000000007E-2</v>
      </c>
      <c r="J69" s="350">
        <v>0.1249609</v>
      </c>
      <c r="K69" s="351">
        <v>20130430</v>
      </c>
      <c r="L69" s="351">
        <v>20161030</v>
      </c>
      <c r="M69" s="351">
        <v>20160105</v>
      </c>
      <c r="N69" s="351">
        <v>20160119</v>
      </c>
      <c r="O69" s="352" t="s">
        <v>80</v>
      </c>
      <c r="P69" s="353">
        <v>80000000</v>
      </c>
      <c r="Q69" s="354" t="s">
        <v>80</v>
      </c>
      <c r="R69" s="353">
        <v>80000000</v>
      </c>
      <c r="S69" s="355">
        <v>80000000</v>
      </c>
      <c r="T69" s="355">
        <v>0</v>
      </c>
      <c r="U69" s="355">
        <v>80000000</v>
      </c>
      <c r="V69" s="355">
        <v>2943953</v>
      </c>
      <c r="W69" s="356">
        <v>82943953</v>
      </c>
      <c r="X69" s="357"/>
    </row>
    <row r="70" spans="1:24" s="121" customFormat="1" ht="14.1" customHeight="1">
      <c r="A70" s="87"/>
      <c r="B70" s="343">
        <v>61</v>
      </c>
      <c r="C70" s="344"/>
      <c r="D70" s="345" t="s">
        <v>440</v>
      </c>
      <c r="E70" s="346" t="s">
        <v>646</v>
      </c>
      <c r="F70" s="347" t="s">
        <v>713</v>
      </c>
      <c r="G70" s="348" t="s">
        <v>788</v>
      </c>
      <c r="H70" s="349">
        <v>1</v>
      </c>
      <c r="I70" s="350">
        <v>4.2300000000000004E-2</v>
      </c>
      <c r="J70" s="350">
        <v>0.12230000000000001</v>
      </c>
      <c r="K70" s="351">
        <v>20130530</v>
      </c>
      <c r="L70" s="351">
        <v>20230509</v>
      </c>
      <c r="M70" s="351">
        <v>20160105</v>
      </c>
      <c r="N70" s="351">
        <v>20160119</v>
      </c>
      <c r="O70" s="352" t="s">
        <v>80</v>
      </c>
      <c r="P70" s="353">
        <v>1000000000</v>
      </c>
      <c r="Q70" s="354" t="s">
        <v>80</v>
      </c>
      <c r="R70" s="353">
        <v>1000000000</v>
      </c>
      <c r="S70" s="355">
        <v>1000000000</v>
      </c>
      <c r="T70" s="355">
        <v>0</v>
      </c>
      <c r="U70" s="355">
        <v>1000000000</v>
      </c>
      <c r="V70" s="355">
        <v>35549643</v>
      </c>
      <c r="W70" s="356">
        <v>1035549643</v>
      </c>
      <c r="X70" s="357"/>
    </row>
    <row r="71" spans="1:24" s="121" customFormat="1" ht="14.1" customHeight="1">
      <c r="A71" s="87"/>
      <c r="B71" s="343">
        <v>62</v>
      </c>
      <c r="C71" s="344"/>
      <c r="D71" s="345" t="s">
        <v>441</v>
      </c>
      <c r="E71" s="346" t="s">
        <v>239</v>
      </c>
      <c r="F71" s="347" t="s">
        <v>329</v>
      </c>
      <c r="G71" s="348" t="s">
        <v>789</v>
      </c>
      <c r="H71" s="349">
        <v>0</v>
      </c>
      <c r="I71" s="350">
        <v>6.6000000000000003E-2</v>
      </c>
      <c r="J71" s="350">
        <v>0.14529</v>
      </c>
      <c r="K71" s="351">
        <v>20130821</v>
      </c>
      <c r="L71" s="351">
        <v>20160221</v>
      </c>
      <c r="M71" s="351">
        <v>20160112</v>
      </c>
      <c r="N71" s="351">
        <v>20160126</v>
      </c>
      <c r="O71" s="352" t="s">
        <v>80</v>
      </c>
      <c r="P71" s="353">
        <v>140000000</v>
      </c>
      <c r="Q71" s="354" t="s">
        <v>80</v>
      </c>
      <c r="R71" s="353">
        <v>140000000</v>
      </c>
      <c r="S71" s="355">
        <v>140000000</v>
      </c>
      <c r="T71" s="355">
        <v>0</v>
      </c>
      <c r="U71" s="355">
        <v>140000000</v>
      </c>
      <c r="V71" s="355">
        <v>6887426</v>
      </c>
      <c r="W71" s="356">
        <v>146887426</v>
      </c>
      <c r="X71" s="357"/>
    </row>
    <row r="72" spans="1:24" s="121" customFormat="1" ht="14.1" customHeight="1">
      <c r="A72" s="87"/>
      <c r="B72" s="343">
        <v>63</v>
      </c>
      <c r="C72" s="344"/>
      <c r="D72" s="345" t="s">
        <v>441</v>
      </c>
      <c r="E72" s="346" t="s">
        <v>239</v>
      </c>
      <c r="F72" s="347" t="s">
        <v>709</v>
      </c>
      <c r="G72" s="348" t="s">
        <v>345</v>
      </c>
      <c r="H72" s="349"/>
      <c r="I72" s="350">
        <v>4.2900000000000001E-2</v>
      </c>
      <c r="J72" s="350"/>
      <c r="K72" s="351">
        <v>20130627</v>
      </c>
      <c r="L72" s="351">
        <v>20160617</v>
      </c>
      <c r="M72" s="351">
        <v>20160128</v>
      </c>
      <c r="N72" s="351">
        <v>20160203</v>
      </c>
      <c r="O72" s="352" t="s">
        <v>80</v>
      </c>
      <c r="P72" s="353">
        <v>300000000</v>
      </c>
      <c r="Q72" s="354" t="s">
        <v>80</v>
      </c>
      <c r="R72" s="353">
        <v>270000000</v>
      </c>
      <c r="S72" s="355">
        <v>270000000</v>
      </c>
      <c r="T72" s="355">
        <v>0</v>
      </c>
      <c r="U72" s="355">
        <v>270000000</v>
      </c>
      <c r="V72" s="355">
        <v>8062767</v>
      </c>
      <c r="W72" s="356">
        <v>278062767</v>
      </c>
      <c r="X72" s="357"/>
    </row>
    <row r="73" spans="1:24" s="121" customFormat="1" ht="14.1" customHeight="1">
      <c r="A73" s="87"/>
      <c r="B73" s="343">
        <v>64</v>
      </c>
      <c r="C73" s="344"/>
      <c r="D73" s="345" t="s">
        <v>441</v>
      </c>
      <c r="E73" s="346" t="s">
        <v>239</v>
      </c>
      <c r="F73" s="347" t="s">
        <v>331</v>
      </c>
      <c r="G73" s="348" t="s">
        <v>790</v>
      </c>
      <c r="H73" s="349">
        <v>1</v>
      </c>
      <c r="I73" s="350">
        <v>3.8699999999999998E-2</v>
      </c>
      <c r="J73" s="350">
        <v>0.11870359999999999</v>
      </c>
      <c r="K73" s="351">
        <v>20130710</v>
      </c>
      <c r="L73" s="351">
        <v>20160110</v>
      </c>
      <c r="M73" s="351">
        <v>20160112</v>
      </c>
      <c r="N73" s="351">
        <v>20160112</v>
      </c>
      <c r="O73" s="352" t="s">
        <v>80</v>
      </c>
      <c r="P73" s="353">
        <v>300000000</v>
      </c>
      <c r="Q73" s="354" t="s">
        <v>80</v>
      </c>
      <c r="R73" s="353">
        <v>300000000</v>
      </c>
      <c r="S73" s="355">
        <v>300000000</v>
      </c>
      <c r="T73" s="355">
        <v>0</v>
      </c>
      <c r="U73" s="355">
        <v>300000000</v>
      </c>
      <c r="V73" s="355">
        <v>10432794</v>
      </c>
      <c r="W73" s="356">
        <v>310432794</v>
      </c>
      <c r="X73" s="357"/>
    </row>
    <row r="74" spans="1:24" s="121" customFormat="1" ht="14.1" customHeight="1">
      <c r="A74" s="87"/>
      <c r="B74" s="343">
        <v>65</v>
      </c>
      <c r="C74" s="344"/>
      <c r="D74" s="345" t="s">
        <v>441</v>
      </c>
      <c r="E74" s="346" t="s">
        <v>239</v>
      </c>
      <c r="F74" s="347" t="s">
        <v>714</v>
      </c>
      <c r="G74" s="348" t="s">
        <v>791</v>
      </c>
      <c r="H74" s="349">
        <v>1</v>
      </c>
      <c r="I74" s="350">
        <v>4.99E-2</v>
      </c>
      <c r="J74" s="350">
        <v>0.12990000000000002</v>
      </c>
      <c r="K74" s="351">
        <v>20130710</v>
      </c>
      <c r="L74" s="351">
        <v>20210710</v>
      </c>
      <c r="M74" s="351">
        <v>20160112</v>
      </c>
      <c r="N74" s="351">
        <v>20160126</v>
      </c>
      <c r="O74" s="352" t="s">
        <v>80</v>
      </c>
      <c r="P74" s="353">
        <v>550000000</v>
      </c>
      <c r="Q74" s="354" t="s">
        <v>80</v>
      </c>
      <c r="R74" s="353">
        <v>542361048</v>
      </c>
      <c r="S74" s="355">
        <v>542361048</v>
      </c>
      <c r="T74" s="355">
        <v>9194910</v>
      </c>
      <c r="U74" s="355">
        <v>551555958</v>
      </c>
      <c r="V74" s="355">
        <v>19553925</v>
      </c>
      <c r="W74" s="356">
        <v>571109883</v>
      </c>
      <c r="X74" s="357" t="s">
        <v>1173</v>
      </c>
    </row>
    <row r="75" spans="1:24" s="121" customFormat="1" ht="14.1" customHeight="1">
      <c r="A75" s="87"/>
      <c r="B75" s="343">
        <v>66</v>
      </c>
      <c r="C75" s="344"/>
      <c r="D75" s="345" t="s">
        <v>441</v>
      </c>
      <c r="E75" s="346" t="s">
        <v>239</v>
      </c>
      <c r="F75" s="347" t="s">
        <v>328</v>
      </c>
      <c r="G75" s="348" t="s">
        <v>792</v>
      </c>
      <c r="H75" s="349">
        <v>1</v>
      </c>
      <c r="I75" s="350">
        <v>9.4700000000000006E-2</v>
      </c>
      <c r="J75" s="350">
        <v>0.15</v>
      </c>
      <c r="K75" s="351">
        <v>20140609</v>
      </c>
      <c r="L75" s="351">
        <v>20160309</v>
      </c>
      <c r="M75" s="351">
        <v>20160112</v>
      </c>
      <c r="N75" s="351">
        <v>20160126</v>
      </c>
      <c r="O75" s="352" t="s">
        <v>80</v>
      </c>
      <c r="P75" s="353">
        <v>100000000</v>
      </c>
      <c r="Q75" s="354" t="s">
        <v>80</v>
      </c>
      <c r="R75" s="353">
        <v>60000000</v>
      </c>
      <c r="S75" s="355">
        <v>60000000</v>
      </c>
      <c r="T75" s="355">
        <v>0</v>
      </c>
      <c r="U75" s="355">
        <v>60000000</v>
      </c>
      <c r="V75" s="355">
        <v>3004672</v>
      </c>
      <c r="W75" s="356">
        <v>63004672</v>
      </c>
      <c r="X75" s="357"/>
    </row>
    <row r="76" spans="1:24" s="121" customFormat="1" ht="14.1" customHeight="1">
      <c r="A76" s="87"/>
      <c r="B76" s="343">
        <v>67</v>
      </c>
      <c r="C76" s="344"/>
      <c r="D76" s="345" t="s">
        <v>441</v>
      </c>
      <c r="E76" s="346" t="s">
        <v>239</v>
      </c>
      <c r="F76" s="347" t="s">
        <v>715</v>
      </c>
      <c r="G76" s="348" t="s">
        <v>793</v>
      </c>
      <c r="H76" s="349">
        <v>1</v>
      </c>
      <c r="I76" s="350">
        <v>2.4E-2</v>
      </c>
      <c r="J76" s="350">
        <v>0.111292</v>
      </c>
      <c r="K76" s="351">
        <v>20130315</v>
      </c>
      <c r="L76" s="351">
        <v>20160304</v>
      </c>
      <c r="M76" s="351">
        <v>20160116</v>
      </c>
      <c r="N76" s="351">
        <v>20160130</v>
      </c>
      <c r="O76" s="352" t="s">
        <v>80</v>
      </c>
      <c r="P76" s="353">
        <v>200000000</v>
      </c>
      <c r="Q76" s="354" t="s">
        <v>80</v>
      </c>
      <c r="R76" s="353">
        <v>200000000</v>
      </c>
      <c r="S76" s="355">
        <v>200000000</v>
      </c>
      <c r="T76" s="355">
        <v>0</v>
      </c>
      <c r="U76" s="355">
        <v>200000000</v>
      </c>
      <c r="V76" s="355">
        <v>6284867</v>
      </c>
      <c r="W76" s="356">
        <v>206284867</v>
      </c>
      <c r="X76" s="357"/>
    </row>
    <row r="77" spans="1:24" s="121" customFormat="1" ht="14.1" customHeight="1">
      <c r="A77" s="87"/>
      <c r="B77" s="343">
        <v>68</v>
      </c>
      <c r="C77" s="344"/>
      <c r="D77" s="345" t="s">
        <v>442</v>
      </c>
      <c r="E77" s="346" t="s">
        <v>647</v>
      </c>
      <c r="F77" s="347" t="s">
        <v>328</v>
      </c>
      <c r="G77" s="348" t="s">
        <v>794</v>
      </c>
      <c r="H77" s="349">
        <v>1</v>
      </c>
      <c r="I77" s="350">
        <v>3.7999999999999999E-2</v>
      </c>
      <c r="J77" s="350">
        <v>0.11800000000000001</v>
      </c>
      <c r="K77" s="351">
        <v>20150225</v>
      </c>
      <c r="L77" s="351">
        <v>20170225</v>
      </c>
      <c r="M77" s="351">
        <v>20151229</v>
      </c>
      <c r="N77" s="351">
        <v>20160112</v>
      </c>
      <c r="O77" s="352" t="s">
        <v>80</v>
      </c>
      <c r="P77" s="353">
        <v>1500000000</v>
      </c>
      <c r="Q77" s="354" t="s">
        <v>80</v>
      </c>
      <c r="R77" s="353">
        <v>1500000000</v>
      </c>
      <c r="S77" s="355">
        <v>1500000000</v>
      </c>
      <c r="T77" s="355">
        <v>12084430</v>
      </c>
      <c r="U77" s="355">
        <v>1512084430</v>
      </c>
      <c r="V77" s="355">
        <v>54172700</v>
      </c>
      <c r="W77" s="356">
        <v>1566257130</v>
      </c>
      <c r="X77" s="357" t="s">
        <v>1171</v>
      </c>
    </row>
    <row r="78" spans="1:24" s="121" customFormat="1" ht="14.1" customHeight="1">
      <c r="A78" s="87"/>
      <c r="B78" s="343">
        <v>69</v>
      </c>
      <c r="C78" s="344"/>
      <c r="D78" s="345" t="s">
        <v>443</v>
      </c>
      <c r="E78" s="346" t="s">
        <v>648</v>
      </c>
      <c r="F78" s="347" t="s">
        <v>716</v>
      </c>
      <c r="G78" s="348" t="s">
        <v>761</v>
      </c>
      <c r="H78" s="349">
        <v>1</v>
      </c>
      <c r="I78" s="350">
        <v>9.98E-2</v>
      </c>
      <c r="J78" s="350">
        <v>0.15</v>
      </c>
      <c r="K78" s="351">
        <v>20140715</v>
      </c>
      <c r="L78" s="351">
        <v>20160131</v>
      </c>
      <c r="M78" s="351">
        <v>20160202</v>
      </c>
      <c r="N78" s="351">
        <v>20160202</v>
      </c>
      <c r="O78" s="352" t="s">
        <v>80</v>
      </c>
      <c r="P78" s="353">
        <v>1050000000</v>
      </c>
      <c r="Q78" s="354" t="s">
        <v>80</v>
      </c>
      <c r="R78" s="353">
        <v>1050000000</v>
      </c>
      <c r="S78" s="355">
        <v>1050000000</v>
      </c>
      <c r="T78" s="355">
        <v>3975070</v>
      </c>
      <c r="U78" s="355">
        <v>1053975070</v>
      </c>
      <c r="V78" s="355">
        <v>46457258</v>
      </c>
      <c r="W78" s="356">
        <v>1100432328</v>
      </c>
      <c r="X78" s="357" t="s">
        <v>3166</v>
      </c>
    </row>
    <row r="79" spans="1:24" s="121" customFormat="1" ht="14.1" customHeight="1">
      <c r="A79" s="87"/>
      <c r="B79" s="343">
        <v>70</v>
      </c>
      <c r="C79" s="344"/>
      <c r="D79" s="345" t="s">
        <v>443</v>
      </c>
      <c r="E79" s="346" t="s">
        <v>648</v>
      </c>
      <c r="F79" s="347" t="s">
        <v>717</v>
      </c>
      <c r="G79" s="348" t="s">
        <v>795</v>
      </c>
      <c r="H79" s="349">
        <v>1</v>
      </c>
      <c r="I79" s="350">
        <v>0.12</v>
      </c>
      <c r="J79" s="350">
        <v>0.15</v>
      </c>
      <c r="K79" s="351">
        <v>20140930</v>
      </c>
      <c r="L79" s="351">
        <v>20160131</v>
      </c>
      <c r="M79" s="351">
        <v>20160202</v>
      </c>
      <c r="N79" s="351">
        <v>20160202</v>
      </c>
      <c r="O79" s="352" t="s">
        <v>80</v>
      </c>
      <c r="P79" s="353">
        <v>450000000</v>
      </c>
      <c r="Q79" s="354" t="s">
        <v>80</v>
      </c>
      <c r="R79" s="353">
        <v>450000000</v>
      </c>
      <c r="S79" s="355">
        <v>450000000</v>
      </c>
      <c r="T79" s="355">
        <v>0</v>
      </c>
      <c r="U79" s="355">
        <v>450000000</v>
      </c>
      <c r="V79" s="355">
        <v>20729910</v>
      </c>
      <c r="W79" s="356">
        <v>470729910</v>
      </c>
      <c r="X79" s="357"/>
    </row>
    <row r="80" spans="1:24" s="121" customFormat="1" ht="14.1" customHeight="1">
      <c r="A80" s="87"/>
      <c r="B80" s="343">
        <v>71</v>
      </c>
      <c r="C80" s="344"/>
      <c r="D80" s="345" t="s">
        <v>444</v>
      </c>
      <c r="E80" s="346" t="s">
        <v>649</v>
      </c>
      <c r="F80" s="347" t="s">
        <v>694</v>
      </c>
      <c r="G80" s="348" t="s">
        <v>360</v>
      </c>
      <c r="H80" s="349">
        <v>1</v>
      </c>
      <c r="I80" s="350">
        <v>0.1198</v>
      </c>
      <c r="J80" s="350">
        <v>0.15</v>
      </c>
      <c r="K80" s="351">
        <v>20141231</v>
      </c>
      <c r="L80" s="351">
        <v>20160229</v>
      </c>
      <c r="M80" s="351">
        <v>20160301</v>
      </c>
      <c r="N80" s="351">
        <v>20160301</v>
      </c>
      <c r="O80" s="352" t="s">
        <v>80</v>
      </c>
      <c r="P80" s="353">
        <v>1200000000</v>
      </c>
      <c r="Q80" s="354" t="s">
        <v>80</v>
      </c>
      <c r="R80" s="353">
        <v>1200000000</v>
      </c>
      <c r="S80" s="355">
        <v>1200000000</v>
      </c>
      <c r="T80" s="355">
        <v>292400</v>
      </c>
      <c r="U80" s="355">
        <v>1200292400</v>
      </c>
      <c r="V80" s="355">
        <v>28917375</v>
      </c>
      <c r="W80" s="356">
        <v>1229209775</v>
      </c>
      <c r="X80" s="357" t="s">
        <v>3169</v>
      </c>
    </row>
    <row r="81" spans="1:24" s="121" customFormat="1" ht="14.1" customHeight="1">
      <c r="A81" s="87"/>
      <c r="B81" s="343">
        <v>72</v>
      </c>
      <c r="C81" s="344"/>
      <c r="D81" s="345" t="s">
        <v>444</v>
      </c>
      <c r="E81" s="346" t="s">
        <v>649</v>
      </c>
      <c r="F81" s="347" t="s">
        <v>717</v>
      </c>
      <c r="G81" s="348" t="s">
        <v>796</v>
      </c>
      <c r="H81" s="349">
        <v>1</v>
      </c>
      <c r="I81" s="350">
        <v>0.1198</v>
      </c>
      <c r="J81" s="350">
        <v>0.15</v>
      </c>
      <c r="K81" s="351">
        <v>20141231</v>
      </c>
      <c r="L81" s="351">
        <v>20160229</v>
      </c>
      <c r="M81" s="351">
        <v>20160301</v>
      </c>
      <c r="N81" s="351">
        <v>20160301</v>
      </c>
      <c r="O81" s="352" t="s">
        <v>80</v>
      </c>
      <c r="P81" s="353">
        <v>225000000</v>
      </c>
      <c r="Q81" s="354" t="s">
        <v>80</v>
      </c>
      <c r="R81" s="353">
        <v>225000000</v>
      </c>
      <c r="S81" s="355">
        <v>225000000</v>
      </c>
      <c r="T81" s="355">
        <v>0</v>
      </c>
      <c r="U81" s="355">
        <v>225000000</v>
      </c>
      <c r="V81" s="355">
        <v>5422006</v>
      </c>
      <c r="W81" s="356">
        <v>230422006</v>
      </c>
      <c r="X81" s="357"/>
    </row>
    <row r="82" spans="1:24" s="121" customFormat="1" ht="14.1" customHeight="1">
      <c r="A82" s="87"/>
      <c r="B82" s="343">
        <v>73</v>
      </c>
      <c r="C82" s="344"/>
      <c r="D82" s="345" t="s">
        <v>445</v>
      </c>
      <c r="E82" s="346" t="s">
        <v>152</v>
      </c>
      <c r="F82" s="347" t="s">
        <v>331</v>
      </c>
      <c r="G82" s="348" t="s">
        <v>687</v>
      </c>
      <c r="H82" s="349">
        <v>1</v>
      </c>
      <c r="I82" s="350">
        <v>0.1201</v>
      </c>
      <c r="J82" s="350">
        <v>0.15</v>
      </c>
      <c r="K82" s="351">
        <v>20141002</v>
      </c>
      <c r="L82" s="351">
        <v>20160102</v>
      </c>
      <c r="M82" s="351">
        <v>20160105</v>
      </c>
      <c r="N82" s="351">
        <v>20160105</v>
      </c>
      <c r="O82" s="352" t="s">
        <v>80</v>
      </c>
      <c r="P82" s="353">
        <v>1400000000</v>
      </c>
      <c r="Q82" s="354" t="s">
        <v>80</v>
      </c>
      <c r="R82" s="353">
        <v>1392188685</v>
      </c>
      <c r="S82" s="355">
        <v>1392188685</v>
      </c>
      <c r="T82" s="355">
        <v>9742990</v>
      </c>
      <c r="U82" s="355">
        <v>1401931675</v>
      </c>
      <c r="V82" s="355">
        <v>79285475</v>
      </c>
      <c r="W82" s="356">
        <v>1481217150</v>
      </c>
      <c r="X82" s="357" t="s">
        <v>1170</v>
      </c>
    </row>
    <row r="83" spans="1:24" s="121" customFormat="1" ht="14.1" customHeight="1">
      <c r="A83" s="87"/>
      <c r="B83" s="343">
        <v>74</v>
      </c>
      <c r="C83" s="344"/>
      <c r="D83" s="345" t="s">
        <v>446</v>
      </c>
      <c r="E83" s="346" t="s">
        <v>152</v>
      </c>
      <c r="F83" s="347" t="s">
        <v>713</v>
      </c>
      <c r="G83" s="348" t="s">
        <v>797</v>
      </c>
      <c r="H83" s="349">
        <v>1</v>
      </c>
      <c r="I83" s="350">
        <v>5.1100000000000007E-2</v>
      </c>
      <c r="J83" s="350">
        <v>0.1211</v>
      </c>
      <c r="K83" s="351">
        <v>20130425</v>
      </c>
      <c r="L83" s="351">
        <v>20160425</v>
      </c>
      <c r="M83" s="351">
        <v>20160126</v>
      </c>
      <c r="N83" s="351">
        <v>20160126</v>
      </c>
      <c r="O83" s="352" t="s">
        <v>80</v>
      </c>
      <c r="P83" s="353">
        <v>1330000000</v>
      </c>
      <c r="Q83" s="354" t="s">
        <v>80</v>
      </c>
      <c r="R83" s="353">
        <v>1209623945</v>
      </c>
      <c r="S83" s="355">
        <v>1209623945</v>
      </c>
      <c r="T83" s="355">
        <v>0</v>
      </c>
      <c r="U83" s="355">
        <v>1209623945</v>
      </c>
      <c r="V83" s="355">
        <v>37917211</v>
      </c>
      <c r="W83" s="356">
        <v>1247541156</v>
      </c>
      <c r="X83" s="357"/>
    </row>
    <row r="84" spans="1:24" s="121" customFormat="1" ht="14.1" customHeight="1">
      <c r="A84" s="87"/>
      <c r="B84" s="343">
        <v>75</v>
      </c>
      <c r="C84" s="344"/>
      <c r="D84" s="345" t="s">
        <v>446</v>
      </c>
      <c r="E84" s="346" t="s">
        <v>152</v>
      </c>
      <c r="F84" s="347" t="s">
        <v>354</v>
      </c>
      <c r="G84" s="348" t="s">
        <v>798</v>
      </c>
      <c r="H84" s="349">
        <v>1</v>
      </c>
      <c r="I84" s="350">
        <v>4.2699999999999995E-2</v>
      </c>
      <c r="J84" s="350">
        <v>0.11269999999999999</v>
      </c>
      <c r="K84" s="351">
        <v>20131101</v>
      </c>
      <c r="L84" s="351">
        <v>20160201</v>
      </c>
      <c r="M84" s="351">
        <v>20160202</v>
      </c>
      <c r="N84" s="351">
        <v>20160202</v>
      </c>
      <c r="O84" s="352" t="s">
        <v>80</v>
      </c>
      <c r="P84" s="353">
        <v>250000000</v>
      </c>
      <c r="Q84" s="354" t="s">
        <v>80</v>
      </c>
      <c r="R84" s="353">
        <v>8756116</v>
      </c>
      <c r="S84" s="355">
        <v>8756116</v>
      </c>
      <c r="T84" s="355">
        <v>0</v>
      </c>
      <c r="U84" s="355">
        <v>8756116</v>
      </c>
      <c r="V84" s="355">
        <v>312659</v>
      </c>
      <c r="W84" s="356">
        <v>9068775</v>
      </c>
      <c r="X84" s="357"/>
    </row>
    <row r="85" spans="1:24" s="121" customFormat="1" ht="14.1" customHeight="1">
      <c r="A85" s="87"/>
      <c r="B85" s="343">
        <v>76</v>
      </c>
      <c r="C85" s="344"/>
      <c r="D85" s="345" t="s">
        <v>446</v>
      </c>
      <c r="E85" s="346" t="s">
        <v>152</v>
      </c>
      <c r="F85" s="347" t="s">
        <v>354</v>
      </c>
      <c r="G85" s="348" t="s">
        <v>799</v>
      </c>
      <c r="H85" s="349">
        <v>1</v>
      </c>
      <c r="I85" s="350">
        <v>3.8199999999999998E-2</v>
      </c>
      <c r="J85" s="350">
        <v>0.1182</v>
      </c>
      <c r="K85" s="351">
        <v>20140512</v>
      </c>
      <c r="L85" s="351">
        <v>20170510</v>
      </c>
      <c r="M85" s="351">
        <v>20160112</v>
      </c>
      <c r="N85" s="351">
        <v>20160112</v>
      </c>
      <c r="O85" s="352" t="s">
        <v>80</v>
      </c>
      <c r="P85" s="353">
        <v>270000000</v>
      </c>
      <c r="Q85" s="354" t="s">
        <v>80</v>
      </c>
      <c r="R85" s="353">
        <v>127500000</v>
      </c>
      <c r="S85" s="355">
        <v>127500000</v>
      </c>
      <c r="T85" s="355">
        <v>0</v>
      </c>
      <c r="U85" s="355">
        <v>127500000</v>
      </c>
      <c r="V85" s="355">
        <v>4042773</v>
      </c>
      <c r="W85" s="356">
        <v>131542773</v>
      </c>
      <c r="X85" s="357"/>
    </row>
    <row r="86" spans="1:24" s="121" customFormat="1" ht="14.1" customHeight="1">
      <c r="A86" s="87"/>
      <c r="B86" s="343">
        <v>77</v>
      </c>
      <c r="C86" s="344"/>
      <c r="D86" s="345" t="s">
        <v>447</v>
      </c>
      <c r="E86" s="346" t="s">
        <v>650</v>
      </c>
      <c r="F86" s="347" t="s">
        <v>718</v>
      </c>
      <c r="G86" s="348" t="s">
        <v>800</v>
      </c>
      <c r="H86" s="349">
        <v>1</v>
      </c>
      <c r="I86" s="350">
        <v>8.72E-2</v>
      </c>
      <c r="J86" s="350">
        <v>0.15</v>
      </c>
      <c r="K86" s="351">
        <v>20130507</v>
      </c>
      <c r="L86" s="351">
        <v>20160817</v>
      </c>
      <c r="M86" s="351">
        <v>20160119</v>
      </c>
      <c r="N86" s="351">
        <v>20160202</v>
      </c>
      <c r="O86" s="352" t="s">
        <v>80</v>
      </c>
      <c r="P86" s="353">
        <v>700000000</v>
      </c>
      <c r="Q86" s="354" t="s">
        <v>80</v>
      </c>
      <c r="R86" s="353">
        <v>700000000</v>
      </c>
      <c r="S86" s="355">
        <v>700000000</v>
      </c>
      <c r="T86" s="355">
        <v>4706390</v>
      </c>
      <c r="U86" s="355">
        <v>704706390</v>
      </c>
      <c r="V86" s="355">
        <v>32277346</v>
      </c>
      <c r="W86" s="356">
        <v>736983736</v>
      </c>
      <c r="X86" s="357" t="s">
        <v>3167</v>
      </c>
    </row>
    <row r="87" spans="1:24" s="121" customFormat="1" ht="14.1" customHeight="1">
      <c r="A87" s="87"/>
      <c r="B87" s="343">
        <v>78</v>
      </c>
      <c r="C87" s="344"/>
      <c r="D87" s="345" t="s">
        <v>447</v>
      </c>
      <c r="E87" s="346" t="s">
        <v>650</v>
      </c>
      <c r="F87" s="347" t="s">
        <v>719</v>
      </c>
      <c r="G87" s="348" t="s">
        <v>801</v>
      </c>
      <c r="H87" s="349">
        <v>1</v>
      </c>
      <c r="I87" s="350">
        <v>4.6989999999999997E-2</v>
      </c>
      <c r="J87" s="350">
        <v>0.11699</v>
      </c>
      <c r="K87" s="351">
        <v>20150430</v>
      </c>
      <c r="L87" s="351">
        <v>20160422</v>
      </c>
      <c r="M87" s="351">
        <v>20160202</v>
      </c>
      <c r="N87" s="351">
        <v>20160216</v>
      </c>
      <c r="O87" s="352" t="s">
        <v>80</v>
      </c>
      <c r="P87" s="353">
        <v>300000000</v>
      </c>
      <c r="Q87" s="354" t="s">
        <v>80</v>
      </c>
      <c r="R87" s="353">
        <v>300000000</v>
      </c>
      <c r="S87" s="355">
        <v>300000000</v>
      </c>
      <c r="T87" s="355">
        <v>0</v>
      </c>
      <c r="U87" s="355">
        <v>300000000</v>
      </c>
      <c r="V87" s="355">
        <v>8414653</v>
      </c>
      <c r="W87" s="356">
        <v>308414653</v>
      </c>
      <c r="X87" s="357"/>
    </row>
    <row r="88" spans="1:24" s="121" customFormat="1" ht="14.1" customHeight="1">
      <c r="A88" s="87"/>
      <c r="B88" s="343">
        <v>79</v>
      </c>
      <c r="C88" s="344"/>
      <c r="D88" s="345" t="s">
        <v>447</v>
      </c>
      <c r="E88" s="346" t="s">
        <v>650</v>
      </c>
      <c r="F88" s="347" t="s">
        <v>719</v>
      </c>
      <c r="G88" s="348" t="s">
        <v>802</v>
      </c>
      <c r="H88" s="349">
        <v>1</v>
      </c>
      <c r="I88" s="350">
        <v>0.11800000000000001</v>
      </c>
      <c r="J88" s="350">
        <v>0.15</v>
      </c>
      <c r="K88" s="351">
        <v>20150507</v>
      </c>
      <c r="L88" s="351">
        <v>20160507</v>
      </c>
      <c r="M88" s="351">
        <v>20160119</v>
      </c>
      <c r="N88" s="351">
        <v>20160202</v>
      </c>
      <c r="O88" s="352" t="s">
        <v>80</v>
      </c>
      <c r="P88" s="353">
        <v>150000000</v>
      </c>
      <c r="Q88" s="354" t="s">
        <v>80</v>
      </c>
      <c r="R88" s="353">
        <v>145000000</v>
      </c>
      <c r="S88" s="355">
        <v>145000000</v>
      </c>
      <c r="T88" s="355">
        <v>0</v>
      </c>
      <c r="U88" s="355">
        <v>145000000</v>
      </c>
      <c r="V88" s="355">
        <v>7303120</v>
      </c>
      <c r="W88" s="356">
        <v>152303120</v>
      </c>
      <c r="X88" s="357"/>
    </row>
    <row r="89" spans="1:24" s="121" customFormat="1" ht="14.1" customHeight="1">
      <c r="A89" s="87"/>
      <c r="B89" s="343">
        <v>80</v>
      </c>
      <c r="C89" s="344"/>
      <c r="D89" s="345" t="s">
        <v>447</v>
      </c>
      <c r="E89" s="346" t="s">
        <v>650</v>
      </c>
      <c r="F89" s="347" t="s">
        <v>720</v>
      </c>
      <c r="G89" s="348" t="s">
        <v>803</v>
      </c>
      <c r="H89" s="349">
        <v>1</v>
      </c>
      <c r="I89" s="350">
        <v>0.11800000000000001</v>
      </c>
      <c r="J89" s="350">
        <v>0.15</v>
      </c>
      <c r="K89" s="351">
        <v>20150507</v>
      </c>
      <c r="L89" s="351">
        <v>20160507</v>
      </c>
      <c r="M89" s="351">
        <v>20160119</v>
      </c>
      <c r="N89" s="351">
        <v>20160119</v>
      </c>
      <c r="O89" s="352" t="s">
        <v>80</v>
      </c>
      <c r="P89" s="353">
        <v>150000000</v>
      </c>
      <c r="Q89" s="354" t="s">
        <v>80</v>
      </c>
      <c r="R89" s="353">
        <v>54000000</v>
      </c>
      <c r="S89" s="355">
        <v>54000000</v>
      </c>
      <c r="T89" s="355">
        <v>0</v>
      </c>
      <c r="U89" s="355">
        <v>54000000</v>
      </c>
      <c r="V89" s="355">
        <v>2722583</v>
      </c>
      <c r="W89" s="356">
        <v>56722583</v>
      </c>
      <c r="X89" s="357"/>
    </row>
    <row r="90" spans="1:24" s="121" customFormat="1" ht="14.1" customHeight="1">
      <c r="A90" s="87"/>
      <c r="B90" s="343">
        <v>81</v>
      </c>
      <c r="C90" s="344"/>
      <c r="D90" s="345" t="s">
        <v>447</v>
      </c>
      <c r="E90" s="346" t="s">
        <v>650</v>
      </c>
      <c r="F90" s="347" t="s">
        <v>328</v>
      </c>
      <c r="G90" s="348" t="s">
        <v>804</v>
      </c>
      <c r="H90" s="349">
        <v>1</v>
      </c>
      <c r="I90" s="350">
        <v>0.12</v>
      </c>
      <c r="J90" s="350">
        <v>0.15</v>
      </c>
      <c r="K90" s="351">
        <v>20150911</v>
      </c>
      <c r="L90" s="351">
        <v>20160131</v>
      </c>
      <c r="M90" s="351">
        <v>20160202</v>
      </c>
      <c r="N90" s="351">
        <v>20160202</v>
      </c>
      <c r="O90" s="352" t="s">
        <v>80</v>
      </c>
      <c r="P90" s="353">
        <v>150000000</v>
      </c>
      <c r="Q90" s="354" t="s">
        <v>80</v>
      </c>
      <c r="R90" s="353">
        <v>141014686</v>
      </c>
      <c r="S90" s="355">
        <v>141014686</v>
      </c>
      <c r="T90" s="355">
        <v>0</v>
      </c>
      <c r="U90" s="355">
        <v>141014686</v>
      </c>
      <c r="V90" s="355">
        <v>4218881</v>
      </c>
      <c r="W90" s="356">
        <v>145233567</v>
      </c>
      <c r="X90" s="357"/>
    </row>
    <row r="91" spans="1:24" s="121" customFormat="1" ht="14.1" customHeight="1">
      <c r="A91" s="87"/>
      <c r="B91" s="343">
        <v>82</v>
      </c>
      <c r="C91" s="344"/>
      <c r="D91" s="345" t="s">
        <v>448</v>
      </c>
      <c r="E91" s="346" t="s">
        <v>651</v>
      </c>
      <c r="F91" s="347" t="s">
        <v>329</v>
      </c>
      <c r="G91" s="348" t="s">
        <v>805</v>
      </c>
      <c r="H91" s="349">
        <v>0</v>
      </c>
      <c r="I91" s="350">
        <v>7.0000000000000007E-2</v>
      </c>
      <c r="J91" s="350">
        <v>0.148586</v>
      </c>
      <c r="K91" s="351">
        <v>20120601</v>
      </c>
      <c r="L91" s="351">
        <v>20160308</v>
      </c>
      <c r="M91" s="351">
        <v>20160308</v>
      </c>
      <c r="N91" s="351">
        <v>20160309</v>
      </c>
      <c r="O91" s="352" t="s">
        <v>80</v>
      </c>
      <c r="P91" s="353">
        <v>195000000</v>
      </c>
      <c r="Q91" s="354" t="s">
        <v>80</v>
      </c>
      <c r="R91" s="353">
        <v>194592617</v>
      </c>
      <c r="S91" s="355">
        <v>194592617</v>
      </c>
      <c r="T91" s="355">
        <v>0</v>
      </c>
      <c r="U91" s="355">
        <v>194592617</v>
      </c>
      <c r="V91" s="355">
        <v>4480943</v>
      </c>
      <c r="W91" s="356">
        <v>199073560</v>
      </c>
      <c r="X91" s="357"/>
    </row>
    <row r="92" spans="1:24" s="121" customFormat="1" ht="14.1" customHeight="1">
      <c r="A92" s="87"/>
      <c r="B92" s="343">
        <v>83</v>
      </c>
      <c r="C92" s="344"/>
      <c r="D92" s="345" t="s">
        <v>448</v>
      </c>
      <c r="E92" s="346" t="s">
        <v>651</v>
      </c>
      <c r="F92" s="347" t="s">
        <v>721</v>
      </c>
      <c r="G92" s="348" t="s">
        <v>806</v>
      </c>
      <c r="H92" s="349">
        <v>1</v>
      </c>
      <c r="I92" s="350">
        <v>8.2500000000000004E-2</v>
      </c>
      <c r="J92" s="350">
        <v>0.15</v>
      </c>
      <c r="K92" s="351">
        <v>20121207</v>
      </c>
      <c r="L92" s="351">
        <v>20160308</v>
      </c>
      <c r="M92" s="351">
        <v>20160212</v>
      </c>
      <c r="N92" s="351">
        <v>20160212</v>
      </c>
      <c r="O92" s="352" t="s">
        <v>80</v>
      </c>
      <c r="P92" s="353">
        <v>702000000</v>
      </c>
      <c r="Q92" s="354" t="s">
        <v>80</v>
      </c>
      <c r="R92" s="353">
        <v>696742681</v>
      </c>
      <c r="S92" s="355">
        <v>696742681</v>
      </c>
      <c r="T92" s="355">
        <v>0</v>
      </c>
      <c r="U92" s="355">
        <v>696742681</v>
      </c>
      <c r="V92" s="355">
        <v>25189501</v>
      </c>
      <c r="W92" s="356">
        <v>721932182</v>
      </c>
      <c r="X92" s="357"/>
    </row>
    <row r="93" spans="1:24" s="121" customFormat="1" ht="14.1" customHeight="1">
      <c r="A93" s="87"/>
      <c r="B93" s="343">
        <v>84</v>
      </c>
      <c r="C93" s="344"/>
      <c r="D93" s="345" t="s">
        <v>448</v>
      </c>
      <c r="E93" s="346" t="s">
        <v>651</v>
      </c>
      <c r="F93" s="347" t="s">
        <v>700</v>
      </c>
      <c r="G93" s="348" t="s">
        <v>807</v>
      </c>
      <c r="H93" s="349">
        <v>1</v>
      </c>
      <c r="I93" s="350">
        <v>8.9499999999999996E-2</v>
      </c>
      <c r="J93" s="350">
        <v>0.15</v>
      </c>
      <c r="K93" s="351">
        <v>20121207</v>
      </c>
      <c r="L93" s="351">
        <v>20160308</v>
      </c>
      <c r="M93" s="351">
        <v>20160212</v>
      </c>
      <c r="N93" s="351">
        <v>20160226</v>
      </c>
      <c r="O93" s="352" t="s">
        <v>80</v>
      </c>
      <c r="P93" s="353">
        <v>168000000</v>
      </c>
      <c r="Q93" s="354" t="s">
        <v>80</v>
      </c>
      <c r="R93" s="353">
        <v>168000000</v>
      </c>
      <c r="S93" s="355">
        <v>168000000</v>
      </c>
      <c r="T93" s="355">
        <v>0</v>
      </c>
      <c r="U93" s="355">
        <v>168000000</v>
      </c>
      <c r="V93" s="355">
        <v>6323345</v>
      </c>
      <c r="W93" s="356">
        <v>174323345</v>
      </c>
      <c r="X93" s="357"/>
    </row>
    <row r="94" spans="1:24" s="121" customFormat="1" ht="14.1" customHeight="1">
      <c r="A94" s="87"/>
      <c r="B94" s="343">
        <v>85</v>
      </c>
      <c r="C94" s="344"/>
      <c r="D94" s="345" t="s">
        <v>448</v>
      </c>
      <c r="E94" s="346" t="s">
        <v>651</v>
      </c>
      <c r="F94" s="347" t="s">
        <v>700</v>
      </c>
      <c r="G94" s="348" t="s">
        <v>808</v>
      </c>
      <c r="H94" s="349">
        <v>1</v>
      </c>
      <c r="I94" s="350">
        <v>5.5199999999999999E-2</v>
      </c>
      <c r="J94" s="350">
        <v>0.12520000000000001</v>
      </c>
      <c r="K94" s="351">
        <v>20121207</v>
      </c>
      <c r="L94" s="351">
        <v>20161202</v>
      </c>
      <c r="M94" s="351">
        <v>20160308</v>
      </c>
      <c r="N94" s="351">
        <v>20160322</v>
      </c>
      <c r="O94" s="352" t="s">
        <v>80</v>
      </c>
      <c r="P94" s="353">
        <v>180000000</v>
      </c>
      <c r="Q94" s="354" t="s">
        <v>80</v>
      </c>
      <c r="R94" s="353">
        <v>180000000</v>
      </c>
      <c r="S94" s="355">
        <v>180000000</v>
      </c>
      <c r="T94" s="355">
        <v>0</v>
      </c>
      <c r="U94" s="355">
        <v>180000000</v>
      </c>
      <c r="V94" s="355">
        <v>3318811</v>
      </c>
      <c r="W94" s="356">
        <v>183318811</v>
      </c>
      <c r="X94" s="357"/>
    </row>
    <row r="95" spans="1:24" s="121" customFormat="1" ht="14.1" customHeight="1">
      <c r="A95" s="87"/>
      <c r="B95" s="343">
        <v>86</v>
      </c>
      <c r="C95" s="344"/>
      <c r="D95" s="345" t="s">
        <v>448</v>
      </c>
      <c r="E95" s="346" t="s">
        <v>651</v>
      </c>
      <c r="F95" s="347" t="s">
        <v>328</v>
      </c>
      <c r="G95" s="348" t="s">
        <v>809</v>
      </c>
      <c r="H95" s="349">
        <v>1</v>
      </c>
      <c r="I95" s="350">
        <v>7.3300000000000004E-2</v>
      </c>
      <c r="J95" s="350">
        <v>0.15</v>
      </c>
      <c r="K95" s="351">
        <v>20150630</v>
      </c>
      <c r="L95" s="351">
        <v>20160308</v>
      </c>
      <c r="M95" s="351">
        <v>20160212</v>
      </c>
      <c r="N95" s="351">
        <v>20160226</v>
      </c>
      <c r="O95" s="352" t="s">
        <v>80</v>
      </c>
      <c r="P95" s="353">
        <v>100000000</v>
      </c>
      <c r="Q95" s="354" t="s">
        <v>80</v>
      </c>
      <c r="R95" s="353">
        <v>100000000</v>
      </c>
      <c r="S95" s="355">
        <v>100000000</v>
      </c>
      <c r="T95" s="355">
        <v>0</v>
      </c>
      <c r="U95" s="355">
        <v>100000000</v>
      </c>
      <c r="V95" s="355">
        <v>3772678</v>
      </c>
      <c r="W95" s="356">
        <v>103772678</v>
      </c>
      <c r="X95" s="357"/>
    </row>
    <row r="96" spans="1:24" s="121" customFormat="1" ht="14.1" customHeight="1">
      <c r="A96" s="87"/>
      <c r="B96" s="343">
        <v>87</v>
      </c>
      <c r="C96" s="344"/>
      <c r="D96" s="345" t="s">
        <v>449</v>
      </c>
      <c r="E96" s="346" t="s">
        <v>211</v>
      </c>
      <c r="F96" s="347" t="s">
        <v>722</v>
      </c>
      <c r="G96" s="348" t="s">
        <v>810</v>
      </c>
      <c r="H96" s="349">
        <v>1</v>
      </c>
      <c r="I96" s="350">
        <v>3.7100000000000001E-2</v>
      </c>
      <c r="J96" s="350">
        <v>0.11710000000000001</v>
      </c>
      <c r="K96" s="351">
        <v>20110104</v>
      </c>
      <c r="L96" s="351">
        <v>20160110</v>
      </c>
      <c r="M96" s="351">
        <v>20160112</v>
      </c>
      <c r="N96" s="351">
        <v>20160112</v>
      </c>
      <c r="O96" s="352" t="s">
        <v>80</v>
      </c>
      <c r="P96" s="353">
        <v>770000000</v>
      </c>
      <c r="Q96" s="354" t="s">
        <v>80</v>
      </c>
      <c r="R96" s="353">
        <v>769997922</v>
      </c>
      <c r="S96" s="355">
        <v>769997922</v>
      </c>
      <c r="T96" s="355">
        <v>0</v>
      </c>
      <c r="U96" s="355">
        <v>769997922</v>
      </c>
      <c r="V96" s="355">
        <v>5278902</v>
      </c>
      <c r="W96" s="356">
        <v>775276824</v>
      </c>
      <c r="X96" s="357"/>
    </row>
    <row r="97" spans="1:24" s="121" customFormat="1" ht="14.1" customHeight="1">
      <c r="A97" s="87"/>
      <c r="B97" s="343">
        <v>88</v>
      </c>
      <c r="C97" s="344"/>
      <c r="D97" s="345" t="s">
        <v>449</v>
      </c>
      <c r="E97" s="346" t="s">
        <v>211</v>
      </c>
      <c r="F97" s="347" t="s">
        <v>331</v>
      </c>
      <c r="G97" s="348" t="s">
        <v>811</v>
      </c>
      <c r="H97" s="349">
        <v>1</v>
      </c>
      <c r="I97" s="350">
        <v>6.6100000000000006E-2</v>
      </c>
      <c r="J97" s="350">
        <v>0.14610000000000001</v>
      </c>
      <c r="K97" s="351">
        <v>20110104</v>
      </c>
      <c r="L97" s="351">
        <v>20160104</v>
      </c>
      <c r="M97" s="351">
        <v>20160105</v>
      </c>
      <c r="N97" s="351">
        <v>20160105</v>
      </c>
      <c r="O97" s="352" t="s">
        <v>80</v>
      </c>
      <c r="P97" s="353">
        <v>230000000</v>
      </c>
      <c r="Q97" s="354" t="s">
        <v>80</v>
      </c>
      <c r="R97" s="353">
        <v>230000000</v>
      </c>
      <c r="S97" s="355">
        <v>230000000</v>
      </c>
      <c r="T97" s="355">
        <v>0</v>
      </c>
      <c r="U97" s="355">
        <v>230000000</v>
      </c>
      <c r="V97" s="355">
        <v>2019852</v>
      </c>
      <c r="W97" s="356">
        <v>232019852</v>
      </c>
      <c r="X97" s="357"/>
    </row>
    <row r="98" spans="1:24" s="121" customFormat="1" ht="14.1" customHeight="1">
      <c r="A98" s="87"/>
      <c r="B98" s="343">
        <v>89</v>
      </c>
      <c r="C98" s="344"/>
      <c r="D98" s="345" t="s">
        <v>450</v>
      </c>
      <c r="E98" s="346" t="s">
        <v>135</v>
      </c>
      <c r="F98" s="347" t="s">
        <v>329</v>
      </c>
      <c r="G98" s="348" t="s">
        <v>812</v>
      </c>
      <c r="H98" s="349">
        <v>0</v>
      </c>
      <c r="I98" s="350">
        <v>0.11859</v>
      </c>
      <c r="J98" s="350">
        <v>0.15</v>
      </c>
      <c r="K98" s="351">
        <v>20130930</v>
      </c>
      <c r="L98" s="351">
        <v>20160106</v>
      </c>
      <c r="M98" s="351">
        <v>20151208</v>
      </c>
      <c r="N98" s="351">
        <v>20151222</v>
      </c>
      <c r="O98" s="352" t="s">
        <v>80</v>
      </c>
      <c r="P98" s="353">
        <v>96000000</v>
      </c>
      <c r="Q98" s="354" t="s">
        <v>80</v>
      </c>
      <c r="R98" s="353">
        <v>93747985</v>
      </c>
      <c r="S98" s="355">
        <v>93747985</v>
      </c>
      <c r="T98" s="355">
        <v>0</v>
      </c>
      <c r="U98" s="355">
        <v>93747985</v>
      </c>
      <c r="V98" s="355">
        <v>6449153</v>
      </c>
      <c r="W98" s="356">
        <v>100197138</v>
      </c>
      <c r="X98" s="357"/>
    </row>
    <row r="99" spans="1:24" s="121" customFormat="1" ht="14.1" customHeight="1">
      <c r="A99" s="87"/>
      <c r="B99" s="343">
        <v>90</v>
      </c>
      <c r="C99" s="344"/>
      <c r="D99" s="345" t="s">
        <v>450</v>
      </c>
      <c r="E99" s="346" t="s">
        <v>135</v>
      </c>
      <c r="F99" s="347" t="s">
        <v>696</v>
      </c>
      <c r="G99" s="348" t="s">
        <v>353</v>
      </c>
      <c r="H99" s="349">
        <v>1</v>
      </c>
      <c r="I99" s="350">
        <v>0.11650000000000001</v>
      </c>
      <c r="J99" s="350">
        <v>0.15</v>
      </c>
      <c r="K99" s="351">
        <v>20130930</v>
      </c>
      <c r="L99" s="351">
        <v>20210925</v>
      </c>
      <c r="M99" s="351">
        <v>20151107</v>
      </c>
      <c r="N99" s="351">
        <v>20151121</v>
      </c>
      <c r="O99" s="352" t="s">
        <v>80</v>
      </c>
      <c r="P99" s="353">
        <v>900000000</v>
      </c>
      <c r="Q99" s="354" t="s">
        <v>80</v>
      </c>
      <c r="R99" s="353">
        <v>900000000</v>
      </c>
      <c r="S99" s="355">
        <v>900000000</v>
      </c>
      <c r="T99" s="355">
        <v>3784090</v>
      </c>
      <c r="U99" s="355">
        <v>903784090</v>
      </c>
      <c r="V99" s="355">
        <v>71775870</v>
      </c>
      <c r="W99" s="356">
        <v>975559960</v>
      </c>
      <c r="X99" s="357" t="s">
        <v>1168</v>
      </c>
    </row>
    <row r="100" spans="1:24" s="121" customFormat="1" ht="14.1" customHeight="1">
      <c r="A100" s="87"/>
      <c r="B100" s="343">
        <v>91</v>
      </c>
      <c r="C100" s="344"/>
      <c r="D100" s="345" t="s">
        <v>451</v>
      </c>
      <c r="E100" s="346" t="s">
        <v>652</v>
      </c>
      <c r="F100" s="347" t="s">
        <v>723</v>
      </c>
      <c r="G100" s="348" t="s">
        <v>813</v>
      </c>
      <c r="H100" s="349">
        <v>1</v>
      </c>
      <c r="I100" s="350">
        <v>4.3400000000000001E-2</v>
      </c>
      <c r="J100" s="350">
        <v>0.1234</v>
      </c>
      <c r="K100" s="351">
        <v>20140916</v>
      </c>
      <c r="L100" s="351">
        <v>20150916</v>
      </c>
      <c r="M100" s="351">
        <v>20150908</v>
      </c>
      <c r="N100" s="351">
        <v>20150917</v>
      </c>
      <c r="O100" s="352" t="s">
        <v>80</v>
      </c>
      <c r="P100" s="353">
        <v>1000000000</v>
      </c>
      <c r="Q100" s="354" t="s">
        <v>80</v>
      </c>
      <c r="R100" s="353">
        <v>991112045</v>
      </c>
      <c r="S100" s="355">
        <v>991112045</v>
      </c>
      <c r="T100" s="355">
        <v>0</v>
      </c>
      <c r="U100" s="355">
        <v>991112045</v>
      </c>
      <c r="V100" s="355">
        <v>76626652</v>
      </c>
      <c r="W100" s="356">
        <v>1067738697</v>
      </c>
      <c r="X100" s="357"/>
    </row>
    <row r="101" spans="1:24" s="121" customFormat="1" ht="14.1" customHeight="1">
      <c r="A101" s="87"/>
      <c r="B101" s="343">
        <v>92</v>
      </c>
      <c r="C101" s="344"/>
      <c r="D101" s="345" t="s">
        <v>452</v>
      </c>
      <c r="E101" s="346" t="s">
        <v>653</v>
      </c>
      <c r="F101" s="347" t="s">
        <v>724</v>
      </c>
      <c r="G101" s="348" t="s">
        <v>814</v>
      </c>
      <c r="H101" s="349">
        <v>1</v>
      </c>
      <c r="I101" s="350">
        <v>4.0099999999999997E-2</v>
      </c>
      <c r="J101" s="350">
        <v>0.1101</v>
      </c>
      <c r="K101" s="351">
        <v>20150925</v>
      </c>
      <c r="L101" s="351">
        <v>20220630</v>
      </c>
      <c r="M101" s="351">
        <v>20160226</v>
      </c>
      <c r="N101" s="351">
        <v>20160309</v>
      </c>
      <c r="O101" s="352" t="s">
        <v>80</v>
      </c>
      <c r="P101" s="353">
        <v>559000000</v>
      </c>
      <c r="Q101" s="354" t="s">
        <v>80</v>
      </c>
      <c r="R101" s="353">
        <v>559000000</v>
      </c>
      <c r="S101" s="355">
        <v>559000000</v>
      </c>
      <c r="T101" s="355">
        <v>0</v>
      </c>
      <c r="U101" s="355">
        <v>559000000</v>
      </c>
      <c r="V101" s="355">
        <v>10601832</v>
      </c>
      <c r="W101" s="356">
        <v>569601832</v>
      </c>
      <c r="X101" s="357"/>
    </row>
    <row r="102" spans="1:24" s="121" customFormat="1" ht="14.1" customHeight="1">
      <c r="A102" s="87"/>
      <c r="B102" s="343">
        <v>93</v>
      </c>
      <c r="C102" s="344"/>
      <c r="D102" s="345" t="s">
        <v>452</v>
      </c>
      <c r="E102" s="346" t="s">
        <v>653</v>
      </c>
      <c r="F102" s="347" t="s">
        <v>725</v>
      </c>
      <c r="G102" s="348" t="s">
        <v>815</v>
      </c>
      <c r="H102" s="349">
        <v>1</v>
      </c>
      <c r="I102" s="350">
        <v>4.9200000000000001E-2</v>
      </c>
      <c r="J102" s="350">
        <v>0.1192</v>
      </c>
      <c r="K102" s="351">
        <v>20150925</v>
      </c>
      <c r="L102" s="351">
        <v>20180925</v>
      </c>
      <c r="M102" s="351">
        <v>20160226</v>
      </c>
      <c r="N102" s="351">
        <v>20160226</v>
      </c>
      <c r="O102" s="352" t="s">
        <v>80</v>
      </c>
      <c r="P102" s="353">
        <v>300000000</v>
      </c>
      <c r="Q102" s="354" t="s">
        <v>80</v>
      </c>
      <c r="R102" s="353">
        <v>297000000</v>
      </c>
      <c r="S102" s="355">
        <v>297000000</v>
      </c>
      <c r="T102" s="355">
        <v>0</v>
      </c>
      <c r="U102" s="355">
        <v>297000000</v>
      </c>
      <c r="V102" s="355">
        <v>6336389</v>
      </c>
      <c r="W102" s="356">
        <v>303336389</v>
      </c>
      <c r="X102" s="357"/>
    </row>
    <row r="103" spans="1:24" s="121" customFormat="1" ht="14.1" customHeight="1">
      <c r="A103" s="87"/>
      <c r="B103" s="343">
        <v>94</v>
      </c>
      <c r="C103" s="344"/>
      <c r="D103" s="345" t="s">
        <v>453</v>
      </c>
      <c r="E103" s="346" t="s">
        <v>109</v>
      </c>
      <c r="F103" s="347" t="s">
        <v>685</v>
      </c>
      <c r="G103" s="348" t="s">
        <v>816</v>
      </c>
      <c r="H103" s="349">
        <v>1</v>
      </c>
      <c r="I103" s="350">
        <v>2.6499999999999999E-2</v>
      </c>
      <c r="J103" s="350">
        <v>9.6500000000000002E-2</v>
      </c>
      <c r="K103" s="351">
        <v>20100913</v>
      </c>
      <c r="L103" s="351">
        <v>20170913</v>
      </c>
      <c r="M103" s="351">
        <v>20160122</v>
      </c>
      <c r="N103" s="351">
        <v>20160322</v>
      </c>
      <c r="O103" s="352" t="s">
        <v>80</v>
      </c>
      <c r="P103" s="353">
        <v>820000000</v>
      </c>
      <c r="Q103" s="354" t="s">
        <v>80</v>
      </c>
      <c r="R103" s="353">
        <v>820000000</v>
      </c>
      <c r="S103" s="355">
        <v>820000000</v>
      </c>
      <c r="T103" s="355">
        <v>7525024</v>
      </c>
      <c r="U103" s="355">
        <v>827525024</v>
      </c>
      <c r="V103" s="355">
        <v>13225114</v>
      </c>
      <c r="W103" s="356">
        <v>840750138</v>
      </c>
      <c r="X103" s="357" t="s">
        <v>1168</v>
      </c>
    </row>
    <row r="104" spans="1:24" s="121" customFormat="1" ht="14.1" customHeight="1">
      <c r="A104" s="87"/>
      <c r="B104" s="343">
        <v>95</v>
      </c>
      <c r="C104" s="344"/>
      <c r="D104" s="345" t="s">
        <v>454</v>
      </c>
      <c r="E104" s="346" t="s">
        <v>654</v>
      </c>
      <c r="F104" s="347" t="s">
        <v>726</v>
      </c>
      <c r="G104" s="348" t="s">
        <v>817</v>
      </c>
      <c r="H104" s="349">
        <v>1</v>
      </c>
      <c r="I104" s="350">
        <v>4.3499999999999997E-2</v>
      </c>
      <c r="J104" s="350">
        <v>0.1235</v>
      </c>
      <c r="K104" s="351">
        <v>20141219</v>
      </c>
      <c r="L104" s="351">
        <v>20221219</v>
      </c>
      <c r="M104" s="351">
        <v>20151120</v>
      </c>
      <c r="N104" s="351">
        <v>20151204</v>
      </c>
      <c r="O104" s="352" t="s">
        <v>80</v>
      </c>
      <c r="P104" s="353">
        <v>800000000</v>
      </c>
      <c r="Q104" s="354" t="s">
        <v>80</v>
      </c>
      <c r="R104" s="353">
        <v>800000000</v>
      </c>
      <c r="S104" s="355">
        <v>800000000</v>
      </c>
      <c r="T104" s="355">
        <v>17961571</v>
      </c>
      <c r="U104" s="355">
        <v>817961571</v>
      </c>
      <c r="V104" s="355">
        <v>40991860</v>
      </c>
      <c r="W104" s="356">
        <v>858953431</v>
      </c>
      <c r="X104" s="357" t="s">
        <v>3167</v>
      </c>
    </row>
    <row r="105" spans="1:24" s="121" customFormat="1" ht="14.1" customHeight="1">
      <c r="A105" s="87"/>
      <c r="B105" s="343">
        <v>96</v>
      </c>
      <c r="C105" s="344"/>
      <c r="D105" s="345" t="s">
        <v>455</v>
      </c>
      <c r="E105" s="346" t="s">
        <v>655</v>
      </c>
      <c r="F105" s="347" t="s">
        <v>331</v>
      </c>
      <c r="G105" s="348" t="s">
        <v>818</v>
      </c>
      <c r="H105" s="349">
        <v>1</v>
      </c>
      <c r="I105" s="350">
        <v>9.9600000000000008E-2</v>
      </c>
      <c r="J105" s="350">
        <v>0.15</v>
      </c>
      <c r="K105" s="351">
        <v>20140616</v>
      </c>
      <c r="L105" s="351">
        <v>20160430</v>
      </c>
      <c r="M105" s="351">
        <v>20160109</v>
      </c>
      <c r="N105" s="351">
        <v>20160123</v>
      </c>
      <c r="O105" s="352" t="s">
        <v>80</v>
      </c>
      <c r="P105" s="353">
        <v>600000000</v>
      </c>
      <c r="Q105" s="354" t="s">
        <v>80</v>
      </c>
      <c r="R105" s="353">
        <v>600000000</v>
      </c>
      <c r="S105" s="355">
        <v>600000000</v>
      </c>
      <c r="T105" s="355">
        <v>0</v>
      </c>
      <c r="U105" s="355">
        <v>600000000</v>
      </c>
      <c r="V105" s="355">
        <v>31471874</v>
      </c>
      <c r="W105" s="356">
        <v>631471874</v>
      </c>
      <c r="X105" s="357"/>
    </row>
    <row r="106" spans="1:24" s="121" customFormat="1" ht="14.1" customHeight="1">
      <c r="A106" s="87"/>
      <c r="B106" s="343">
        <v>97</v>
      </c>
      <c r="C106" s="344"/>
      <c r="D106" s="345" t="s">
        <v>455</v>
      </c>
      <c r="E106" s="346" t="s">
        <v>655</v>
      </c>
      <c r="F106" s="347" t="s">
        <v>327</v>
      </c>
      <c r="G106" s="348" t="s">
        <v>819</v>
      </c>
      <c r="H106" s="349">
        <v>1</v>
      </c>
      <c r="I106" s="350">
        <v>3.5360000000000003E-2</v>
      </c>
      <c r="J106" s="350">
        <v>0.11535869999999999</v>
      </c>
      <c r="K106" s="351">
        <v>20140724</v>
      </c>
      <c r="L106" s="351">
        <v>20190723</v>
      </c>
      <c r="M106" s="351">
        <v>20151224</v>
      </c>
      <c r="N106" s="351">
        <v>20151224</v>
      </c>
      <c r="O106" s="352" t="s">
        <v>80</v>
      </c>
      <c r="P106" s="353">
        <v>200000000</v>
      </c>
      <c r="Q106" s="354" t="s">
        <v>80</v>
      </c>
      <c r="R106" s="353">
        <v>162676444</v>
      </c>
      <c r="S106" s="355">
        <v>162676444</v>
      </c>
      <c r="T106" s="355">
        <v>0</v>
      </c>
      <c r="U106" s="355">
        <v>162676444</v>
      </c>
      <c r="V106" s="355">
        <v>5875022</v>
      </c>
      <c r="W106" s="356">
        <v>168551466</v>
      </c>
      <c r="X106" s="357"/>
    </row>
    <row r="107" spans="1:24" s="121" customFormat="1" ht="14.1" customHeight="1">
      <c r="A107" s="87"/>
      <c r="B107" s="343">
        <v>98</v>
      </c>
      <c r="C107" s="344"/>
      <c r="D107" s="345" t="s">
        <v>456</v>
      </c>
      <c r="E107" s="346" t="s">
        <v>214</v>
      </c>
      <c r="F107" s="347" t="s">
        <v>328</v>
      </c>
      <c r="G107" s="348" t="s">
        <v>357</v>
      </c>
      <c r="H107" s="349">
        <v>1</v>
      </c>
      <c r="I107" s="350">
        <v>6.7799999999999999E-2</v>
      </c>
      <c r="J107" s="350">
        <v>0.13780000000000001</v>
      </c>
      <c r="K107" s="351">
        <v>20120213</v>
      </c>
      <c r="L107" s="351">
        <v>20160812</v>
      </c>
      <c r="M107" s="351">
        <v>20160114</v>
      </c>
      <c r="N107" s="351">
        <v>20160128</v>
      </c>
      <c r="O107" s="352" t="s">
        <v>80</v>
      </c>
      <c r="P107" s="353">
        <v>1780000000</v>
      </c>
      <c r="Q107" s="354" t="s">
        <v>80</v>
      </c>
      <c r="R107" s="353">
        <v>741000000</v>
      </c>
      <c r="S107" s="355">
        <v>741000000</v>
      </c>
      <c r="T107" s="355">
        <v>0</v>
      </c>
      <c r="U107" s="355">
        <v>741000000</v>
      </c>
      <c r="V107" s="355">
        <v>31119581</v>
      </c>
      <c r="W107" s="356">
        <v>772119581</v>
      </c>
      <c r="X107" s="357"/>
    </row>
    <row r="108" spans="1:24" s="121" customFormat="1" ht="14.1" customHeight="1">
      <c r="A108" s="87"/>
      <c r="B108" s="343">
        <v>99</v>
      </c>
      <c r="C108" s="344"/>
      <c r="D108" s="345" t="s">
        <v>457</v>
      </c>
      <c r="E108" s="346" t="s">
        <v>656</v>
      </c>
      <c r="F108" s="347" t="s">
        <v>328</v>
      </c>
      <c r="G108" s="348" t="s">
        <v>820</v>
      </c>
      <c r="H108" s="349">
        <v>1</v>
      </c>
      <c r="I108" s="350">
        <v>6.9099999999999995E-2</v>
      </c>
      <c r="J108" s="350">
        <v>0.1391</v>
      </c>
      <c r="K108" s="351">
        <v>20151008</v>
      </c>
      <c r="L108" s="351">
        <v>20160408</v>
      </c>
      <c r="M108" s="351">
        <v>20160128</v>
      </c>
      <c r="N108" s="351">
        <v>20160211</v>
      </c>
      <c r="O108" s="352" t="s">
        <v>80</v>
      </c>
      <c r="P108" s="353">
        <v>699000000</v>
      </c>
      <c r="Q108" s="354" t="s">
        <v>80</v>
      </c>
      <c r="R108" s="353">
        <v>699000000</v>
      </c>
      <c r="S108" s="355">
        <v>699000000</v>
      </c>
      <c r="T108" s="355">
        <v>0</v>
      </c>
      <c r="U108" s="355">
        <v>699000000</v>
      </c>
      <c r="V108" s="355">
        <v>25956019</v>
      </c>
      <c r="W108" s="356">
        <v>724956019</v>
      </c>
      <c r="X108" s="357"/>
    </row>
    <row r="109" spans="1:24" s="121" customFormat="1" ht="14.1" customHeight="1">
      <c r="A109" s="87"/>
      <c r="B109" s="343">
        <v>100</v>
      </c>
      <c r="C109" s="344"/>
      <c r="D109" s="345" t="s">
        <v>458</v>
      </c>
      <c r="E109" s="346" t="s">
        <v>657</v>
      </c>
      <c r="F109" s="347" t="s">
        <v>328</v>
      </c>
      <c r="G109" s="348" t="s">
        <v>821</v>
      </c>
      <c r="H109" s="349">
        <v>1</v>
      </c>
      <c r="I109" s="350">
        <v>0.11710000000000001</v>
      </c>
      <c r="J109" s="350">
        <v>0.15</v>
      </c>
      <c r="K109" s="351">
        <v>20130320</v>
      </c>
      <c r="L109" s="351">
        <v>20160328</v>
      </c>
      <c r="M109" s="351">
        <v>20160206</v>
      </c>
      <c r="N109" s="351">
        <v>20160220</v>
      </c>
      <c r="O109" s="352" t="s">
        <v>80</v>
      </c>
      <c r="P109" s="353">
        <v>20000000</v>
      </c>
      <c r="Q109" s="354" t="s">
        <v>80</v>
      </c>
      <c r="R109" s="353">
        <v>19000000</v>
      </c>
      <c r="S109" s="355">
        <v>19000000</v>
      </c>
      <c r="T109" s="355">
        <v>0</v>
      </c>
      <c r="U109" s="355">
        <v>19000000</v>
      </c>
      <c r="V109" s="355">
        <v>811177</v>
      </c>
      <c r="W109" s="356">
        <v>19811177</v>
      </c>
      <c r="X109" s="357"/>
    </row>
    <row r="110" spans="1:24" s="121" customFormat="1" ht="14.1" customHeight="1">
      <c r="A110" s="87"/>
      <c r="B110" s="343">
        <v>101</v>
      </c>
      <c r="C110" s="344"/>
      <c r="D110" s="345" t="s">
        <v>458</v>
      </c>
      <c r="E110" s="346" t="s">
        <v>657</v>
      </c>
      <c r="F110" s="347" t="s">
        <v>328</v>
      </c>
      <c r="G110" s="348" t="s">
        <v>822</v>
      </c>
      <c r="H110" s="349">
        <v>1</v>
      </c>
      <c r="I110" s="350">
        <v>8.0600000000000005E-2</v>
      </c>
      <c r="J110" s="350">
        <v>0.15</v>
      </c>
      <c r="K110" s="351">
        <v>20140324</v>
      </c>
      <c r="L110" s="351">
        <v>20160328</v>
      </c>
      <c r="M110" s="351">
        <v>20160105</v>
      </c>
      <c r="N110" s="351">
        <v>20160119</v>
      </c>
      <c r="O110" s="352" t="s">
        <v>80</v>
      </c>
      <c r="P110" s="353">
        <v>550000000</v>
      </c>
      <c r="Q110" s="354" t="s">
        <v>80</v>
      </c>
      <c r="R110" s="353">
        <v>550000000</v>
      </c>
      <c r="S110" s="355">
        <v>550000000</v>
      </c>
      <c r="T110" s="355">
        <v>0</v>
      </c>
      <c r="U110" s="355">
        <v>550000000</v>
      </c>
      <c r="V110" s="355">
        <v>27940393</v>
      </c>
      <c r="W110" s="356">
        <v>577940393</v>
      </c>
      <c r="X110" s="357"/>
    </row>
    <row r="111" spans="1:24" s="121" customFormat="1" ht="14.1" customHeight="1">
      <c r="A111" s="87"/>
      <c r="B111" s="343">
        <v>102</v>
      </c>
      <c r="C111" s="344"/>
      <c r="D111" s="345" t="s">
        <v>458</v>
      </c>
      <c r="E111" s="346" t="s">
        <v>657</v>
      </c>
      <c r="F111" s="347" t="s">
        <v>328</v>
      </c>
      <c r="G111" s="348" t="s">
        <v>823</v>
      </c>
      <c r="H111" s="349">
        <v>1</v>
      </c>
      <c r="I111" s="350">
        <v>0.1176</v>
      </c>
      <c r="J111" s="350">
        <v>0.15</v>
      </c>
      <c r="K111" s="351">
        <v>20140324</v>
      </c>
      <c r="L111" s="351">
        <v>20160328</v>
      </c>
      <c r="M111" s="351">
        <v>20160206</v>
      </c>
      <c r="N111" s="351">
        <v>20160220</v>
      </c>
      <c r="O111" s="352" t="s">
        <v>80</v>
      </c>
      <c r="P111" s="353">
        <v>48000000</v>
      </c>
      <c r="Q111" s="354" t="s">
        <v>80</v>
      </c>
      <c r="R111" s="353">
        <v>48000000</v>
      </c>
      <c r="S111" s="355">
        <v>48000000</v>
      </c>
      <c r="T111" s="355">
        <v>0</v>
      </c>
      <c r="U111" s="355">
        <v>48000000</v>
      </c>
      <c r="V111" s="355">
        <v>2052323</v>
      </c>
      <c r="W111" s="356">
        <v>50052323</v>
      </c>
      <c r="X111" s="357"/>
    </row>
    <row r="112" spans="1:24" s="121" customFormat="1" ht="14.1" customHeight="1">
      <c r="A112" s="87"/>
      <c r="B112" s="343">
        <v>103</v>
      </c>
      <c r="C112" s="344"/>
      <c r="D112" s="345" t="s">
        <v>458</v>
      </c>
      <c r="E112" s="346" t="s">
        <v>657</v>
      </c>
      <c r="F112" s="347" t="s">
        <v>328</v>
      </c>
      <c r="G112" s="348" t="s">
        <v>824</v>
      </c>
      <c r="H112" s="349">
        <v>1</v>
      </c>
      <c r="I112" s="350">
        <v>0.11710000000000001</v>
      </c>
      <c r="J112" s="350">
        <v>0.15</v>
      </c>
      <c r="K112" s="351">
        <v>20140922</v>
      </c>
      <c r="L112" s="351">
        <v>20160328</v>
      </c>
      <c r="M112" s="351">
        <v>20160223</v>
      </c>
      <c r="N112" s="351">
        <v>20160308</v>
      </c>
      <c r="O112" s="352" t="s">
        <v>80</v>
      </c>
      <c r="P112" s="353">
        <v>30000000</v>
      </c>
      <c r="Q112" s="354" t="s">
        <v>80</v>
      </c>
      <c r="R112" s="353">
        <v>23000000</v>
      </c>
      <c r="S112" s="355">
        <v>23000000</v>
      </c>
      <c r="T112" s="355">
        <v>0</v>
      </c>
      <c r="U112" s="355">
        <v>23000000</v>
      </c>
      <c r="V112" s="355">
        <v>821707</v>
      </c>
      <c r="W112" s="356">
        <v>23821707</v>
      </c>
      <c r="X112" s="357"/>
    </row>
    <row r="113" spans="1:24" s="121" customFormat="1" ht="14.1" customHeight="1">
      <c r="A113" s="87"/>
      <c r="B113" s="343">
        <v>104</v>
      </c>
      <c r="C113" s="344"/>
      <c r="D113" s="345" t="s">
        <v>458</v>
      </c>
      <c r="E113" s="346" t="s">
        <v>657</v>
      </c>
      <c r="F113" s="347" t="s">
        <v>328</v>
      </c>
      <c r="G113" s="348" t="s">
        <v>825</v>
      </c>
      <c r="H113" s="349">
        <v>1</v>
      </c>
      <c r="I113" s="350">
        <v>0.1176</v>
      </c>
      <c r="J113" s="350">
        <v>0.15</v>
      </c>
      <c r="K113" s="351">
        <v>20150316</v>
      </c>
      <c r="L113" s="351">
        <v>20160328</v>
      </c>
      <c r="M113" s="351">
        <v>20160217</v>
      </c>
      <c r="N113" s="351">
        <v>20160302</v>
      </c>
      <c r="O113" s="352" t="s">
        <v>80</v>
      </c>
      <c r="P113" s="353">
        <v>20000000</v>
      </c>
      <c r="Q113" s="354" t="s">
        <v>80</v>
      </c>
      <c r="R113" s="353">
        <v>6000000</v>
      </c>
      <c r="S113" s="355">
        <v>6000000</v>
      </c>
      <c r="T113" s="355">
        <v>0</v>
      </c>
      <c r="U113" s="355">
        <v>6000000</v>
      </c>
      <c r="V113" s="355">
        <v>228989</v>
      </c>
      <c r="W113" s="356">
        <v>6228989</v>
      </c>
      <c r="X113" s="357"/>
    </row>
    <row r="114" spans="1:24" s="121" customFormat="1" ht="14.1" customHeight="1">
      <c r="A114" s="87"/>
      <c r="B114" s="343">
        <v>105</v>
      </c>
      <c r="C114" s="344"/>
      <c r="D114" s="345" t="s">
        <v>459</v>
      </c>
      <c r="E114" s="346" t="s">
        <v>239</v>
      </c>
      <c r="F114" s="347" t="s">
        <v>727</v>
      </c>
      <c r="G114" s="348" t="s">
        <v>826</v>
      </c>
      <c r="H114" s="349">
        <v>1</v>
      </c>
      <c r="I114" s="350">
        <v>2.2799999999999997E-2</v>
      </c>
      <c r="J114" s="350">
        <v>9.2799999999999994E-2</v>
      </c>
      <c r="K114" s="351">
        <v>20101129</v>
      </c>
      <c r="L114" s="351">
        <v>20401129</v>
      </c>
      <c r="M114" s="351">
        <v>20160130</v>
      </c>
      <c r="N114" s="351">
        <v>20160224</v>
      </c>
      <c r="O114" s="352" t="s">
        <v>80</v>
      </c>
      <c r="P114" s="353">
        <v>450000000</v>
      </c>
      <c r="Q114" s="354" t="s">
        <v>80</v>
      </c>
      <c r="R114" s="353">
        <v>450000000</v>
      </c>
      <c r="S114" s="355">
        <v>450000000</v>
      </c>
      <c r="T114" s="355">
        <v>6005530</v>
      </c>
      <c r="U114" s="355">
        <v>456005530</v>
      </c>
      <c r="V114" s="355">
        <v>8536455</v>
      </c>
      <c r="W114" s="356">
        <v>464541985</v>
      </c>
      <c r="X114" s="357" t="s">
        <v>1168</v>
      </c>
    </row>
    <row r="115" spans="1:24" s="121" customFormat="1" ht="14.1" customHeight="1">
      <c r="A115" s="87"/>
      <c r="B115" s="343">
        <v>106</v>
      </c>
      <c r="C115" s="344"/>
      <c r="D115" s="345" t="s">
        <v>459</v>
      </c>
      <c r="E115" s="346" t="s">
        <v>239</v>
      </c>
      <c r="F115" s="347" t="s">
        <v>728</v>
      </c>
      <c r="G115" s="348" t="s">
        <v>827</v>
      </c>
      <c r="H115" s="349">
        <v>1</v>
      </c>
      <c r="I115" s="350">
        <v>3.5000000000000003E-2</v>
      </c>
      <c r="J115" s="350">
        <v>0.105</v>
      </c>
      <c r="K115" s="351">
        <v>20110324</v>
      </c>
      <c r="L115" s="351">
        <v>20160317</v>
      </c>
      <c r="M115" s="351">
        <v>20160126</v>
      </c>
      <c r="N115" s="351">
        <v>20160209</v>
      </c>
      <c r="O115" s="352" t="s">
        <v>80</v>
      </c>
      <c r="P115" s="353">
        <v>50000000</v>
      </c>
      <c r="Q115" s="354" t="s">
        <v>80</v>
      </c>
      <c r="R115" s="353">
        <v>4638443</v>
      </c>
      <c r="S115" s="355">
        <v>4638443</v>
      </c>
      <c r="T115" s="355">
        <v>0</v>
      </c>
      <c r="U115" s="355">
        <v>4638443</v>
      </c>
      <c r="V115" s="355">
        <v>750657</v>
      </c>
      <c r="W115" s="356">
        <v>5389100</v>
      </c>
      <c r="X115" s="357"/>
    </row>
    <row r="116" spans="1:24" s="121" customFormat="1" ht="14.1" customHeight="1">
      <c r="A116" s="87"/>
      <c r="B116" s="343">
        <v>107</v>
      </c>
      <c r="C116" s="344"/>
      <c r="D116" s="345" t="s">
        <v>459</v>
      </c>
      <c r="E116" s="346" t="s">
        <v>239</v>
      </c>
      <c r="F116" s="347" t="s">
        <v>328</v>
      </c>
      <c r="G116" s="348" t="s">
        <v>828</v>
      </c>
      <c r="H116" s="349">
        <v>1</v>
      </c>
      <c r="I116" s="350">
        <v>9.1899999999999996E-2</v>
      </c>
      <c r="J116" s="350">
        <v>0.15</v>
      </c>
      <c r="K116" s="351">
        <v>20140826</v>
      </c>
      <c r="L116" s="351">
        <v>20160226</v>
      </c>
      <c r="M116" s="351">
        <v>20160127</v>
      </c>
      <c r="N116" s="351">
        <v>20160210</v>
      </c>
      <c r="O116" s="352" t="s">
        <v>80</v>
      </c>
      <c r="P116" s="353">
        <v>150000000</v>
      </c>
      <c r="Q116" s="354" t="s">
        <v>80</v>
      </c>
      <c r="R116" s="353">
        <v>150000000</v>
      </c>
      <c r="S116" s="355">
        <v>150000000</v>
      </c>
      <c r="T116" s="355">
        <v>0</v>
      </c>
      <c r="U116" s="355">
        <v>150000000</v>
      </c>
      <c r="V116" s="355">
        <v>6488276</v>
      </c>
      <c r="W116" s="356">
        <v>156488276</v>
      </c>
      <c r="X116" s="357"/>
    </row>
    <row r="117" spans="1:24" s="121" customFormat="1" ht="14.1" customHeight="1">
      <c r="A117" s="87"/>
      <c r="B117" s="343">
        <v>108</v>
      </c>
      <c r="C117" s="344"/>
      <c r="D117" s="345" t="s">
        <v>460</v>
      </c>
      <c r="E117" s="346" t="s">
        <v>92</v>
      </c>
      <c r="F117" s="347" t="s">
        <v>328</v>
      </c>
      <c r="G117" s="348" t="s">
        <v>829</v>
      </c>
      <c r="H117" s="349">
        <v>1</v>
      </c>
      <c r="I117" s="350">
        <v>6.5199999999999994E-2</v>
      </c>
      <c r="J117" s="350">
        <v>0.13519999999999999</v>
      </c>
      <c r="K117" s="351">
        <v>20110907</v>
      </c>
      <c r="L117" s="351">
        <v>20160306</v>
      </c>
      <c r="M117" s="351">
        <v>20160212</v>
      </c>
      <c r="N117" s="351">
        <v>20160226</v>
      </c>
      <c r="O117" s="352" t="s">
        <v>80</v>
      </c>
      <c r="P117" s="353">
        <v>350000000</v>
      </c>
      <c r="Q117" s="354" t="s">
        <v>80</v>
      </c>
      <c r="R117" s="353">
        <v>350000000</v>
      </c>
      <c r="S117" s="355">
        <v>350000000</v>
      </c>
      <c r="T117" s="355">
        <v>2147470</v>
      </c>
      <c r="U117" s="355">
        <v>352147470</v>
      </c>
      <c r="V117" s="355">
        <v>10884607</v>
      </c>
      <c r="W117" s="356">
        <v>363032077</v>
      </c>
      <c r="X117" s="357" t="s">
        <v>1170</v>
      </c>
    </row>
    <row r="118" spans="1:24" s="121" customFormat="1" ht="14.1" customHeight="1">
      <c r="A118" s="87"/>
      <c r="B118" s="343">
        <v>109</v>
      </c>
      <c r="C118" s="344"/>
      <c r="D118" s="345" t="s">
        <v>460</v>
      </c>
      <c r="E118" s="346" t="s">
        <v>92</v>
      </c>
      <c r="F118" s="347" t="s">
        <v>328</v>
      </c>
      <c r="G118" s="348" t="s">
        <v>830</v>
      </c>
      <c r="H118" s="349">
        <v>1</v>
      </c>
      <c r="I118" s="350">
        <v>0.1144</v>
      </c>
      <c r="J118" s="350">
        <v>0.15</v>
      </c>
      <c r="K118" s="351">
        <v>20111004</v>
      </c>
      <c r="L118" s="351">
        <v>20160306</v>
      </c>
      <c r="M118" s="351">
        <v>20160204</v>
      </c>
      <c r="N118" s="351">
        <v>20160218</v>
      </c>
      <c r="O118" s="352" t="s">
        <v>80</v>
      </c>
      <c r="P118" s="353">
        <v>200000000</v>
      </c>
      <c r="Q118" s="354" t="s">
        <v>80</v>
      </c>
      <c r="R118" s="353">
        <v>200000000</v>
      </c>
      <c r="S118" s="355">
        <v>200000000</v>
      </c>
      <c r="T118" s="355">
        <v>0</v>
      </c>
      <c r="U118" s="355">
        <v>200000000</v>
      </c>
      <c r="V118" s="355">
        <v>8490709</v>
      </c>
      <c r="W118" s="356">
        <v>208490709</v>
      </c>
      <c r="X118" s="357"/>
    </row>
    <row r="119" spans="1:24" s="121" customFormat="1" ht="14.1" customHeight="1">
      <c r="A119" s="87"/>
      <c r="B119" s="343">
        <v>110</v>
      </c>
      <c r="C119" s="344"/>
      <c r="D119" s="345" t="s">
        <v>460</v>
      </c>
      <c r="E119" s="346" t="s">
        <v>92</v>
      </c>
      <c r="F119" s="347" t="s">
        <v>328</v>
      </c>
      <c r="G119" s="348" t="s">
        <v>831</v>
      </c>
      <c r="H119" s="349">
        <v>1</v>
      </c>
      <c r="I119" s="350">
        <v>5.1100000000000007E-2</v>
      </c>
      <c r="J119" s="350">
        <v>0.1211</v>
      </c>
      <c r="K119" s="351">
        <v>20130708</v>
      </c>
      <c r="L119" s="351">
        <v>20160709</v>
      </c>
      <c r="M119" s="351">
        <v>20160216</v>
      </c>
      <c r="N119" s="351">
        <v>20160301</v>
      </c>
      <c r="O119" s="352" t="s">
        <v>80</v>
      </c>
      <c r="P119" s="353">
        <v>100000000</v>
      </c>
      <c r="Q119" s="354" t="s">
        <v>80</v>
      </c>
      <c r="R119" s="353">
        <v>50000000</v>
      </c>
      <c r="S119" s="355">
        <v>50000000</v>
      </c>
      <c r="T119" s="355">
        <v>0</v>
      </c>
      <c r="U119" s="355">
        <v>50000000</v>
      </c>
      <c r="V119" s="355">
        <v>1258530</v>
      </c>
      <c r="W119" s="356">
        <v>51258530</v>
      </c>
      <c r="X119" s="357"/>
    </row>
    <row r="120" spans="1:24" s="121" customFormat="1" ht="14.1" customHeight="1">
      <c r="A120" s="87"/>
      <c r="B120" s="343">
        <v>111</v>
      </c>
      <c r="C120" s="344"/>
      <c r="D120" s="345" t="s">
        <v>461</v>
      </c>
      <c r="E120" s="346" t="s">
        <v>658</v>
      </c>
      <c r="F120" s="347" t="s">
        <v>729</v>
      </c>
      <c r="G120" s="348" t="s">
        <v>832</v>
      </c>
      <c r="H120" s="349">
        <v>1</v>
      </c>
      <c r="I120" s="350">
        <v>3.5200000000000002E-2</v>
      </c>
      <c r="J120" s="350">
        <v>0.1052</v>
      </c>
      <c r="K120" s="351">
        <v>20140903</v>
      </c>
      <c r="L120" s="351">
        <v>20190903</v>
      </c>
      <c r="M120" s="351">
        <v>20160105</v>
      </c>
      <c r="N120" s="351">
        <v>20160105</v>
      </c>
      <c r="O120" s="352" t="s">
        <v>80</v>
      </c>
      <c r="P120" s="353">
        <v>336000000</v>
      </c>
      <c r="Q120" s="354" t="s">
        <v>80</v>
      </c>
      <c r="R120" s="353">
        <v>315000000</v>
      </c>
      <c r="S120" s="355">
        <v>315000000</v>
      </c>
      <c r="T120" s="355">
        <v>0</v>
      </c>
      <c r="U120" s="355">
        <v>315000000</v>
      </c>
      <c r="V120" s="355">
        <v>8913712</v>
      </c>
      <c r="W120" s="356">
        <v>323913712</v>
      </c>
      <c r="X120" s="357"/>
    </row>
    <row r="121" spans="1:24" s="121" customFormat="1" ht="14.1" customHeight="1">
      <c r="A121" s="87"/>
      <c r="B121" s="343">
        <v>112</v>
      </c>
      <c r="C121" s="344"/>
      <c r="D121" s="345" t="s">
        <v>461</v>
      </c>
      <c r="E121" s="346" t="s">
        <v>658</v>
      </c>
      <c r="F121" s="347" t="s">
        <v>730</v>
      </c>
      <c r="G121" s="348" t="s">
        <v>833</v>
      </c>
      <c r="H121" s="349">
        <v>1</v>
      </c>
      <c r="I121" s="350">
        <v>3.5200000000000002E-2</v>
      </c>
      <c r="J121" s="350">
        <v>0.1152</v>
      </c>
      <c r="K121" s="351">
        <v>20140903</v>
      </c>
      <c r="L121" s="351">
        <v>20170903</v>
      </c>
      <c r="M121" s="351">
        <v>20160107</v>
      </c>
      <c r="N121" s="351">
        <v>20160121</v>
      </c>
      <c r="O121" s="352" t="s">
        <v>80</v>
      </c>
      <c r="P121" s="353">
        <v>289000000</v>
      </c>
      <c r="Q121" s="354" t="s">
        <v>80</v>
      </c>
      <c r="R121" s="353">
        <v>198696047</v>
      </c>
      <c r="S121" s="355">
        <v>198696047</v>
      </c>
      <c r="T121" s="355">
        <v>0</v>
      </c>
      <c r="U121" s="355">
        <v>198696047</v>
      </c>
      <c r="V121" s="355">
        <v>6371868</v>
      </c>
      <c r="W121" s="356">
        <v>205067915</v>
      </c>
      <c r="X121" s="357"/>
    </row>
    <row r="122" spans="1:24" s="121" customFormat="1" ht="14.1" customHeight="1">
      <c r="A122" s="87"/>
      <c r="B122" s="343">
        <v>113</v>
      </c>
      <c r="C122" s="344"/>
      <c r="D122" s="345" t="s">
        <v>461</v>
      </c>
      <c r="E122" s="346" t="s">
        <v>658</v>
      </c>
      <c r="F122" s="347" t="s">
        <v>731</v>
      </c>
      <c r="G122" s="348" t="s">
        <v>834</v>
      </c>
      <c r="H122" s="349">
        <v>1</v>
      </c>
      <c r="I122" s="350">
        <v>4.0599999999999997E-2</v>
      </c>
      <c r="J122" s="350">
        <v>0.1106</v>
      </c>
      <c r="K122" s="351">
        <v>20150921</v>
      </c>
      <c r="L122" s="351">
        <v>20160921</v>
      </c>
      <c r="M122" s="351">
        <v>20160122</v>
      </c>
      <c r="N122" s="351">
        <v>20160205</v>
      </c>
      <c r="O122" s="352" t="s">
        <v>80</v>
      </c>
      <c r="P122" s="353">
        <v>75000000</v>
      </c>
      <c r="Q122" s="354" t="s">
        <v>80</v>
      </c>
      <c r="R122" s="353">
        <v>75000000</v>
      </c>
      <c r="S122" s="355">
        <v>75000000</v>
      </c>
      <c r="T122" s="355">
        <v>0</v>
      </c>
      <c r="U122" s="355">
        <v>75000000</v>
      </c>
      <c r="V122" s="355">
        <v>2203578</v>
      </c>
      <c r="W122" s="356">
        <v>77203578</v>
      </c>
      <c r="X122" s="357"/>
    </row>
    <row r="123" spans="1:24" s="121" customFormat="1" ht="14.1" customHeight="1">
      <c r="A123" s="87"/>
      <c r="B123" s="343">
        <v>114</v>
      </c>
      <c r="C123" s="344"/>
      <c r="D123" s="345" t="s">
        <v>462</v>
      </c>
      <c r="E123" s="346" t="s">
        <v>659</v>
      </c>
      <c r="F123" s="347" t="s">
        <v>331</v>
      </c>
      <c r="G123" s="348" t="s">
        <v>835</v>
      </c>
      <c r="H123" s="349">
        <v>1</v>
      </c>
      <c r="I123" s="350">
        <v>5.4809999999999998E-2</v>
      </c>
      <c r="J123" s="350">
        <v>0.1348097</v>
      </c>
      <c r="K123" s="351">
        <v>20140516</v>
      </c>
      <c r="L123" s="351">
        <v>20160516</v>
      </c>
      <c r="M123" s="351">
        <v>20151117</v>
      </c>
      <c r="N123" s="351">
        <v>20151201</v>
      </c>
      <c r="O123" s="352" t="s">
        <v>80</v>
      </c>
      <c r="P123" s="353">
        <v>300000000</v>
      </c>
      <c r="Q123" s="354" t="s">
        <v>80</v>
      </c>
      <c r="R123" s="353">
        <v>300000000</v>
      </c>
      <c r="S123" s="355">
        <v>300000000</v>
      </c>
      <c r="T123" s="355">
        <v>5945325</v>
      </c>
      <c r="U123" s="355">
        <v>305945325</v>
      </c>
      <c r="V123" s="355">
        <v>15726354</v>
      </c>
      <c r="W123" s="356">
        <v>321671679</v>
      </c>
      <c r="X123" s="357" t="s">
        <v>1168</v>
      </c>
    </row>
    <row r="124" spans="1:24" s="121" customFormat="1" ht="14.1" customHeight="1">
      <c r="A124" s="87"/>
      <c r="B124" s="343">
        <v>115</v>
      </c>
      <c r="C124" s="344"/>
      <c r="D124" s="345" t="s">
        <v>462</v>
      </c>
      <c r="E124" s="346" t="s">
        <v>659</v>
      </c>
      <c r="F124" s="347" t="s">
        <v>710</v>
      </c>
      <c r="G124" s="348" t="s">
        <v>836</v>
      </c>
      <c r="H124" s="349">
        <v>1</v>
      </c>
      <c r="I124" s="350">
        <v>5.6799999999999996E-2</v>
      </c>
      <c r="J124" s="350">
        <v>0.1368</v>
      </c>
      <c r="K124" s="351">
        <v>20150611</v>
      </c>
      <c r="L124" s="351">
        <v>20160611</v>
      </c>
      <c r="M124" s="351">
        <v>20151117</v>
      </c>
      <c r="N124" s="351">
        <v>20151201</v>
      </c>
      <c r="O124" s="352" t="s">
        <v>80</v>
      </c>
      <c r="P124" s="353">
        <v>259000000</v>
      </c>
      <c r="Q124" s="354" t="s">
        <v>80</v>
      </c>
      <c r="R124" s="353">
        <v>259000000</v>
      </c>
      <c r="S124" s="355">
        <v>259000000</v>
      </c>
      <c r="T124" s="355">
        <v>0</v>
      </c>
      <c r="U124" s="355">
        <v>259000000</v>
      </c>
      <c r="V124" s="355">
        <v>13304572</v>
      </c>
      <c r="W124" s="356">
        <v>272304572</v>
      </c>
      <c r="X124" s="357"/>
    </row>
    <row r="125" spans="1:24" s="121" customFormat="1" ht="14.1" customHeight="1">
      <c r="A125" s="87"/>
      <c r="B125" s="343">
        <v>116</v>
      </c>
      <c r="C125" s="344"/>
      <c r="D125" s="345" t="s">
        <v>463</v>
      </c>
      <c r="E125" s="346" t="s">
        <v>152</v>
      </c>
      <c r="F125" s="347" t="s">
        <v>328</v>
      </c>
      <c r="G125" s="348" t="s">
        <v>763</v>
      </c>
      <c r="H125" s="349">
        <v>1</v>
      </c>
      <c r="I125" s="350">
        <v>3.5799999999999998E-2</v>
      </c>
      <c r="J125" s="350">
        <v>0.10580000000000001</v>
      </c>
      <c r="K125" s="351">
        <v>20120530</v>
      </c>
      <c r="L125" s="351">
        <v>20160527</v>
      </c>
      <c r="M125" s="351">
        <v>20160202</v>
      </c>
      <c r="N125" s="351">
        <v>20160216</v>
      </c>
      <c r="O125" s="352" t="s">
        <v>80</v>
      </c>
      <c r="P125" s="353">
        <v>250000000</v>
      </c>
      <c r="Q125" s="354" t="s">
        <v>80</v>
      </c>
      <c r="R125" s="353">
        <v>250000000</v>
      </c>
      <c r="S125" s="355">
        <v>250000000</v>
      </c>
      <c r="T125" s="355">
        <v>0</v>
      </c>
      <c r="U125" s="355">
        <v>250000000</v>
      </c>
      <c r="V125" s="355">
        <v>6175041</v>
      </c>
      <c r="W125" s="356">
        <v>256175041</v>
      </c>
      <c r="X125" s="357"/>
    </row>
    <row r="126" spans="1:24" s="121" customFormat="1" ht="14.1" customHeight="1">
      <c r="A126" s="87"/>
      <c r="B126" s="343">
        <v>117</v>
      </c>
      <c r="C126" s="344"/>
      <c r="D126" s="345" t="s">
        <v>463</v>
      </c>
      <c r="E126" s="346" t="s">
        <v>152</v>
      </c>
      <c r="F126" s="347" t="s">
        <v>686</v>
      </c>
      <c r="G126" s="348" t="s">
        <v>837</v>
      </c>
      <c r="H126" s="349">
        <v>1</v>
      </c>
      <c r="I126" s="350">
        <v>3.3500000000000002E-2</v>
      </c>
      <c r="J126" s="350">
        <v>0.10349999999999999</v>
      </c>
      <c r="K126" s="351">
        <v>20150107</v>
      </c>
      <c r="L126" s="351">
        <v>20450107</v>
      </c>
      <c r="M126" s="351">
        <v>20160108</v>
      </c>
      <c r="N126" s="351">
        <v>20160217</v>
      </c>
      <c r="O126" s="352" t="s">
        <v>80</v>
      </c>
      <c r="P126" s="353">
        <v>310000000</v>
      </c>
      <c r="Q126" s="354" t="s">
        <v>80</v>
      </c>
      <c r="R126" s="353">
        <v>304413715</v>
      </c>
      <c r="S126" s="355">
        <v>304413715</v>
      </c>
      <c r="T126" s="355">
        <v>1603140</v>
      </c>
      <c r="U126" s="355">
        <v>306016855</v>
      </c>
      <c r="V126" s="355">
        <v>7880757</v>
      </c>
      <c r="W126" s="356">
        <v>313897612</v>
      </c>
      <c r="X126" s="357" t="s">
        <v>1168</v>
      </c>
    </row>
    <row r="127" spans="1:24" s="121" customFormat="1" ht="14.1" customHeight="1">
      <c r="A127" s="87"/>
      <c r="B127" s="343">
        <v>118</v>
      </c>
      <c r="C127" s="344"/>
      <c r="D127" s="345" t="s">
        <v>464</v>
      </c>
      <c r="E127" s="346" t="s">
        <v>130</v>
      </c>
      <c r="F127" s="347" t="s">
        <v>334</v>
      </c>
      <c r="G127" s="348" t="s">
        <v>838</v>
      </c>
      <c r="H127" s="349">
        <v>0</v>
      </c>
      <c r="I127" s="350">
        <v>0.14000000000000001</v>
      </c>
      <c r="J127" s="350">
        <v>0.15</v>
      </c>
      <c r="K127" s="351">
        <v>20111011</v>
      </c>
      <c r="L127" s="351">
        <v>20160411</v>
      </c>
      <c r="M127" s="351">
        <v>20151110</v>
      </c>
      <c r="N127" s="351">
        <v>20151210</v>
      </c>
      <c r="O127" s="352" t="s">
        <v>80</v>
      </c>
      <c r="P127" s="353">
        <v>29000000</v>
      </c>
      <c r="Q127" s="354" t="s">
        <v>80</v>
      </c>
      <c r="R127" s="353">
        <v>29000000</v>
      </c>
      <c r="S127" s="355">
        <v>29000000</v>
      </c>
      <c r="T127" s="355">
        <v>0</v>
      </c>
      <c r="U127" s="355">
        <v>29000000</v>
      </c>
      <c r="V127" s="355">
        <v>2234447</v>
      </c>
      <c r="W127" s="356">
        <v>31234447</v>
      </c>
      <c r="X127" s="357"/>
    </row>
    <row r="128" spans="1:24" s="121" customFormat="1" ht="14.1" customHeight="1">
      <c r="A128" s="87"/>
      <c r="B128" s="343">
        <v>119</v>
      </c>
      <c r="C128" s="344"/>
      <c r="D128" s="345" t="s">
        <v>464</v>
      </c>
      <c r="E128" s="346" t="s">
        <v>130</v>
      </c>
      <c r="F128" s="347" t="s">
        <v>732</v>
      </c>
      <c r="G128" s="348" t="s">
        <v>839</v>
      </c>
      <c r="H128" s="349">
        <v>1</v>
      </c>
      <c r="I128" s="350">
        <v>3.61E-2</v>
      </c>
      <c r="J128" s="350">
        <v>0.11609999999999999</v>
      </c>
      <c r="K128" s="351">
        <v>20050427</v>
      </c>
      <c r="L128" s="351">
        <v>20200427</v>
      </c>
      <c r="M128" s="351">
        <v>20151028</v>
      </c>
      <c r="N128" s="351">
        <v>20151028</v>
      </c>
      <c r="O128" s="352" t="s">
        <v>80</v>
      </c>
      <c r="P128" s="353">
        <v>56000000</v>
      </c>
      <c r="Q128" s="354" t="s">
        <v>80</v>
      </c>
      <c r="R128" s="353">
        <v>21388840</v>
      </c>
      <c r="S128" s="355">
        <v>21388840</v>
      </c>
      <c r="T128" s="355">
        <v>0</v>
      </c>
      <c r="U128" s="355">
        <v>21388840</v>
      </c>
      <c r="V128" s="355">
        <v>888799</v>
      </c>
      <c r="W128" s="356">
        <v>22277639</v>
      </c>
      <c r="X128" s="357"/>
    </row>
    <row r="129" spans="1:24" s="121" customFormat="1" ht="14.1" customHeight="1">
      <c r="A129" s="87"/>
      <c r="B129" s="343">
        <v>120</v>
      </c>
      <c r="C129" s="344"/>
      <c r="D129" s="345" t="s">
        <v>464</v>
      </c>
      <c r="E129" s="346" t="s">
        <v>130</v>
      </c>
      <c r="F129" s="347" t="s">
        <v>732</v>
      </c>
      <c r="G129" s="348" t="s">
        <v>840</v>
      </c>
      <c r="H129" s="349">
        <v>1</v>
      </c>
      <c r="I129" s="350">
        <v>2.7300000000000001E-2</v>
      </c>
      <c r="J129" s="350">
        <v>9.7299999999999998E-2</v>
      </c>
      <c r="K129" s="351">
        <v>20060928</v>
      </c>
      <c r="L129" s="351">
        <v>20260928</v>
      </c>
      <c r="M129" s="351">
        <v>20151201</v>
      </c>
      <c r="N129" s="351">
        <v>20151201</v>
      </c>
      <c r="O129" s="352" t="s">
        <v>80</v>
      </c>
      <c r="P129" s="353">
        <v>100000000</v>
      </c>
      <c r="Q129" s="354" t="s">
        <v>80</v>
      </c>
      <c r="R129" s="353">
        <v>57456076</v>
      </c>
      <c r="S129" s="355">
        <v>57456076</v>
      </c>
      <c r="T129" s="355">
        <v>0</v>
      </c>
      <c r="U129" s="355">
        <v>57456076</v>
      </c>
      <c r="V129" s="355">
        <v>1472932</v>
      </c>
      <c r="W129" s="356">
        <v>58929008</v>
      </c>
      <c r="X129" s="357"/>
    </row>
    <row r="130" spans="1:24" s="121" customFormat="1" ht="14.1" customHeight="1">
      <c r="A130" s="87"/>
      <c r="B130" s="343">
        <v>121</v>
      </c>
      <c r="C130" s="344"/>
      <c r="D130" s="345" t="s">
        <v>464</v>
      </c>
      <c r="E130" s="346" t="s">
        <v>130</v>
      </c>
      <c r="F130" s="347" t="s">
        <v>732</v>
      </c>
      <c r="G130" s="348" t="s">
        <v>841</v>
      </c>
      <c r="H130" s="349">
        <v>1</v>
      </c>
      <c r="I130" s="350">
        <v>2.7300000000000001E-2</v>
      </c>
      <c r="J130" s="350">
        <v>0.10730000000000001</v>
      </c>
      <c r="K130" s="351">
        <v>20061206</v>
      </c>
      <c r="L130" s="351">
        <v>20361206</v>
      </c>
      <c r="M130" s="351">
        <v>20151107</v>
      </c>
      <c r="N130" s="351">
        <v>20151107</v>
      </c>
      <c r="O130" s="352" t="s">
        <v>80</v>
      </c>
      <c r="P130" s="353">
        <v>170000000</v>
      </c>
      <c r="Q130" s="354" t="s">
        <v>80</v>
      </c>
      <c r="R130" s="353">
        <v>124080270</v>
      </c>
      <c r="S130" s="355">
        <v>124080270</v>
      </c>
      <c r="T130" s="355">
        <v>0</v>
      </c>
      <c r="U130" s="355">
        <v>124080270</v>
      </c>
      <c r="V130" s="355">
        <v>4521154</v>
      </c>
      <c r="W130" s="356">
        <v>128601424</v>
      </c>
      <c r="X130" s="357"/>
    </row>
    <row r="131" spans="1:24" s="121" customFormat="1" ht="14.1" customHeight="1">
      <c r="A131" s="87"/>
      <c r="B131" s="343">
        <v>122</v>
      </c>
      <c r="C131" s="344"/>
      <c r="D131" s="345" t="s">
        <v>464</v>
      </c>
      <c r="E131" s="346" t="s">
        <v>130</v>
      </c>
      <c r="F131" s="347" t="s">
        <v>686</v>
      </c>
      <c r="G131" s="348" t="s">
        <v>339</v>
      </c>
      <c r="H131" s="349">
        <v>1</v>
      </c>
      <c r="I131" s="350">
        <v>4.0999999999999995E-2</v>
      </c>
      <c r="J131" s="350">
        <v>0.121</v>
      </c>
      <c r="K131" s="351">
        <v>20130826</v>
      </c>
      <c r="L131" s="351">
        <v>20430826</v>
      </c>
      <c r="M131" s="351">
        <v>20151027</v>
      </c>
      <c r="N131" s="351">
        <v>20151027</v>
      </c>
      <c r="O131" s="352" t="s">
        <v>80</v>
      </c>
      <c r="P131" s="353">
        <v>329990000</v>
      </c>
      <c r="Q131" s="354" t="s">
        <v>80</v>
      </c>
      <c r="R131" s="353">
        <v>307073730</v>
      </c>
      <c r="S131" s="355">
        <v>307073730</v>
      </c>
      <c r="T131" s="355">
        <v>0</v>
      </c>
      <c r="U131" s="355">
        <v>307073730</v>
      </c>
      <c r="V131" s="355">
        <v>14366708</v>
      </c>
      <c r="W131" s="356">
        <v>321440438</v>
      </c>
      <c r="X131" s="357"/>
    </row>
    <row r="132" spans="1:24" s="121" customFormat="1" ht="14.1" customHeight="1">
      <c r="A132" s="87"/>
      <c r="B132" s="343">
        <v>123</v>
      </c>
      <c r="C132" s="344"/>
      <c r="D132" s="345" t="s">
        <v>465</v>
      </c>
      <c r="E132" s="346" t="s">
        <v>175</v>
      </c>
      <c r="F132" s="347" t="s">
        <v>732</v>
      </c>
      <c r="G132" s="348" t="s">
        <v>842</v>
      </c>
      <c r="H132" s="349">
        <v>1</v>
      </c>
      <c r="I132" s="350">
        <v>2.7300000000000001E-2</v>
      </c>
      <c r="J132" s="350">
        <v>9.7299999999999998E-2</v>
      </c>
      <c r="K132" s="351">
        <v>20050830</v>
      </c>
      <c r="L132" s="351">
        <v>20350830</v>
      </c>
      <c r="M132" s="351">
        <v>20151209</v>
      </c>
      <c r="N132" s="351">
        <v>20160212</v>
      </c>
      <c r="O132" s="352" t="s">
        <v>80</v>
      </c>
      <c r="P132" s="353">
        <v>840000000</v>
      </c>
      <c r="Q132" s="354" t="s">
        <v>80</v>
      </c>
      <c r="R132" s="353">
        <v>519998788</v>
      </c>
      <c r="S132" s="355">
        <v>519998788</v>
      </c>
      <c r="T132" s="355">
        <v>1962180</v>
      </c>
      <c r="U132" s="355">
        <v>521960968</v>
      </c>
      <c r="V132" s="355">
        <v>13811274</v>
      </c>
      <c r="W132" s="356">
        <v>535772242</v>
      </c>
      <c r="X132" s="357" t="s">
        <v>1168</v>
      </c>
    </row>
    <row r="133" spans="1:24" s="121" customFormat="1" ht="14.1" customHeight="1">
      <c r="A133" s="87"/>
      <c r="B133" s="343">
        <v>124</v>
      </c>
      <c r="C133" s="344"/>
      <c r="D133" s="345" t="s">
        <v>465</v>
      </c>
      <c r="E133" s="346" t="s">
        <v>175</v>
      </c>
      <c r="F133" s="347" t="s">
        <v>335</v>
      </c>
      <c r="G133" s="348" t="s">
        <v>843</v>
      </c>
      <c r="H133" s="349">
        <v>1</v>
      </c>
      <c r="I133" s="350">
        <v>6.8000000000000005E-2</v>
      </c>
      <c r="J133" s="350">
        <v>0.14800000000000002</v>
      </c>
      <c r="K133" s="351">
        <v>20151019</v>
      </c>
      <c r="L133" s="351">
        <v>20151119</v>
      </c>
      <c r="M133" s="351">
        <v>20151120</v>
      </c>
      <c r="N133" s="351">
        <v>20151120</v>
      </c>
      <c r="O133" s="352" t="s">
        <v>80</v>
      </c>
      <c r="P133" s="353">
        <v>15000000</v>
      </c>
      <c r="Q133" s="354" t="s">
        <v>80</v>
      </c>
      <c r="R133" s="353">
        <v>15000000</v>
      </c>
      <c r="S133" s="355">
        <v>15000000</v>
      </c>
      <c r="T133" s="355">
        <v>0</v>
      </c>
      <c r="U133" s="355">
        <v>15000000</v>
      </c>
      <c r="V133" s="355">
        <v>923080</v>
      </c>
      <c r="W133" s="356">
        <v>15923080</v>
      </c>
      <c r="X133" s="357"/>
    </row>
    <row r="134" spans="1:24" s="121" customFormat="1" ht="14.1" customHeight="1">
      <c r="A134" s="87"/>
      <c r="B134" s="343">
        <v>125</v>
      </c>
      <c r="C134" s="344"/>
      <c r="D134" s="345" t="s">
        <v>466</v>
      </c>
      <c r="E134" s="346" t="s">
        <v>152</v>
      </c>
      <c r="F134" s="347" t="s">
        <v>733</v>
      </c>
      <c r="G134" s="348" t="s">
        <v>844</v>
      </c>
      <c r="H134" s="349">
        <v>1</v>
      </c>
      <c r="I134" s="350">
        <v>2.4E-2</v>
      </c>
      <c r="J134" s="350">
        <v>0.10400000000000001</v>
      </c>
      <c r="K134" s="351">
        <v>20111221</v>
      </c>
      <c r="L134" s="351">
        <v>20411221</v>
      </c>
      <c r="M134" s="351">
        <v>20150924</v>
      </c>
      <c r="N134" s="351">
        <v>20151124</v>
      </c>
      <c r="O134" s="352" t="s">
        <v>80</v>
      </c>
      <c r="P134" s="353">
        <v>525100000</v>
      </c>
      <c r="Q134" s="354" t="s">
        <v>80</v>
      </c>
      <c r="R134" s="353">
        <v>525100000</v>
      </c>
      <c r="S134" s="355">
        <v>525100000</v>
      </c>
      <c r="T134" s="355">
        <v>5598580</v>
      </c>
      <c r="U134" s="355">
        <v>530698580</v>
      </c>
      <c r="V134" s="355">
        <v>25302141</v>
      </c>
      <c r="W134" s="356">
        <v>556000721</v>
      </c>
      <c r="X134" s="357" t="s">
        <v>1170</v>
      </c>
    </row>
    <row r="135" spans="1:24" s="121" customFormat="1" ht="14.1" customHeight="1">
      <c r="A135" s="87"/>
      <c r="B135" s="343">
        <v>126</v>
      </c>
      <c r="C135" s="344"/>
      <c r="D135" s="345" t="s">
        <v>467</v>
      </c>
      <c r="E135" s="346" t="s">
        <v>175</v>
      </c>
      <c r="F135" s="347" t="s">
        <v>734</v>
      </c>
      <c r="G135" s="348" t="s">
        <v>845</v>
      </c>
      <c r="H135" s="349">
        <v>0</v>
      </c>
      <c r="I135" s="350">
        <v>0.14000000000000001</v>
      </c>
      <c r="J135" s="350">
        <v>0.15</v>
      </c>
      <c r="K135" s="351">
        <v>20120417</v>
      </c>
      <c r="L135" s="351">
        <v>20151130</v>
      </c>
      <c r="M135" s="351">
        <v>20151201</v>
      </c>
      <c r="N135" s="351">
        <v>20151201</v>
      </c>
      <c r="O135" s="352" t="s">
        <v>80</v>
      </c>
      <c r="P135" s="353">
        <v>17500000</v>
      </c>
      <c r="Q135" s="354" t="s">
        <v>80</v>
      </c>
      <c r="R135" s="353">
        <v>17288990</v>
      </c>
      <c r="S135" s="355">
        <v>17288990</v>
      </c>
      <c r="T135" s="355">
        <v>0</v>
      </c>
      <c r="U135" s="355">
        <v>17288990</v>
      </c>
      <c r="V135" s="355">
        <v>702254</v>
      </c>
      <c r="W135" s="356">
        <v>17991244</v>
      </c>
      <c r="X135" s="357"/>
    </row>
    <row r="136" spans="1:24" s="121" customFormat="1" ht="14.1" customHeight="1">
      <c r="A136" s="87"/>
      <c r="B136" s="343">
        <v>127</v>
      </c>
      <c r="C136" s="344"/>
      <c r="D136" s="345" t="s">
        <v>467</v>
      </c>
      <c r="E136" s="346" t="s">
        <v>175</v>
      </c>
      <c r="F136" s="347" t="s">
        <v>727</v>
      </c>
      <c r="G136" s="348" t="s">
        <v>846</v>
      </c>
      <c r="H136" s="349">
        <v>1</v>
      </c>
      <c r="I136" s="350">
        <v>2.2000000000000002E-2</v>
      </c>
      <c r="J136" s="350">
        <v>9.1999999999999998E-2</v>
      </c>
      <c r="K136" s="351">
        <v>20110701</v>
      </c>
      <c r="L136" s="351">
        <v>20410701</v>
      </c>
      <c r="M136" s="351">
        <v>20151202</v>
      </c>
      <c r="N136" s="351">
        <v>20160202</v>
      </c>
      <c r="O136" s="352" t="s">
        <v>80</v>
      </c>
      <c r="P136" s="353">
        <v>497100000</v>
      </c>
      <c r="Q136" s="354" t="s">
        <v>80</v>
      </c>
      <c r="R136" s="353">
        <v>491600000</v>
      </c>
      <c r="S136" s="355">
        <v>491600000</v>
      </c>
      <c r="T136" s="355">
        <v>0</v>
      </c>
      <c r="U136" s="355">
        <v>491600000</v>
      </c>
      <c r="V136" s="355">
        <v>13275759</v>
      </c>
      <c r="W136" s="356">
        <v>504875759</v>
      </c>
      <c r="X136" s="357"/>
    </row>
    <row r="137" spans="1:24" s="121" customFormat="1" ht="14.1" customHeight="1">
      <c r="A137" s="87"/>
      <c r="B137" s="343">
        <v>128</v>
      </c>
      <c r="C137" s="344"/>
      <c r="D137" s="345" t="s">
        <v>468</v>
      </c>
      <c r="E137" s="346" t="s">
        <v>138</v>
      </c>
      <c r="F137" s="347" t="s">
        <v>732</v>
      </c>
      <c r="G137" s="348" t="s">
        <v>847</v>
      </c>
      <c r="H137" s="349">
        <v>1</v>
      </c>
      <c r="I137" s="350">
        <v>2.8399999999999998E-2</v>
      </c>
      <c r="J137" s="350">
        <v>0.1084</v>
      </c>
      <c r="K137" s="351">
        <v>20050513</v>
      </c>
      <c r="L137" s="351">
        <v>20350513</v>
      </c>
      <c r="M137" s="351">
        <v>20151114</v>
      </c>
      <c r="N137" s="351">
        <v>20151114</v>
      </c>
      <c r="O137" s="352" t="s">
        <v>80</v>
      </c>
      <c r="P137" s="353">
        <v>40000000</v>
      </c>
      <c r="Q137" s="354" t="s">
        <v>80</v>
      </c>
      <c r="R137" s="353">
        <v>39166510</v>
      </c>
      <c r="S137" s="355">
        <v>39166510</v>
      </c>
      <c r="T137" s="355">
        <v>1887210</v>
      </c>
      <c r="U137" s="355">
        <v>41053720</v>
      </c>
      <c r="V137" s="355">
        <v>1329245</v>
      </c>
      <c r="W137" s="356">
        <v>42382965</v>
      </c>
      <c r="X137" s="357" t="s">
        <v>1168</v>
      </c>
    </row>
    <row r="138" spans="1:24" s="121" customFormat="1" ht="14.1" customHeight="1">
      <c r="A138" s="87"/>
      <c r="B138" s="343">
        <v>129</v>
      </c>
      <c r="C138" s="344"/>
      <c r="D138" s="345" t="s">
        <v>468</v>
      </c>
      <c r="E138" s="346" t="s">
        <v>138</v>
      </c>
      <c r="F138" s="347" t="s">
        <v>732</v>
      </c>
      <c r="G138" s="348" t="s">
        <v>848</v>
      </c>
      <c r="H138" s="349">
        <v>1</v>
      </c>
      <c r="I138" s="350">
        <v>2.5499999999999998E-2</v>
      </c>
      <c r="J138" s="350">
        <v>0.10550000000000001</v>
      </c>
      <c r="K138" s="351">
        <v>20060210</v>
      </c>
      <c r="L138" s="351">
        <v>20360210</v>
      </c>
      <c r="M138" s="351">
        <v>20151110</v>
      </c>
      <c r="N138" s="351">
        <v>20160112</v>
      </c>
      <c r="O138" s="352" t="s">
        <v>80</v>
      </c>
      <c r="P138" s="353">
        <v>385000000</v>
      </c>
      <c r="Q138" s="354" t="s">
        <v>80</v>
      </c>
      <c r="R138" s="353">
        <v>385000000</v>
      </c>
      <c r="S138" s="355">
        <v>385000000</v>
      </c>
      <c r="T138" s="355">
        <v>0</v>
      </c>
      <c r="U138" s="355">
        <v>385000000</v>
      </c>
      <c r="V138" s="355">
        <v>13062342</v>
      </c>
      <c r="W138" s="356">
        <v>398062342</v>
      </c>
      <c r="X138" s="357"/>
    </row>
    <row r="139" spans="1:24" s="121" customFormat="1" ht="14.1" customHeight="1">
      <c r="A139" s="87"/>
      <c r="B139" s="343">
        <v>130</v>
      </c>
      <c r="C139" s="344"/>
      <c r="D139" s="345" t="s">
        <v>468</v>
      </c>
      <c r="E139" s="346" t="s">
        <v>138</v>
      </c>
      <c r="F139" s="347" t="s">
        <v>335</v>
      </c>
      <c r="G139" s="348" t="s">
        <v>849</v>
      </c>
      <c r="H139" s="349">
        <v>1</v>
      </c>
      <c r="I139" s="350">
        <v>0.06</v>
      </c>
      <c r="J139" s="350">
        <v>0.14000000000000001</v>
      </c>
      <c r="K139" s="351">
        <v>20150608</v>
      </c>
      <c r="L139" s="351">
        <v>20151108</v>
      </c>
      <c r="M139" s="351">
        <v>20151110</v>
      </c>
      <c r="N139" s="351">
        <v>20151110</v>
      </c>
      <c r="O139" s="352" t="s">
        <v>80</v>
      </c>
      <c r="P139" s="353">
        <v>95000000</v>
      </c>
      <c r="Q139" s="354" t="s">
        <v>80</v>
      </c>
      <c r="R139" s="353">
        <v>78000000</v>
      </c>
      <c r="S139" s="355">
        <v>78000000</v>
      </c>
      <c r="T139" s="355">
        <v>0</v>
      </c>
      <c r="U139" s="355">
        <v>78000000</v>
      </c>
      <c r="V139" s="355">
        <v>5119359</v>
      </c>
      <c r="W139" s="356">
        <v>83119359</v>
      </c>
      <c r="X139" s="357"/>
    </row>
    <row r="140" spans="1:24" s="121" customFormat="1" ht="14.1" customHeight="1">
      <c r="A140" s="87"/>
      <c r="B140" s="343">
        <v>131</v>
      </c>
      <c r="C140" s="344"/>
      <c r="D140" s="345" t="s">
        <v>469</v>
      </c>
      <c r="E140" s="346" t="s">
        <v>234</v>
      </c>
      <c r="F140" s="347" t="s">
        <v>735</v>
      </c>
      <c r="G140" s="348" t="s">
        <v>850</v>
      </c>
      <c r="H140" s="349">
        <v>1</v>
      </c>
      <c r="I140" s="350">
        <v>3.73E-2</v>
      </c>
      <c r="J140" s="350">
        <v>0.10730000000000001</v>
      </c>
      <c r="K140" s="351">
        <v>20120409</v>
      </c>
      <c r="L140" s="351">
        <v>20160229</v>
      </c>
      <c r="M140" s="351">
        <v>20160301</v>
      </c>
      <c r="N140" s="351">
        <v>20160301</v>
      </c>
      <c r="O140" s="352" t="s">
        <v>80</v>
      </c>
      <c r="P140" s="353">
        <v>500000000</v>
      </c>
      <c r="Q140" s="354" t="s">
        <v>80</v>
      </c>
      <c r="R140" s="353">
        <v>500000000</v>
      </c>
      <c r="S140" s="355">
        <v>500000000</v>
      </c>
      <c r="T140" s="355">
        <v>0</v>
      </c>
      <c r="U140" s="355">
        <v>500000000</v>
      </c>
      <c r="V140" s="355">
        <v>9143303</v>
      </c>
      <c r="W140" s="356">
        <v>509143303</v>
      </c>
      <c r="X140" s="357"/>
    </row>
    <row r="141" spans="1:24" s="121" customFormat="1" ht="14.1" customHeight="1">
      <c r="A141" s="87"/>
      <c r="B141" s="343">
        <v>132</v>
      </c>
      <c r="C141" s="344"/>
      <c r="D141" s="345" t="s">
        <v>470</v>
      </c>
      <c r="E141" s="346" t="s">
        <v>168</v>
      </c>
      <c r="F141" s="347" t="s">
        <v>736</v>
      </c>
      <c r="G141" s="348" t="s">
        <v>816</v>
      </c>
      <c r="H141" s="349">
        <v>1</v>
      </c>
      <c r="I141" s="350">
        <v>4.5999999999999999E-2</v>
      </c>
      <c r="J141" s="350">
        <v>0.11599999999999999</v>
      </c>
      <c r="K141" s="351">
        <v>20120911</v>
      </c>
      <c r="L141" s="351">
        <v>20420911</v>
      </c>
      <c r="M141" s="351">
        <v>20160105</v>
      </c>
      <c r="N141" s="351">
        <v>20160305</v>
      </c>
      <c r="O141" s="352" t="s">
        <v>80</v>
      </c>
      <c r="P141" s="353">
        <v>498000000</v>
      </c>
      <c r="Q141" s="354" t="s">
        <v>80</v>
      </c>
      <c r="R141" s="353">
        <v>497999610</v>
      </c>
      <c r="S141" s="355">
        <v>497999610</v>
      </c>
      <c r="T141" s="355">
        <v>5347730</v>
      </c>
      <c r="U141" s="355">
        <v>503347340</v>
      </c>
      <c r="V141" s="355">
        <v>13411490</v>
      </c>
      <c r="W141" s="356">
        <v>516758830</v>
      </c>
      <c r="X141" s="357" t="s">
        <v>1168</v>
      </c>
    </row>
    <row r="142" spans="1:24" s="121" customFormat="1" ht="14.1" customHeight="1">
      <c r="A142" s="87"/>
      <c r="B142" s="343">
        <v>133</v>
      </c>
      <c r="C142" s="344"/>
      <c r="D142" s="345" t="s">
        <v>471</v>
      </c>
      <c r="E142" s="346" t="s">
        <v>130</v>
      </c>
      <c r="F142" s="347" t="s">
        <v>685</v>
      </c>
      <c r="G142" s="348" t="s">
        <v>851</v>
      </c>
      <c r="H142" s="349">
        <v>1</v>
      </c>
      <c r="I142" s="350">
        <v>3.15E-2</v>
      </c>
      <c r="J142" s="350">
        <v>0.1115</v>
      </c>
      <c r="K142" s="351">
        <v>20120229</v>
      </c>
      <c r="L142" s="351">
        <v>20170228</v>
      </c>
      <c r="M142" s="351">
        <v>20151030</v>
      </c>
      <c r="N142" s="351">
        <v>20151230</v>
      </c>
      <c r="O142" s="352" t="s">
        <v>80</v>
      </c>
      <c r="P142" s="353">
        <v>487000000</v>
      </c>
      <c r="Q142" s="354" t="s">
        <v>80</v>
      </c>
      <c r="R142" s="353">
        <v>487000000</v>
      </c>
      <c r="S142" s="355">
        <v>487000000</v>
      </c>
      <c r="T142" s="355">
        <v>5340770</v>
      </c>
      <c r="U142" s="355">
        <v>492340770</v>
      </c>
      <c r="V142" s="355">
        <v>20523645</v>
      </c>
      <c r="W142" s="356">
        <v>512864415</v>
      </c>
      <c r="X142" s="357" t="s">
        <v>1168</v>
      </c>
    </row>
    <row r="143" spans="1:24" s="121" customFormat="1" ht="14.1" customHeight="1">
      <c r="A143" s="87"/>
      <c r="B143" s="343">
        <v>134</v>
      </c>
      <c r="C143" s="344"/>
      <c r="D143" s="345" t="s">
        <v>472</v>
      </c>
      <c r="E143" s="346" t="s">
        <v>152</v>
      </c>
      <c r="F143" s="347" t="s">
        <v>727</v>
      </c>
      <c r="G143" s="348" t="s">
        <v>852</v>
      </c>
      <c r="H143" s="349">
        <v>1</v>
      </c>
      <c r="I143" s="350">
        <v>2.12E-2</v>
      </c>
      <c r="J143" s="350">
        <v>9.1199999999999989E-2</v>
      </c>
      <c r="K143" s="351">
        <v>20111010</v>
      </c>
      <c r="L143" s="351">
        <v>20411010</v>
      </c>
      <c r="M143" s="351">
        <v>20160112</v>
      </c>
      <c r="N143" s="351">
        <v>20160312</v>
      </c>
      <c r="O143" s="352" t="s">
        <v>80</v>
      </c>
      <c r="P143" s="353">
        <v>412800000</v>
      </c>
      <c r="Q143" s="354" t="s">
        <v>80</v>
      </c>
      <c r="R143" s="353">
        <v>412800000</v>
      </c>
      <c r="S143" s="355">
        <v>412800000</v>
      </c>
      <c r="T143" s="355">
        <v>0</v>
      </c>
      <c r="U143" s="355">
        <v>412800000</v>
      </c>
      <c r="V143" s="355">
        <v>6981608</v>
      </c>
      <c r="W143" s="356">
        <v>419781608</v>
      </c>
      <c r="X143" s="357"/>
    </row>
    <row r="144" spans="1:24" s="121" customFormat="1" ht="14.1" customHeight="1">
      <c r="A144" s="87"/>
      <c r="B144" s="343">
        <v>135</v>
      </c>
      <c r="C144" s="344"/>
      <c r="D144" s="345" t="s">
        <v>472</v>
      </c>
      <c r="E144" s="346" t="s">
        <v>152</v>
      </c>
      <c r="F144" s="347" t="s">
        <v>737</v>
      </c>
      <c r="G144" s="348" t="s">
        <v>853</v>
      </c>
      <c r="H144" s="349">
        <v>1</v>
      </c>
      <c r="I144" s="350">
        <v>3.0200000000000001E-2</v>
      </c>
      <c r="J144" s="350">
        <v>0.1002</v>
      </c>
      <c r="K144" s="351">
        <v>20131018</v>
      </c>
      <c r="L144" s="351">
        <v>20181020</v>
      </c>
      <c r="M144" s="351">
        <v>20160121</v>
      </c>
      <c r="N144" s="351">
        <v>20160121</v>
      </c>
      <c r="O144" s="352" t="s">
        <v>80</v>
      </c>
      <c r="P144" s="353">
        <v>70000000</v>
      </c>
      <c r="Q144" s="354" t="s">
        <v>80</v>
      </c>
      <c r="R144" s="353">
        <v>70000000</v>
      </c>
      <c r="S144" s="355">
        <v>70000000</v>
      </c>
      <c r="T144" s="355">
        <v>0</v>
      </c>
      <c r="U144" s="355">
        <v>70000000</v>
      </c>
      <c r="V144" s="355">
        <v>1831163</v>
      </c>
      <c r="W144" s="356">
        <v>71831163</v>
      </c>
      <c r="X144" s="357"/>
    </row>
    <row r="145" spans="1:24" s="121" customFormat="1" ht="14.1" customHeight="1">
      <c r="A145" s="87"/>
      <c r="B145" s="343">
        <v>136</v>
      </c>
      <c r="C145" s="344"/>
      <c r="D145" s="345" t="s">
        <v>473</v>
      </c>
      <c r="E145" s="346" t="s">
        <v>137</v>
      </c>
      <c r="F145" s="347" t="s">
        <v>335</v>
      </c>
      <c r="G145" s="348" t="s">
        <v>330</v>
      </c>
      <c r="H145" s="349">
        <v>1</v>
      </c>
      <c r="I145" s="350">
        <v>4.58E-2</v>
      </c>
      <c r="J145" s="350">
        <v>0.1158</v>
      </c>
      <c r="K145" s="351">
        <v>20101007</v>
      </c>
      <c r="L145" s="351">
        <v>20160507</v>
      </c>
      <c r="M145" s="351">
        <v>20160108</v>
      </c>
      <c r="N145" s="351">
        <v>20160212</v>
      </c>
      <c r="O145" s="352" t="s">
        <v>80</v>
      </c>
      <c r="P145" s="353">
        <v>630000000</v>
      </c>
      <c r="Q145" s="354" t="s">
        <v>80</v>
      </c>
      <c r="R145" s="353">
        <v>330000000</v>
      </c>
      <c r="S145" s="355">
        <v>330000000</v>
      </c>
      <c r="T145" s="355">
        <v>0</v>
      </c>
      <c r="U145" s="355">
        <v>330000000</v>
      </c>
      <c r="V145" s="355">
        <v>10447232</v>
      </c>
      <c r="W145" s="356">
        <v>340447232</v>
      </c>
      <c r="X145" s="357"/>
    </row>
    <row r="146" spans="1:24" s="121" customFormat="1" ht="14.1" customHeight="1">
      <c r="A146" s="87"/>
      <c r="B146" s="343">
        <v>137</v>
      </c>
      <c r="C146" s="344"/>
      <c r="D146" s="345" t="s">
        <v>473</v>
      </c>
      <c r="E146" s="346" t="s">
        <v>137</v>
      </c>
      <c r="F146" s="347" t="s">
        <v>732</v>
      </c>
      <c r="G146" s="348" t="s">
        <v>854</v>
      </c>
      <c r="H146" s="349">
        <v>1</v>
      </c>
      <c r="I146" s="350">
        <v>2.92E-2</v>
      </c>
      <c r="J146" s="350">
        <v>9.9199999999999997E-2</v>
      </c>
      <c r="K146" s="351">
        <v>20101007</v>
      </c>
      <c r="L146" s="351">
        <v>20401007</v>
      </c>
      <c r="M146" s="351">
        <v>20160108</v>
      </c>
      <c r="N146" s="351">
        <v>20160223</v>
      </c>
      <c r="O146" s="352" t="s">
        <v>80</v>
      </c>
      <c r="P146" s="353">
        <v>150000000</v>
      </c>
      <c r="Q146" s="354" t="s">
        <v>80</v>
      </c>
      <c r="R146" s="353">
        <v>150000000</v>
      </c>
      <c r="S146" s="355">
        <v>150000000</v>
      </c>
      <c r="T146" s="355">
        <v>0</v>
      </c>
      <c r="U146" s="355">
        <v>150000000</v>
      </c>
      <c r="V146" s="355">
        <v>3564923</v>
      </c>
      <c r="W146" s="356">
        <v>153564923</v>
      </c>
      <c r="X146" s="357"/>
    </row>
    <row r="147" spans="1:24" s="121" customFormat="1" ht="14.1" customHeight="1">
      <c r="A147" s="87"/>
      <c r="B147" s="343">
        <v>138</v>
      </c>
      <c r="C147" s="344"/>
      <c r="D147" s="345" t="s">
        <v>474</v>
      </c>
      <c r="E147" s="346" t="s">
        <v>175</v>
      </c>
      <c r="F147" s="347" t="s">
        <v>329</v>
      </c>
      <c r="G147" s="348" t="s">
        <v>855</v>
      </c>
      <c r="H147" s="349">
        <v>0</v>
      </c>
      <c r="I147" s="350">
        <v>3.6499999999999998E-2</v>
      </c>
      <c r="J147" s="350">
        <v>0.15</v>
      </c>
      <c r="K147" s="351">
        <v>20040923</v>
      </c>
      <c r="L147" s="351">
        <v>20160221</v>
      </c>
      <c r="M147" s="351">
        <v>20160112</v>
      </c>
      <c r="N147" s="351">
        <v>20160112</v>
      </c>
      <c r="O147" s="352" t="s">
        <v>80</v>
      </c>
      <c r="P147" s="353">
        <v>100000000</v>
      </c>
      <c r="Q147" s="354" t="s">
        <v>80</v>
      </c>
      <c r="R147" s="353">
        <v>71843571</v>
      </c>
      <c r="S147" s="355">
        <v>71843571</v>
      </c>
      <c r="T147" s="355">
        <v>0</v>
      </c>
      <c r="U147" s="355">
        <v>71843571</v>
      </c>
      <c r="V147" s="355">
        <v>4104546</v>
      </c>
      <c r="W147" s="356">
        <v>75948117</v>
      </c>
      <c r="X147" s="357"/>
    </row>
    <row r="148" spans="1:24" s="121" customFormat="1" ht="14.1" customHeight="1">
      <c r="A148" s="87"/>
      <c r="B148" s="343">
        <v>139</v>
      </c>
      <c r="C148" s="344"/>
      <c r="D148" s="345" t="s">
        <v>474</v>
      </c>
      <c r="E148" s="346" t="s">
        <v>175</v>
      </c>
      <c r="F148" s="347" t="s">
        <v>328</v>
      </c>
      <c r="G148" s="348" t="s">
        <v>856</v>
      </c>
      <c r="H148" s="349">
        <v>1</v>
      </c>
      <c r="I148" s="350">
        <v>3.8100000000000002E-2</v>
      </c>
      <c r="J148" s="350">
        <v>0.11650000000000001</v>
      </c>
      <c r="K148" s="351">
        <v>20120730</v>
      </c>
      <c r="L148" s="351">
        <v>20151130</v>
      </c>
      <c r="M148" s="351">
        <v>20151201</v>
      </c>
      <c r="N148" s="351">
        <v>20151201</v>
      </c>
      <c r="O148" s="352" t="s">
        <v>80</v>
      </c>
      <c r="P148" s="353">
        <v>45000000</v>
      </c>
      <c r="Q148" s="354" t="s">
        <v>80</v>
      </c>
      <c r="R148" s="353">
        <v>6604095</v>
      </c>
      <c r="S148" s="355">
        <v>6604095</v>
      </c>
      <c r="T148" s="355">
        <v>0</v>
      </c>
      <c r="U148" s="355">
        <v>6604095</v>
      </c>
      <c r="V148" s="355">
        <v>223288</v>
      </c>
      <c r="W148" s="356">
        <v>6827383</v>
      </c>
      <c r="X148" s="357"/>
    </row>
    <row r="149" spans="1:24" s="121" customFormat="1" ht="14.1" customHeight="1">
      <c r="A149" s="87"/>
      <c r="B149" s="343">
        <v>140</v>
      </c>
      <c r="C149" s="344"/>
      <c r="D149" s="345" t="s">
        <v>474</v>
      </c>
      <c r="E149" s="346" t="s">
        <v>175</v>
      </c>
      <c r="F149" s="347" t="s">
        <v>328</v>
      </c>
      <c r="G149" s="348" t="s">
        <v>857</v>
      </c>
      <c r="H149" s="349">
        <v>1</v>
      </c>
      <c r="I149" s="350">
        <v>7.5499999999999998E-2</v>
      </c>
      <c r="J149" s="350">
        <v>0.11810000000000001</v>
      </c>
      <c r="K149" s="351">
        <v>20131025</v>
      </c>
      <c r="L149" s="351">
        <v>20160729</v>
      </c>
      <c r="M149" s="351">
        <v>20160113</v>
      </c>
      <c r="N149" s="351">
        <v>20160113</v>
      </c>
      <c r="O149" s="352" t="s">
        <v>80</v>
      </c>
      <c r="P149" s="353">
        <v>82000000</v>
      </c>
      <c r="Q149" s="354" t="s">
        <v>80</v>
      </c>
      <c r="R149" s="353">
        <v>16292740</v>
      </c>
      <c r="S149" s="355">
        <v>16292740</v>
      </c>
      <c r="T149" s="355">
        <v>0</v>
      </c>
      <c r="U149" s="355">
        <v>16292740</v>
      </c>
      <c r="V149" s="355">
        <v>533082</v>
      </c>
      <c r="W149" s="356">
        <v>16825822</v>
      </c>
      <c r="X149" s="357"/>
    </row>
    <row r="150" spans="1:24" s="121" customFormat="1" ht="14.1" customHeight="1">
      <c r="A150" s="87"/>
      <c r="B150" s="343">
        <v>141</v>
      </c>
      <c r="C150" s="344"/>
      <c r="D150" s="345" t="s">
        <v>474</v>
      </c>
      <c r="E150" s="346" t="s">
        <v>175</v>
      </c>
      <c r="F150" s="347" t="s">
        <v>328</v>
      </c>
      <c r="G150" s="348" t="s">
        <v>858</v>
      </c>
      <c r="H150" s="349">
        <v>1</v>
      </c>
      <c r="I150" s="350">
        <v>9.0559999999999988E-2</v>
      </c>
      <c r="J150" s="350">
        <v>0.15</v>
      </c>
      <c r="K150" s="351">
        <v>20131114</v>
      </c>
      <c r="L150" s="351">
        <v>20160221</v>
      </c>
      <c r="M150" s="351">
        <v>20160113</v>
      </c>
      <c r="N150" s="351">
        <v>20160113</v>
      </c>
      <c r="O150" s="352" t="s">
        <v>80</v>
      </c>
      <c r="P150" s="353">
        <v>385000000</v>
      </c>
      <c r="Q150" s="354" t="s">
        <v>80</v>
      </c>
      <c r="R150" s="353">
        <v>383122470</v>
      </c>
      <c r="S150" s="355">
        <v>383122470</v>
      </c>
      <c r="T150" s="355">
        <v>0</v>
      </c>
      <c r="U150" s="355">
        <v>383122470</v>
      </c>
      <c r="V150" s="355">
        <v>18224491</v>
      </c>
      <c r="W150" s="356">
        <v>401346961</v>
      </c>
      <c r="X150" s="357"/>
    </row>
    <row r="151" spans="1:24" s="121" customFormat="1" ht="14.1" customHeight="1">
      <c r="A151" s="87"/>
      <c r="B151" s="343">
        <v>142</v>
      </c>
      <c r="C151" s="344"/>
      <c r="D151" s="345" t="s">
        <v>475</v>
      </c>
      <c r="E151" s="346" t="s">
        <v>175</v>
      </c>
      <c r="F151" s="347" t="s">
        <v>685</v>
      </c>
      <c r="G151" s="348" t="s">
        <v>859</v>
      </c>
      <c r="H151" s="349">
        <v>1</v>
      </c>
      <c r="I151" s="350">
        <v>2.18E-2</v>
      </c>
      <c r="J151" s="350">
        <v>9.1799999999999993E-2</v>
      </c>
      <c r="K151" s="351">
        <v>20110614</v>
      </c>
      <c r="L151" s="351">
        <v>20160614</v>
      </c>
      <c r="M151" s="351">
        <v>20160116</v>
      </c>
      <c r="N151" s="351">
        <v>20160316</v>
      </c>
      <c r="O151" s="352" t="s">
        <v>80</v>
      </c>
      <c r="P151" s="353">
        <v>444800000</v>
      </c>
      <c r="Q151" s="354" t="s">
        <v>80</v>
      </c>
      <c r="R151" s="353">
        <v>444800000</v>
      </c>
      <c r="S151" s="355">
        <v>444800000</v>
      </c>
      <c r="T151" s="355">
        <v>19834226</v>
      </c>
      <c r="U151" s="355">
        <v>464634226</v>
      </c>
      <c r="V151" s="355">
        <v>6856202</v>
      </c>
      <c r="W151" s="356">
        <v>471490428</v>
      </c>
      <c r="X151" s="357" t="s">
        <v>1168</v>
      </c>
    </row>
    <row r="152" spans="1:24" s="121" customFormat="1" ht="14.1" customHeight="1">
      <c r="A152" s="87"/>
      <c r="B152" s="343">
        <v>143</v>
      </c>
      <c r="C152" s="344"/>
      <c r="D152" s="345" t="s">
        <v>476</v>
      </c>
      <c r="E152" s="346" t="s">
        <v>168</v>
      </c>
      <c r="F152" s="347" t="s">
        <v>328</v>
      </c>
      <c r="G152" s="348" t="s">
        <v>860</v>
      </c>
      <c r="H152" s="349">
        <v>1</v>
      </c>
      <c r="I152" s="350">
        <v>0.12</v>
      </c>
      <c r="J152" s="350">
        <v>0.15</v>
      </c>
      <c r="K152" s="351">
        <v>20151020</v>
      </c>
      <c r="L152" s="351">
        <v>20151217</v>
      </c>
      <c r="M152" s="351">
        <v>20151121</v>
      </c>
      <c r="N152" s="351">
        <v>20151205</v>
      </c>
      <c r="O152" s="352" t="s">
        <v>80</v>
      </c>
      <c r="P152" s="353">
        <v>460000000</v>
      </c>
      <c r="Q152" s="354" t="s">
        <v>80</v>
      </c>
      <c r="R152" s="353">
        <v>460000000</v>
      </c>
      <c r="S152" s="355">
        <v>460000000</v>
      </c>
      <c r="T152" s="355">
        <v>0</v>
      </c>
      <c r="U152" s="355">
        <v>460000000</v>
      </c>
      <c r="V152" s="355">
        <v>34333694</v>
      </c>
      <c r="W152" s="356">
        <v>494333694</v>
      </c>
      <c r="X152" s="357"/>
    </row>
    <row r="153" spans="1:24" s="121" customFormat="1" ht="14.1" customHeight="1">
      <c r="A153" s="87"/>
      <c r="B153" s="343">
        <v>144</v>
      </c>
      <c r="C153" s="344"/>
      <c r="D153" s="345" t="s">
        <v>477</v>
      </c>
      <c r="E153" s="346" t="s">
        <v>148</v>
      </c>
      <c r="F153" s="347" t="s">
        <v>685</v>
      </c>
      <c r="G153" s="348" t="s">
        <v>363</v>
      </c>
      <c r="H153" s="349">
        <v>1</v>
      </c>
      <c r="I153" s="350">
        <v>4.1399999999999999E-2</v>
      </c>
      <c r="J153" s="350">
        <v>0.1114</v>
      </c>
      <c r="K153" s="351">
        <v>20100625</v>
      </c>
      <c r="L153" s="351">
        <v>20160126</v>
      </c>
      <c r="M153" s="351">
        <v>20160127</v>
      </c>
      <c r="N153" s="351">
        <v>20160127</v>
      </c>
      <c r="O153" s="352" t="s">
        <v>80</v>
      </c>
      <c r="P153" s="353">
        <v>433000000</v>
      </c>
      <c r="Q153" s="354" t="s">
        <v>80</v>
      </c>
      <c r="R153" s="353">
        <v>430000000</v>
      </c>
      <c r="S153" s="355">
        <v>430000000</v>
      </c>
      <c r="T153" s="355">
        <v>0</v>
      </c>
      <c r="U153" s="355">
        <v>430000000</v>
      </c>
      <c r="V153" s="355">
        <v>11307589</v>
      </c>
      <c r="W153" s="356">
        <v>441307589</v>
      </c>
      <c r="X153" s="357"/>
    </row>
    <row r="154" spans="1:24" s="121" customFormat="1" ht="14.1" customHeight="1">
      <c r="A154" s="87"/>
      <c r="B154" s="343">
        <v>145</v>
      </c>
      <c r="C154" s="344"/>
      <c r="D154" s="345" t="s">
        <v>477</v>
      </c>
      <c r="E154" s="346" t="s">
        <v>148</v>
      </c>
      <c r="F154" s="347" t="s">
        <v>328</v>
      </c>
      <c r="G154" s="348" t="s">
        <v>861</v>
      </c>
      <c r="H154" s="349">
        <v>1</v>
      </c>
      <c r="I154" s="350">
        <v>0.12039999999999999</v>
      </c>
      <c r="J154" s="350">
        <v>0.15</v>
      </c>
      <c r="K154" s="351">
        <v>20120719</v>
      </c>
      <c r="L154" s="351">
        <v>20160115</v>
      </c>
      <c r="M154" s="351">
        <v>20160116</v>
      </c>
      <c r="N154" s="351">
        <v>20160116</v>
      </c>
      <c r="O154" s="352" t="s">
        <v>80</v>
      </c>
      <c r="P154" s="353">
        <v>30000000</v>
      </c>
      <c r="Q154" s="354" t="s">
        <v>80</v>
      </c>
      <c r="R154" s="353">
        <v>25500000</v>
      </c>
      <c r="S154" s="355">
        <v>25500000</v>
      </c>
      <c r="T154" s="355">
        <v>0</v>
      </c>
      <c r="U154" s="355">
        <v>25500000</v>
      </c>
      <c r="V154" s="355">
        <v>804711</v>
      </c>
      <c r="W154" s="356">
        <v>26304711</v>
      </c>
      <c r="X154" s="357"/>
    </row>
    <row r="155" spans="1:24" s="121" customFormat="1" ht="14.1" customHeight="1">
      <c r="A155" s="87"/>
      <c r="B155" s="343">
        <v>146</v>
      </c>
      <c r="C155" s="344"/>
      <c r="D155" s="345" t="s">
        <v>478</v>
      </c>
      <c r="E155" s="346" t="s">
        <v>109</v>
      </c>
      <c r="F155" s="347" t="s">
        <v>738</v>
      </c>
      <c r="G155" s="348" t="s">
        <v>862</v>
      </c>
      <c r="H155" s="349">
        <v>1</v>
      </c>
      <c r="I155" s="350">
        <v>2.8300000000000002E-2</v>
      </c>
      <c r="J155" s="350">
        <v>0.10830000000000001</v>
      </c>
      <c r="K155" s="351">
        <v>20061130</v>
      </c>
      <c r="L155" s="351">
        <v>20161130</v>
      </c>
      <c r="M155" s="351">
        <v>20151231</v>
      </c>
      <c r="N155" s="351">
        <v>20160122</v>
      </c>
      <c r="O155" s="352" t="s">
        <v>80</v>
      </c>
      <c r="P155" s="353">
        <v>320000000</v>
      </c>
      <c r="Q155" s="354" t="s">
        <v>80</v>
      </c>
      <c r="R155" s="353">
        <v>320000000</v>
      </c>
      <c r="S155" s="355">
        <v>320000000</v>
      </c>
      <c r="T155" s="355">
        <v>5203721</v>
      </c>
      <c r="U155" s="355">
        <v>325203721</v>
      </c>
      <c r="V155" s="355">
        <v>9402173</v>
      </c>
      <c r="W155" s="356">
        <v>334605894</v>
      </c>
      <c r="X155" s="357" t="s">
        <v>1168</v>
      </c>
    </row>
    <row r="156" spans="1:24" s="121" customFormat="1" ht="14.1" customHeight="1">
      <c r="A156" s="87"/>
      <c r="B156" s="343">
        <v>147</v>
      </c>
      <c r="C156" s="344"/>
      <c r="D156" s="345" t="s">
        <v>478</v>
      </c>
      <c r="E156" s="346" t="s">
        <v>109</v>
      </c>
      <c r="F156" s="347" t="s">
        <v>738</v>
      </c>
      <c r="G156" s="348" t="s">
        <v>863</v>
      </c>
      <c r="H156" s="349">
        <v>1</v>
      </c>
      <c r="I156" s="350">
        <v>5.2400000000000002E-2</v>
      </c>
      <c r="J156" s="350">
        <v>0.13239999999999999</v>
      </c>
      <c r="K156" s="351">
        <v>20090604</v>
      </c>
      <c r="L156" s="351">
        <v>20161204</v>
      </c>
      <c r="M156" s="351">
        <v>20151208</v>
      </c>
      <c r="N156" s="351">
        <v>20160122</v>
      </c>
      <c r="O156" s="352" t="s">
        <v>80</v>
      </c>
      <c r="P156" s="353">
        <v>70000000</v>
      </c>
      <c r="Q156" s="354" t="s">
        <v>80</v>
      </c>
      <c r="R156" s="353">
        <v>70000000</v>
      </c>
      <c r="S156" s="355">
        <v>70000000</v>
      </c>
      <c r="T156" s="355">
        <v>0</v>
      </c>
      <c r="U156" s="355">
        <v>70000000</v>
      </c>
      <c r="V156" s="355">
        <v>2847967</v>
      </c>
      <c r="W156" s="356">
        <v>72847967</v>
      </c>
      <c r="X156" s="357"/>
    </row>
    <row r="157" spans="1:24" s="121" customFormat="1" ht="14.1" customHeight="1">
      <c r="A157" s="87"/>
      <c r="B157" s="343">
        <v>148</v>
      </c>
      <c r="C157" s="344"/>
      <c r="D157" s="345" t="s">
        <v>478</v>
      </c>
      <c r="E157" s="346" t="s">
        <v>109</v>
      </c>
      <c r="F157" s="347" t="s">
        <v>328</v>
      </c>
      <c r="G157" s="348" t="s">
        <v>346</v>
      </c>
      <c r="H157" s="349">
        <v>1</v>
      </c>
      <c r="I157" s="350">
        <v>0.11275</v>
      </c>
      <c r="J157" s="350">
        <v>0.15</v>
      </c>
      <c r="K157" s="351">
        <v>20111103</v>
      </c>
      <c r="L157" s="351">
        <v>20151203</v>
      </c>
      <c r="M157" s="351">
        <v>20151204</v>
      </c>
      <c r="N157" s="351">
        <v>20151204</v>
      </c>
      <c r="O157" s="352" t="s">
        <v>80</v>
      </c>
      <c r="P157" s="353">
        <v>60000000</v>
      </c>
      <c r="Q157" s="354" t="s">
        <v>80</v>
      </c>
      <c r="R157" s="353">
        <v>60000000</v>
      </c>
      <c r="S157" s="355">
        <v>60000000</v>
      </c>
      <c r="T157" s="355">
        <v>0</v>
      </c>
      <c r="U157" s="355">
        <v>60000000</v>
      </c>
      <c r="V157" s="355">
        <v>3666199</v>
      </c>
      <c r="W157" s="356">
        <v>63666199</v>
      </c>
      <c r="X157" s="357"/>
    </row>
    <row r="158" spans="1:24" s="121" customFormat="1" ht="14.1" customHeight="1">
      <c r="A158" s="87"/>
      <c r="B158" s="343">
        <v>149</v>
      </c>
      <c r="C158" s="344"/>
      <c r="D158" s="345" t="s">
        <v>479</v>
      </c>
      <c r="E158" s="346" t="s">
        <v>109</v>
      </c>
      <c r="F158" s="347" t="s">
        <v>332</v>
      </c>
      <c r="G158" s="348" t="s">
        <v>348</v>
      </c>
      <c r="H158" s="349">
        <v>1</v>
      </c>
      <c r="I158" s="350">
        <v>2.4300000000000002E-2</v>
      </c>
      <c r="J158" s="350">
        <v>0.1043</v>
      </c>
      <c r="K158" s="351">
        <v>20111202</v>
      </c>
      <c r="L158" s="351">
        <v>20411202</v>
      </c>
      <c r="M158" s="351">
        <v>20151013</v>
      </c>
      <c r="N158" s="351">
        <v>20151215</v>
      </c>
      <c r="O158" s="352" t="s">
        <v>80</v>
      </c>
      <c r="P158" s="353">
        <v>444700000</v>
      </c>
      <c r="Q158" s="354" t="s">
        <v>80</v>
      </c>
      <c r="R158" s="353">
        <v>444700000</v>
      </c>
      <c r="S158" s="355">
        <v>444700000</v>
      </c>
      <c r="T158" s="355">
        <v>5070190</v>
      </c>
      <c r="U158" s="355">
        <v>449770190</v>
      </c>
      <c r="V158" s="355">
        <v>18268679</v>
      </c>
      <c r="W158" s="356">
        <v>468038869</v>
      </c>
      <c r="X158" s="357" t="s">
        <v>1168</v>
      </c>
    </row>
    <row r="159" spans="1:24" s="121" customFormat="1" ht="14.1" customHeight="1">
      <c r="A159" s="87"/>
      <c r="B159" s="343">
        <v>150</v>
      </c>
      <c r="C159" s="344"/>
      <c r="D159" s="345" t="s">
        <v>480</v>
      </c>
      <c r="E159" s="346" t="s">
        <v>660</v>
      </c>
      <c r="F159" s="347" t="s">
        <v>739</v>
      </c>
      <c r="G159" s="348" t="s">
        <v>864</v>
      </c>
      <c r="H159" s="349">
        <v>1</v>
      </c>
      <c r="I159" s="350">
        <v>0.1207</v>
      </c>
      <c r="J159" s="350">
        <v>0.15</v>
      </c>
      <c r="K159" s="351">
        <v>20130506</v>
      </c>
      <c r="L159" s="351">
        <v>20160206</v>
      </c>
      <c r="M159" s="351">
        <v>20160105</v>
      </c>
      <c r="N159" s="351">
        <v>20160119</v>
      </c>
      <c r="O159" s="352" t="s">
        <v>80</v>
      </c>
      <c r="P159" s="353">
        <v>500000000</v>
      </c>
      <c r="Q159" s="354" t="s">
        <v>80</v>
      </c>
      <c r="R159" s="353">
        <v>447675511</v>
      </c>
      <c r="S159" s="355">
        <v>447675511</v>
      </c>
      <c r="T159" s="355">
        <v>0</v>
      </c>
      <c r="U159" s="355">
        <v>447675511</v>
      </c>
      <c r="V159" s="355">
        <v>25314003</v>
      </c>
      <c r="W159" s="356">
        <v>472989514</v>
      </c>
      <c r="X159" s="357"/>
    </row>
    <row r="160" spans="1:24" s="121" customFormat="1" ht="14.1" customHeight="1">
      <c r="A160" s="87"/>
      <c r="B160" s="343">
        <v>151</v>
      </c>
      <c r="C160" s="344"/>
      <c r="D160" s="345" t="s">
        <v>481</v>
      </c>
      <c r="E160" s="346" t="s">
        <v>109</v>
      </c>
      <c r="F160" s="347" t="s">
        <v>685</v>
      </c>
      <c r="G160" s="348" t="s">
        <v>865</v>
      </c>
      <c r="H160" s="349">
        <v>1</v>
      </c>
      <c r="I160" s="350">
        <v>2.2200000000000001E-2</v>
      </c>
      <c r="J160" s="350">
        <v>9.2200000000000004E-2</v>
      </c>
      <c r="K160" s="351">
        <v>20110930</v>
      </c>
      <c r="L160" s="351">
        <v>20210930</v>
      </c>
      <c r="M160" s="351">
        <v>20160108</v>
      </c>
      <c r="N160" s="351">
        <v>20160308</v>
      </c>
      <c r="O160" s="352" t="s">
        <v>80</v>
      </c>
      <c r="P160" s="353">
        <v>445000000</v>
      </c>
      <c r="Q160" s="354" t="s">
        <v>80</v>
      </c>
      <c r="R160" s="353">
        <v>445000000</v>
      </c>
      <c r="S160" s="355">
        <v>445000000</v>
      </c>
      <c r="T160" s="355">
        <v>0</v>
      </c>
      <c r="U160" s="355">
        <v>445000000</v>
      </c>
      <c r="V160" s="355">
        <v>8123708</v>
      </c>
      <c r="W160" s="356">
        <v>453123708</v>
      </c>
      <c r="X160" s="357"/>
    </row>
    <row r="161" spans="1:24" s="121" customFormat="1" ht="14.1" customHeight="1">
      <c r="A161" s="87"/>
      <c r="B161" s="343">
        <v>152</v>
      </c>
      <c r="C161" s="344"/>
      <c r="D161" s="345" t="s">
        <v>482</v>
      </c>
      <c r="E161" s="346" t="s">
        <v>109</v>
      </c>
      <c r="F161" s="347" t="s">
        <v>727</v>
      </c>
      <c r="G161" s="348" t="s">
        <v>866</v>
      </c>
      <c r="H161" s="349">
        <v>1</v>
      </c>
      <c r="I161" s="350">
        <v>2.1499999999999998E-2</v>
      </c>
      <c r="J161" s="350">
        <v>9.1499999999999998E-2</v>
      </c>
      <c r="K161" s="351">
        <v>20110819</v>
      </c>
      <c r="L161" s="351">
        <v>20410819</v>
      </c>
      <c r="M161" s="351">
        <v>20151201</v>
      </c>
      <c r="N161" s="351">
        <v>20160202</v>
      </c>
      <c r="O161" s="352" t="s">
        <v>80</v>
      </c>
      <c r="P161" s="353">
        <v>438900000</v>
      </c>
      <c r="Q161" s="354" t="s">
        <v>80</v>
      </c>
      <c r="R161" s="353">
        <v>438900000</v>
      </c>
      <c r="S161" s="355">
        <v>438900000</v>
      </c>
      <c r="T161" s="355">
        <v>5216281</v>
      </c>
      <c r="U161" s="355">
        <v>444116281</v>
      </c>
      <c r="V161" s="355">
        <v>11852991</v>
      </c>
      <c r="W161" s="356">
        <v>455969272</v>
      </c>
      <c r="X161" s="357" t="s">
        <v>1168</v>
      </c>
    </row>
    <row r="162" spans="1:24" s="121" customFormat="1" ht="14.1" customHeight="1">
      <c r="A162" s="87"/>
      <c r="B162" s="343">
        <v>153</v>
      </c>
      <c r="C162" s="344"/>
      <c r="D162" s="345" t="s">
        <v>483</v>
      </c>
      <c r="E162" s="346" t="s">
        <v>661</v>
      </c>
      <c r="F162" s="347" t="s">
        <v>734</v>
      </c>
      <c r="G162" s="348" t="s">
        <v>867</v>
      </c>
      <c r="H162" s="349">
        <v>0</v>
      </c>
      <c r="I162" s="350">
        <v>3.1200000000000002E-2</v>
      </c>
      <c r="J162" s="350">
        <v>0.13830000000000001</v>
      </c>
      <c r="K162" s="351">
        <v>20141127</v>
      </c>
      <c r="L162" s="351">
        <v>20160227</v>
      </c>
      <c r="M162" s="351">
        <v>20160112</v>
      </c>
      <c r="N162" s="351">
        <v>20160212</v>
      </c>
      <c r="O162" s="352" t="s">
        <v>80</v>
      </c>
      <c r="P162" s="353">
        <v>5000000</v>
      </c>
      <c r="Q162" s="354" t="s">
        <v>80</v>
      </c>
      <c r="R162" s="353">
        <v>5000000</v>
      </c>
      <c r="S162" s="355">
        <v>5000000</v>
      </c>
      <c r="T162" s="355">
        <v>0</v>
      </c>
      <c r="U162" s="355">
        <v>5000000</v>
      </c>
      <c r="V162" s="355">
        <v>211515</v>
      </c>
      <c r="W162" s="356">
        <v>5211515</v>
      </c>
      <c r="X162" s="357"/>
    </row>
    <row r="163" spans="1:24" s="121" customFormat="1" ht="14.1" customHeight="1">
      <c r="A163" s="87"/>
      <c r="B163" s="343">
        <v>154</v>
      </c>
      <c r="C163" s="344"/>
      <c r="D163" s="345" t="s">
        <v>483</v>
      </c>
      <c r="E163" s="346" t="s">
        <v>661</v>
      </c>
      <c r="F163" s="347" t="s">
        <v>685</v>
      </c>
      <c r="G163" s="348" t="s">
        <v>868</v>
      </c>
      <c r="H163" s="349">
        <v>1</v>
      </c>
      <c r="I163" s="350">
        <v>7.8299999999999995E-2</v>
      </c>
      <c r="J163" s="350">
        <v>0.11119999999999999</v>
      </c>
      <c r="K163" s="351">
        <v>20091221</v>
      </c>
      <c r="L163" s="351">
        <v>20151221</v>
      </c>
      <c r="M163" s="351">
        <v>20151027</v>
      </c>
      <c r="N163" s="351">
        <v>20151222</v>
      </c>
      <c r="O163" s="352" t="s">
        <v>80</v>
      </c>
      <c r="P163" s="353">
        <v>432000000</v>
      </c>
      <c r="Q163" s="354" t="s">
        <v>80</v>
      </c>
      <c r="R163" s="353">
        <v>432000000</v>
      </c>
      <c r="S163" s="355">
        <v>432000000</v>
      </c>
      <c r="T163" s="355">
        <v>4971150</v>
      </c>
      <c r="U163" s="355">
        <v>436971150</v>
      </c>
      <c r="V163" s="355">
        <v>18707261</v>
      </c>
      <c r="W163" s="356">
        <v>455678411</v>
      </c>
      <c r="X163" s="357" t="s">
        <v>1168</v>
      </c>
    </row>
    <row r="164" spans="1:24" s="121" customFormat="1" ht="14.1" customHeight="1">
      <c r="A164" s="87"/>
      <c r="B164" s="343">
        <v>155</v>
      </c>
      <c r="C164" s="344"/>
      <c r="D164" s="345" t="s">
        <v>484</v>
      </c>
      <c r="E164" s="346" t="s">
        <v>152</v>
      </c>
      <c r="F164" s="347" t="s">
        <v>329</v>
      </c>
      <c r="G164" s="348" t="s">
        <v>869</v>
      </c>
      <c r="H164" s="349">
        <v>0</v>
      </c>
      <c r="I164" s="350">
        <v>3.15E-2</v>
      </c>
      <c r="J164" s="350">
        <v>0.11094</v>
      </c>
      <c r="K164" s="351">
        <v>20130325</v>
      </c>
      <c r="L164" s="351">
        <v>20160325</v>
      </c>
      <c r="M164" s="351">
        <v>20160309</v>
      </c>
      <c r="N164" s="351">
        <v>20160309</v>
      </c>
      <c r="O164" s="352" t="s">
        <v>80</v>
      </c>
      <c r="P164" s="353">
        <v>100000000</v>
      </c>
      <c r="Q164" s="354" t="s">
        <v>80</v>
      </c>
      <c r="R164" s="353">
        <v>94175135</v>
      </c>
      <c r="S164" s="355">
        <v>94175135</v>
      </c>
      <c r="T164" s="355">
        <v>0</v>
      </c>
      <c r="U164" s="355">
        <v>94175135</v>
      </c>
      <c r="V164" s="355">
        <v>1481918</v>
      </c>
      <c r="W164" s="356">
        <v>95657053</v>
      </c>
      <c r="X164" s="357"/>
    </row>
    <row r="165" spans="1:24" s="121" customFormat="1" ht="14.1" customHeight="1">
      <c r="A165" s="87"/>
      <c r="B165" s="343">
        <v>156</v>
      </c>
      <c r="C165" s="344"/>
      <c r="D165" s="345" t="s">
        <v>484</v>
      </c>
      <c r="E165" s="346" t="s">
        <v>152</v>
      </c>
      <c r="F165" s="347" t="s">
        <v>740</v>
      </c>
      <c r="G165" s="348" t="s">
        <v>870</v>
      </c>
      <c r="H165" s="349">
        <v>1</v>
      </c>
      <c r="I165" s="350">
        <v>4.4000000000000004E-2</v>
      </c>
      <c r="J165" s="350">
        <v>0.114</v>
      </c>
      <c r="K165" s="351">
        <v>20130325</v>
      </c>
      <c r="L165" s="351">
        <v>20430325</v>
      </c>
      <c r="M165" s="351">
        <v>20160226</v>
      </c>
      <c r="N165" s="351">
        <v>20160316</v>
      </c>
      <c r="O165" s="352" t="s">
        <v>80</v>
      </c>
      <c r="P165" s="353">
        <v>280000000</v>
      </c>
      <c r="Q165" s="354" t="s">
        <v>80</v>
      </c>
      <c r="R165" s="353">
        <v>280000000</v>
      </c>
      <c r="S165" s="355">
        <v>280000000</v>
      </c>
      <c r="T165" s="355">
        <v>5119587</v>
      </c>
      <c r="U165" s="355">
        <v>285119587</v>
      </c>
      <c r="V165" s="355">
        <v>5227708</v>
      </c>
      <c r="W165" s="356">
        <v>290347295</v>
      </c>
      <c r="X165" s="357" t="s">
        <v>1168</v>
      </c>
    </row>
    <row r="166" spans="1:24" s="121" customFormat="1" ht="14.1" customHeight="1">
      <c r="A166" s="87"/>
      <c r="B166" s="343">
        <v>157</v>
      </c>
      <c r="C166" s="344"/>
      <c r="D166" s="345" t="s">
        <v>484</v>
      </c>
      <c r="E166" s="346" t="s">
        <v>152</v>
      </c>
      <c r="F166" s="347" t="s">
        <v>328</v>
      </c>
      <c r="G166" s="348" t="s">
        <v>871</v>
      </c>
      <c r="H166" s="349">
        <v>1</v>
      </c>
      <c r="I166" s="350">
        <v>4.4299999999999999E-2</v>
      </c>
      <c r="J166" s="350">
        <v>0.1143</v>
      </c>
      <c r="K166" s="351">
        <v>20130325</v>
      </c>
      <c r="L166" s="351">
        <v>20160325</v>
      </c>
      <c r="M166" s="351">
        <v>20160226</v>
      </c>
      <c r="N166" s="351">
        <v>20160311</v>
      </c>
      <c r="O166" s="352" t="s">
        <v>80</v>
      </c>
      <c r="P166" s="353">
        <v>50000000</v>
      </c>
      <c r="Q166" s="354" t="s">
        <v>80</v>
      </c>
      <c r="R166" s="353">
        <v>50000000</v>
      </c>
      <c r="S166" s="355">
        <v>50000000</v>
      </c>
      <c r="T166" s="355">
        <v>0</v>
      </c>
      <c r="U166" s="355">
        <v>50000000</v>
      </c>
      <c r="V166" s="355">
        <v>988215</v>
      </c>
      <c r="W166" s="356">
        <v>50988215</v>
      </c>
      <c r="X166" s="357"/>
    </row>
    <row r="167" spans="1:24" s="121" customFormat="1" ht="14.1" customHeight="1">
      <c r="A167" s="87"/>
      <c r="B167" s="343">
        <v>158</v>
      </c>
      <c r="C167" s="344"/>
      <c r="D167" s="345" t="s">
        <v>485</v>
      </c>
      <c r="E167" s="346" t="s">
        <v>202</v>
      </c>
      <c r="F167" s="347" t="s">
        <v>329</v>
      </c>
      <c r="G167" s="348" t="s">
        <v>872</v>
      </c>
      <c r="H167" s="349">
        <v>0</v>
      </c>
      <c r="I167" s="350">
        <v>5.1399999999999994E-2</v>
      </c>
      <c r="J167" s="350">
        <v>0.11146399999999999</v>
      </c>
      <c r="K167" s="351">
        <v>20050909</v>
      </c>
      <c r="L167" s="351">
        <v>20160824</v>
      </c>
      <c r="M167" s="351">
        <v>20160112</v>
      </c>
      <c r="N167" s="351">
        <v>20160126</v>
      </c>
      <c r="O167" s="352" t="s">
        <v>80</v>
      </c>
      <c r="P167" s="353">
        <v>80000000</v>
      </c>
      <c r="Q167" s="354" t="s">
        <v>80</v>
      </c>
      <c r="R167" s="353">
        <v>80000000</v>
      </c>
      <c r="S167" s="355">
        <v>80000000</v>
      </c>
      <c r="T167" s="355">
        <v>0</v>
      </c>
      <c r="U167" s="355">
        <v>80000000</v>
      </c>
      <c r="V167" s="355">
        <v>2870378</v>
      </c>
      <c r="W167" s="356">
        <v>82870378</v>
      </c>
      <c r="X167" s="357"/>
    </row>
    <row r="168" spans="1:24" s="121" customFormat="1" ht="14.1" customHeight="1">
      <c r="A168" s="87"/>
      <c r="B168" s="343">
        <v>159</v>
      </c>
      <c r="C168" s="344"/>
      <c r="D168" s="345" t="s">
        <v>485</v>
      </c>
      <c r="E168" s="346" t="s">
        <v>202</v>
      </c>
      <c r="F168" s="347" t="s">
        <v>686</v>
      </c>
      <c r="G168" s="348" t="s">
        <v>873</v>
      </c>
      <c r="H168" s="349">
        <v>1</v>
      </c>
      <c r="I168" s="350">
        <v>4.4000000000000004E-2</v>
      </c>
      <c r="J168" s="350">
        <v>0.114</v>
      </c>
      <c r="K168" s="351">
        <v>20130422</v>
      </c>
      <c r="L168" s="351">
        <v>20430422</v>
      </c>
      <c r="M168" s="351">
        <v>20151223</v>
      </c>
      <c r="N168" s="351">
        <v>20160223</v>
      </c>
      <c r="O168" s="352" t="s">
        <v>80</v>
      </c>
      <c r="P168" s="353">
        <v>130000000</v>
      </c>
      <c r="Q168" s="354" t="s">
        <v>80</v>
      </c>
      <c r="R168" s="353">
        <v>130000000</v>
      </c>
      <c r="S168" s="355">
        <v>130000000</v>
      </c>
      <c r="T168" s="355">
        <v>5082820</v>
      </c>
      <c r="U168" s="355">
        <v>135082820</v>
      </c>
      <c r="V168" s="355">
        <v>3993898</v>
      </c>
      <c r="W168" s="356">
        <v>139076718</v>
      </c>
      <c r="X168" s="357" t="s">
        <v>1168</v>
      </c>
    </row>
    <row r="169" spans="1:24" s="121" customFormat="1" ht="14.1" customHeight="1">
      <c r="A169" s="87"/>
      <c r="B169" s="343">
        <v>160</v>
      </c>
      <c r="C169" s="344"/>
      <c r="D169" s="345" t="s">
        <v>485</v>
      </c>
      <c r="E169" s="346" t="s">
        <v>202</v>
      </c>
      <c r="F169" s="347" t="s">
        <v>328</v>
      </c>
      <c r="G169" s="348" t="s">
        <v>351</v>
      </c>
      <c r="H169" s="349">
        <v>1</v>
      </c>
      <c r="I169" s="350">
        <v>5.4000000000000006E-2</v>
      </c>
      <c r="J169" s="350">
        <v>0.13400000000000001</v>
      </c>
      <c r="K169" s="351">
        <v>20130822</v>
      </c>
      <c r="L169" s="351">
        <v>20160822</v>
      </c>
      <c r="M169" s="351">
        <v>20151223</v>
      </c>
      <c r="N169" s="351">
        <v>20160106</v>
      </c>
      <c r="O169" s="352" t="s">
        <v>80</v>
      </c>
      <c r="P169" s="353">
        <v>70000000</v>
      </c>
      <c r="Q169" s="354" t="s">
        <v>80</v>
      </c>
      <c r="R169" s="353">
        <v>70000000</v>
      </c>
      <c r="S169" s="355">
        <v>70000000</v>
      </c>
      <c r="T169" s="355">
        <v>0</v>
      </c>
      <c r="U169" s="355">
        <v>70000000</v>
      </c>
      <c r="V169" s="355">
        <v>3136684</v>
      </c>
      <c r="W169" s="356">
        <v>73136684</v>
      </c>
      <c r="X169" s="357"/>
    </row>
    <row r="170" spans="1:24" s="121" customFormat="1" ht="14.1" customHeight="1">
      <c r="A170" s="87"/>
      <c r="B170" s="343">
        <v>161</v>
      </c>
      <c r="C170" s="344"/>
      <c r="D170" s="345" t="s">
        <v>485</v>
      </c>
      <c r="E170" s="346" t="s">
        <v>202</v>
      </c>
      <c r="F170" s="347" t="s">
        <v>328</v>
      </c>
      <c r="G170" s="348" t="s">
        <v>874</v>
      </c>
      <c r="H170" s="349">
        <v>1</v>
      </c>
      <c r="I170" s="350">
        <v>4.4800000000000006E-2</v>
      </c>
      <c r="J170" s="350">
        <v>0.1148</v>
      </c>
      <c r="K170" s="351">
        <v>20131018</v>
      </c>
      <c r="L170" s="351">
        <v>20161014</v>
      </c>
      <c r="M170" s="351">
        <v>20160119</v>
      </c>
      <c r="N170" s="351">
        <v>20160202</v>
      </c>
      <c r="O170" s="352" t="s">
        <v>80</v>
      </c>
      <c r="P170" s="353">
        <v>85000000</v>
      </c>
      <c r="Q170" s="354" t="s">
        <v>80</v>
      </c>
      <c r="R170" s="353">
        <v>14796685</v>
      </c>
      <c r="S170" s="355">
        <v>14796685</v>
      </c>
      <c r="T170" s="355">
        <v>0</v>
      </c>
      <c r="U170" s="355">
        <v>14796685</v>
      </c>
      <c r="V170" s="355">
        <v>1191928</v>
      </c>
      <c r="W170" s="356">
        <v>15988613</v>
      </c>
      <c r="X170" s="357"/>
    </row>
    <row r="171" spans="1:24" s="121" customFormat="1" ht="14.1" customHeight="1">
      <c r="A171" s="87"/>
      <c r="B171" s="343">
        <v>162</v>
      </c>
      <c r="C171" s="344"/>
      <c r="D171" s="345" t="s">
        <v>485</v>
      </c>
      <c r="E171" s="346" t="s">
        <v>202</v>
      </c>
      <c r="F171" s="347" t="s">
        <v>354</v>
      </c>
      <c r="G171" s="348" t="s">
        <v>350</v>
      </c>
      <c r="H171" s="349">
        <v>1</v>
      </c>
      <c r="I171" s="350">
        <v>4.5999999999999999E-2</v>
      </c>
      <c r="J171" s="350">
        <v>0.126</v>
      </c>
      <c r="K171" s="351">
        <v>20140723</v>
      </c>
      <c r="L171" s="351">
        <v>20160723</v>
      </c>
      <c r="M171" s="351">
        <v>20151224</v>
      </c>
      <c r="N171" s="351">
        <v>20151224</v>
      </c>
      <c r="O171" s="352" t="s">
        <v>80</v>
      </c>
      <c r="P171" s="353">
        <v>70000000</v>
      </c>
      <c r="Q171" s="354" t="s">
        <v>80</v>
      </c>
      <c r="R171" s="353">
        <v>23333328</v>
      </c>
      <c r="S171" s="355">
        <v>23333328</v>
      </c>
      <c r="T171" s="355">
        <v>0</v>
      </c>
      <c r="U171" s="355">
        <v>23333328</v>
      </c>
      <c r="V171" s="355">
        <v>950837</v>
      </c>
      <c r="W171" s="356">
        <v>24284165</v>
      </c>
      <c r="X171" s="357"/>
    </row>
    <row r="172" spans="1:24" s="121" customFormat="1" ht="14.1" customHeight="1">
      <c r="A172" s="87"/>
      <c r="B172" s="343">
        <v>163</v>
      </c>
      <c r="C172" s="344"/>
      <c r="D172" s="345" t="s">
        <v>485</v>
      </c>
      <c r="E172" s="346" t="s">
        <v>202</v>
      </c>
      <c r="F172" s="347" t="s">
        <v>328</v>
      </c>
      <c r="G172" s="348" t="s">
        <v>875</v>
      </c>
      <c r="H172" s="349">
        <v>1</v>
      </c>
      <c r="I172" s="350">
        <v>4.0199999999999993E-2</v>
      </c>
      <c r="J172" s="350">
        <v>0.1202</v>
      </c>
      <c r="K172" s="351">
        <v>20150824</v>
      </c>
      <c r="L172" s="351">
        <v>20160822</v>
      </c>
      <c r="M172" s="351">
        <v>20151223</v>
      </c>
      <c r="N172" s="351">
        <v>20160106</v>
      </c>
      <c r="O172" s="352" t="s">
        <v>80</v>
      </c>
      <c r="P172" s="353">
        <v>100000000</v>
      </c>
      <c r="Q172" s="354" t="s">
        <v>80</v>
      </c>
      <c r="R172" s="353">
        <v>100000000</v>
      </c>
      <c r="S172" s="355">
        <v>100000000</v>
      </c>
      <c r="T172" s="355">
        <v>0</v>
      </c>
      <c r="U172" s="355">
        <v>100000000</v>
      </c>
      <c r="V172" s="355">
        <v>3879327</v>
      </c>
      <c r="W172" s="356">
        <v>103879327</v>
      </c>
      <c r="X172" s="357"/>
    </row>
    <row r="173" spans="1:24" s="121" customFormat="1" ht="14.1" customHeight="1">
      <c r="A173" s="87"/>
      <c r="B173" s="343">
        <v>164</v>
      </c>
      <c r="C173" s="344"/>
      <c r="D173" s="345" t="s">
        <v>486</v>
      </c>
      <c r="E173" s="346" t="s">
        <v>183</v>
      </c>
      <c r="F173" s="347" t="s">
        <v>328</v>
      </c>
      <c r="G173" s="348" t="s">
        <v>876</v>
      </c>
      <c r="H173" s="349">
        <v>1</v>
      </c>
      <c r="I173" s="350">
        <v>3.61E-2</v>
      </c>
      <c r="J173" s="350">
        <v>0.11609999999999999</v>
      </c>
      <c r="K173" s="351">
        <v>20131008</v>
      </c>
      <c r="L173" s="351">
        <v>20151008</v>
      </c>
      <c r="M173" s="351">
        <v>20151009</v>
      </c>
      <c r="N173" s="351">
        <v>20151009</v>
      </c>
      <c r="O173" s="352" t="s">
        <v>80</v>
      </c>
      <c r="P173" s="353">
        <v>420000000</v>
      </c>
      <c r="Q173" s="354" t="s">
        <v>80</v>
      </c>
      <c r="R173" s="353">
        <v>410000000</v>
      </c>
      <c r="S173" s="355">
        <v>410000000</v>
      </c>
      <c r="T173" s="355">
        <v>2993252</v>
      </c>
      <c r="U173" s="355">
        <v>412993252</v>
      </c>
      <c r="V173" s="355">
        <v>26208736</v>
      </c>
      <c r="W173" s="356">
        <v>439201988</v>
      </c>
      <c r="X173" s="357" t="s">
        <v>1168</v>
      </c>
    </row>
    <row r="174" spans="1:24" s="121" customFormat="1" ht="14.1" customHeight="1">
      <c r="A174" s="87"/>
      <c r="B174" s="343">
        <v>165</v>
      </c>
      <c r="C174" s="344"/>
      <c r="D174" s="345" t="s">
        <v>487</v>
      </c>
      <c r="E174" s="346" t="s">
        <v>208</v>
      </c>
      <c r="F174" s="347" t="s">
        <v>329</v>
      </c>
      <c r="G174" s="348" t="s">
        <v>877</v>
      </c>
      <c r="H174" s="349">
        <v>0</v>
      </c>
      <c r="I174" s="350">
        <v>7.2400000000000006E-2</v>
      </c>
      <c r="J174" s="350">
        <v>0.132467</v>
      </c>
      <c r="K174" s="351">
        <v>20120427</v>
      </c>
      <c r="L174" s="351">
        <v>20160425</v>
      </c>
      <c r="M174" s="351">
        <v>20160426</v>
      </c>
      <c r="N174" s="351">
        <v>20160426</v>
      </c>
      <c r="O174" s="352" t="s">
        <v>80</v>
      </c>
      <c r="P174" s="353">
        <v>200000000</v>
      </c>
      <c r="Q174" s="354" t="s">
        <v>80</v>
      </c>
      <c r="R174" s="353">
        <v>136757282</v>
      </c>
      <c r="S174" s="355">
        <v>136757282</v>
      </c>
      <c r="T174" s="355">
        <v>0</v>
      </c>
      <c r="U174" s="355">
        <v>136757282</v>
      </c>
      <c r="V174" s="355">
        <v>751226</v>
      </c>
      <c r="W174" s="356">
        <v>137508508</v>
      </c>
      <c r="X174" s="357"/>
    </row>
    <row r="175" spans="1:24" s="121" customFormat="1" ht="14.1" customHeight="1">
      <c r="A175" s="87"/>
      <c r="B175" s="343">
        <v>166</v>
      </c>
      <c r="C175" s="344"/>
      <c r="D175" s="345" t="s">
        <v>487</v>
      </c>
      <c r="E175" s="346" t="s">
        <v>208</v>
      </c>
      <c r="F175" s="347" t="s">
        <v>328</v>
      </c>
      <c r="G175" s="348" t="s">
        <v>766</v>
      </c>
      <c r="H175" s="349">
        <v>1</v>
      </c>
      <c r="I175" s="350">
        <v>4.7100000000000003E-2</v>
      </c>
      <c r="J175" s="350">
        <v>0.12709999999999999</v>
      </c>
      <c r="K175" s="351">
        <v>20110125</v>
      </c>
      <c r="L175" s="351">
        <v>20160125</v>
      </c>
      <c r="M175" s="351">
        <v>20160126</v>
      </c>
      <c r="N175" s="351">
        <v>20160126</v>
      </c>
      <c r="O175" s="352" t="s">
        <v>80</v>
      </c>
      <c r="P175" s="353">
        <v>600000000</v>
      </c>
      <c r="Q175" s="354" t="s">
        <v>80</v>
      </c>
      <c r="R175" s="353">
        <v>260000000</v>
      </c>
      <c r="S175" s="355">
        <v>260000000</v>
      </c>
      <c r="T175" s="355">
        <v>27282515</v>
      </c>
      <c r="U175" s="355">
        <v>287282515</v>
      </c>
      <c r="V175" s="355">
        <v>8617360</v>
      </c>
      <c r="W175" s="356">
        <v>295899875</v>
      </c>
      <c r="X175" s="357" t="s">
        <v>1168</v>
      </c>
    </row>
    <row r="176" spans="1:24" s="121" customFormat="1" ht="14.1" customHeight="1">
      <c r="A176" s="87"/>
      <c r="B176" s="343">
        <v>167</v>
      </c>
      <c r="C176" s="344"/>
      <c r="D176" s="345" t="s">
        <v>488</v>
      </c>
      <c r="E176" s="346" t="s">
        <v>662</v>
      </c>
      <c r="F176" s="347" t="s">
        <v>726</v>
      </c>
      <c r="G176" s="348" t="s">
        <v>347</v>
      </c>
      <c r="H176" s="349">
        <v>1</v>
      </c>
      <c r="I176" s="350">
        <v>3.3599999999999998E-2</v>
      </c>
      <c r="J176" s="350">
        <v>0.1036</v>
      </c>
      <c r="K176" s="351">
        <v>20140917</v>
      </c>
      <c r="L176" s="351">
        <v>20171002</v>
      </c>
      <c r="M176" s="351">
        <v>20160203</v>
      </c>
      <c r="N176" s="351">
        <v>20160203</v>
      </c>
      <c r="O176" s="352" t="s">
        <v>80</v>
      </c>
      <c r="P176" s="353">
        <v>185000000</v>
      </c>
      <c r="Q176" s="354" t="s">
        <v>80</v>
      </c>
      <c r="R176" s="353">
        <v>105000000</v>
      </c>
      <c r="S176" s="355">
        <v>105000000</v>
      </c>
      <c r="T176" s="355">
        <v>0</v>
      </c>
      <c r="U176" s="355">
        <v>105000000</v>
      </c>
      <c r="V176" s="355">
        <v>2480560</v>
      </c>
      <c r="W176" s="356">
        <v>107480560</v>
      </c>
      <c r="X176" s="357"/>
    </row>
    <row r="177" spans="1:24" s="121" customFormat="1" ht="14.1" customHeight="1">
      <c r="A177" s="87"/>
      <c r="B177" s="343">
        <v>168</v>
      </c>
      <c r="C177" s="344"/>
      <c r="D177" s="345" t="s">
        <v>488</v>
      </c>
      <c r="E177" s="346" t="s">
        <v>662</v>
      </c>
      <c r="F177" s="347" t="s">
        <v>710</v>
      </c>
      <c r="G177" s="348" t="s">
        <v>878</v>
      </c>
      <c r="H177" s="349">
        <v>1</v>
      </c>
      <c r="I177" s="350">
        <v>7.6999999999999999E-2</v>
      </c>
      <c r="J177" s="350">
        <v>0.14699999999999999</v>
      </c>
      <c r="K177" s="351">
        <v>20140917</v>
      </c>
      <c r="L177" s="351">
        <v>20160317</v>
      </c>
      <c r="M177" s="351">
        <v>20160218</v>
      </c>
      <c r="N177" s="351">
        <v>20160303</v>
      </c>
      <c r="O177" s="352" t="s">
        <v>80</v>
      </c>
      <c r="P177" s="353">
        <v>300000000</v>
      </c>
      <c r="Q177" s="354" t="s">
        <v>80</v>
      </c>
      <c r="R177" s="353">
        <v>280000000</v>
      </c>
      <c r="S177" s="355">
        <v>280000000</v>
      </c>
      <c r="T177" s="355">
        <v>4666170</v>
      </c>
      <c r="U177" s="355">
        <v>284666170</v>
      </c>
      <c r="V177" s="355">
        <v>8772190</v>
      </c>
      <c r="W177" s="356">
        <v>293438360</v>
      </c>
      <c r="X177" s="357" t="s">
        <v>1168</v>
      </c>
    </row>
    <row r="178" spans="1:24" s="121" customFormat="1" ht="14.1" customHeight="1">
      <c r="A178" s="87"/>
      <c r="B178" s="343">
        <v>169</v>
      </c>
      <c r="C178" s="344"/>
      <c r="D178" s="345" t="s">
        <v>489</v>
      </c>
      <c r="E178" s="346" t="s">
        <v>130</v>
      </c>
      <c r="F178" s="347" t="s">
        <v>329</v>
      </c>
      <c r="G178" s="348" t="s">
        <v>879</v>
      </c>
      <c r="H178" s="349">
        <v>0</v>
      </c>
      <c r="I178" s="350">
        <v>5.04E-2</v>
      </c>
      <c r="J178" s="350">
        <v>0.11046499999999999</v>
      </c>
      <c r="K178" s="351">
        <v>20020209</v>
      </c>
      <c r="L178" s="351">
        <v>20160129</v>
      </c>
      <c r="M178" s="351">
        <v>20160112</v>
      </c>
      <c r="N178" s="351">
        <v>20160126</v>
      </c>
      <c r="O178" s="352" t="s">
        <v>80</v>
      </c>
      <c r="P178" s="353">
        <v>49000000</v>
      </c>
      <c r="Q178" s="354" t="s">
        <v>80</v>
      </c>
      <c r="R178" s="353">
        <v>49000000</v>
      </c>
      <c r="S178" s="355">
        <v>49000000</v>
      </c>
      <c r="T178" s="355">
        <v>0</v>
      </c>
      <c r="U178" s="355">
        <v>49000000</v>
      </c>
      <c r="V178" s="355">
        <v>1738554</v>
      </c>
      <c r="W178" s="356">
        <v>50738554</v>
      </c>
      <c r="X178" s="357"/>
    </row>
    <row r="179" spans="1:24" s="121" customFormat="1" ht="14.1" customHeight="1">
      <c r="A179" s="87"/>
      <c r="B179" s="137">
        <v>170</v>
      </c>
      <c r="C179" s="70"/>
      <c r="D179" s="138" t="s">
        <v>489</v>
      </c>
      <c r="E179" s="139" t="s">
        <v>130</v>
      </c>
      <c r="F179" s="140" t="s">
        <v>685</v>
      </c>
      <c r="G179" s="141" t="s">
        <v>866</v>
      </c>
      <c r="H179" s="142">
        <v>1</v>
      </c>
      <c r="I179" s="143">
        <v>2.4E-2</v>
      </c>
      <c r="J179" s="143">
        <v>9.4E-2</v>
      </c>
      <c r="K179" s="144">
        <v>20100714</v>
      </c>
      <c r="L179" s="144">
        <v>20160714</v>
      </c>
      <c r="M179" s="144">
        <v>20160115</v>
      </c>
      <c r="N179" s="144">
        <v>20160315</v>
      </c>
      <c r="O179" s="145" t="s">
        <v>80</v>
      </c>
      <c r="P179" s="146">
        <v>233400000</v>
      </c>
      <c r="Q179" s="147" t="s">
        <v>80</v>
      </c>
      <c r="R179" s="146">
        <v>233400000</v>
      </c>
      <c r="S179" s="148">
        <v>233400000</v>
      </c>
      <c r="T179" s="148">
        <v>0</v>
      </c>
      <c r="U179" s="148">
        <v>233400000</v>
      </c>
      <c r="V179" s="148">
        <v>3916885</v>
      </c>
      <c r="W179" s="149">
        <v>237316885</v>
      </c>
      <c r="X179" s="150"/>
    </row>
    <row r="180" spans="1:24" s="121" customFormat="1" ht="14.1" customHeight="1">
      <c r="A180" s="87"/>
      <c r="B180" s="137">
        <v>171</v>
      </c>
      <c r="C180" s="70"/>
      <c r="D180" s="138" t="s">
        <v>490</v>
      </c>
      <c r="E180" s="139" t="s">
        <v>152</v>
      </c>
      <c r="F180" s="140" t="s">
        <v>332</v>
      </c>
      <c r="G180" s="141" t="s">
        <v>880</v>
      </c>
      <c r="H180" s="142">
        <v>1</v>
      </c>
      <c r="I180" s="143">
        <v>2.6600000000000002E-2</v>
      </c>
      <c r="J180" s="143">
        <v>0.1066</v>
      </c>
      <c r="K180" s="144">
        <v>20080619</v>
      </c>
      <c r="L180" s="144">
        <v>20380619</v>
      </c>
      <c r="M180" s="144">
        <v>20151020</v>
      </c>
      <c r="N180" s="144">
        <v>20151020</v>
      </c>
      <c r="O180" s="145" t="s">
        <v>80</v>
      </c>
      <c r="P180" s="146">
        <v>435000000</v>
      </c>
      <c r="Q180" s="147" t="s">
        <v>80</v>
      </c>
      <c r="R180" s="146">
        <v>365709878</v>
      </c>
      <c r="S180" s="148">
        <v>365709878</v>
      </c>
      <c r="T180" s="148">
        <v>4908054</v>
      </c>
      <c r="U180" s="148">
        <v>370617932</v>
      </c>
      <c r="V180" s="148">
        <v>14734270</v>
      </c>
      <c r="W180" s="149">
        <v>385352202</v>
      </c>
      <c r="X180" s="150" t="s">
        <v>1168</v>
      </c>
    </row>
    <row r="181" spans="1:24" s="121" customFormat="1" ht="14.1" customHeight="1">
      <c r="A181" s="87"/>
      <c r="B181" s="137">
        <v>172</v>
      </c>
      <c r="C181" s="70"/>
      <c r="D181" s="138" t="s">
        <v>491</v>
      </c>
      <c r="E181" s="139" t="s">
        <v>152</v>
      </c>
      <c r="F181" s="140" t="s">
        <v>741</v>
      </c>
      <c r="G181" s="141" t="s">
        <v>881</v>
      </c>
      <c r="H181" s="142">
        <v>1</v>
      </c>
      <c r="I181" s="143">
        <v>4.2500000000000003E-2</v>
      </c>
      <c r="J181" s="143">
        <v>0.1125</v>
      </c>
      <c r="K181" s="144">
        <v>20121016</v>
      </c>
      <c r="L181" s="144">
        <v>20421016</v>
      </c>
      <c r="M181" s="144">
        <v>20151202</v>
      </c>
      <c r="N181" s="144">
        <v>20160202</v>
      </c>
      <c r="O181" s="145" t="s">
        <v>80</v>
      </c>
      <c r="P181" s="146">
        <v>357000000</v>
      </c>
      <c r="Q181" s="147" t="s">
        <v>80</v>
      </c>
      <c r="R181" s="146">
        <v>357000000</v>
      </c>
      <c r="S181" s="148">
        <v>357000000</v>
      </c>
      <c r="T181" s="148">
        <v>4711606</v>
      </c>
      <c r="U181" s="148">
        <v>361711606</v>
      </c>
      <c r="V181" s="148">
        <v>13011669</v>
      </c>
      <c r="W181" s="149">
        <v>374723275</v>
      </c>
      <c r="X181" s="150" t="s">
        <v>1168</v>
      </c>
    </row>
    <row r="182" spans="1:24" s="121" customFormat="1" ht="14.1" customHeight="1">
      <c r="A182" s="87"/>
      <c r="B182" s="137">
        <v>173</v>
      </c>
      <c r="C182" s="70"/>
      <c r="D182" s="138" t="s">
        <v>492</v>
      </c>
      <c r="E182" s="139" t="s">
        <v>663</v>
      </c>
      <c r="F182" s="140" t="s">
        <v>734</v>
      </c>
      <c r="G182" s="141" t="s">
        <v>882</v>
      </c>
      <c r="H182" s="142">
        <v>0</v>
      </c>
      <c r="I182" s="143">
        <v>7.9699999999999993E-2</v>
      </c>
      <c r="J182" s="143">
        <v>0.13969999999999999</v>
      </c>
      <c r="K182" s="144">
        <v>20080125</v>
      </c>
      <c r="L182" s="144">
        <v>20160117</v>
      </c>
      <c r="M182" s="144">
        <v>20160112</v>
      </c>
      <c r="N182" s="144">
        <v>20160119</v>
      </c>
      <c r="O182" s="145" t="s">
        <v>80</v>
      </c>
      <c r="P182" s="353">
        <v>20000000</v>
      </c>
      <c r="Q182" s="147" t="s">
        <v>80</v>
      </c>
      <c r="R182" s="146">
        <v>20000000</v>
      </c>
      <c r="S182" s="148">
        <v>20000000</v>
      </c>
      <c r="T182" s="148">
        <v>0</v>
      </c>
      <c r="U182" s="148">
        <v>20000000</v>
      </c>
      <c r="V182" s="148">
        <v>960248</v>
      </c>
      <c r="W182" s="149">
        <v>20960248</v>
      </c>
      <c r="X182" s="150"/>
    </row>
    <row r="183" spans="1:24" s="121" customFormat="1" ht="14.1" customHeight="1">
      <c r="A183" s="87"/>
      <c r="B183" s="137">
        <v>174</v>
      </c>
      <c r="C183" s="70"/>
      <c r="D183" s="138" t="s">
        <v>492</v>
      </c>
      <c r="E183" s="139" t="s">
        <v>663</v>
      </c>
      <c r="F183" s="140" t="s">
        <v>742</v>
      </c>
      <c r="G183" s="141" t="s">
        <v>883</v>
      </c>
      <c r="H183" s="142">
        <v>1</v>
      </c>
      <c r="I183" s="143">
        <v>2.5499999999999998E-2</v>
      </c>
      <c r="J183" s="143">
        <v>9.5500000000000002E-2</v>
      </c>
      <c r="K183" s="144">
        <v>20061030</v>
      </c>
      <c r="L183" s="144">
        <v>20361030</v>
      </c>
      <c r="M183" s="144">
        <v>20160202</v>
      </c>
      <c r="N183" s="144">
        <v>20160225</v>
      </c>
      <c r="O183" s="145" t="s">
        <v>80</v>
      </c>
      <c r="P183" s="353">
        <v>320000000</v>
      </c>
      <c r="Q183" s="147" t="s">
        <v>80</v>
      </c>
      <c r="R183" s="146">
        <v>320000000</v>
      </c>
      <c r="S183" s="148">
        <v>320000000</v>
      </c>
      <c r="T183" s="148">
        <v>4494803</v>
      </c>
      <c r="U183" s="148">
        <v>324494803</v>
      </c>
      <c r="V183" s="148">
        <v>6249481</v>
      </c>
      <c r="W183" s="149">
        <v>330744284</v>
      </c>
      <c r="X183" s="150" t="s">
        <v>1168</v>
      </c>
    </row>
    <row r="184" spans="1:24" s="121" customFormat="1" ht="14.1" customHeight="1">
      <c r="A184" s="87"/>
      <c r="B184" s="137">
        <v>175</v>
      </c>
      <c r="C184" s="70"/>
      <c r="D184" s="138" t="s">
        <v>492</v>
      </c>
      <c r="E184" s="139" t="s">
        <v>663</v>
      </c>
      <c r="F184" s="140" t="s">
        <v>328</v>
      </c>
      <c r="G184" s="141" t="s">
        <v>884</v>
      </c>
      <c r="H184" s="142">
        <v>1</v>
      </c>
      <c r="I184" s="143">
        <v>8.7899999999999992E-2</v>
      </c>
      <c r="J184" s="143">
        <v>0.15</v>
      </c>
      <c r="K184" s="144">
        <v>20121102</v>
      </c>
      <c r="L184" s="144">
        <v>20151031</v>
      </c>
      <c r="M184" s="144">
        <v>20151103</v>
      </c>
      <c r="N184" s="144">
        <v>20151103</v>
      </c>
      <c r="O184" s="145" t="s">
        <v>80</v>
      </c>
      <c r="P184" s="353">
        <v>10000000</v>
      </c>
      <c r="Q184" s="147" t="s">
        <v>80</v>
      </c>
      <c r="R184" s="146">
        <v>10000000</v>
      </c>
      <c r="S184" s="148">
        <v>10000000</v>
      </c>
      <c r="T184" s="148">
        <v>0</v>
      </c>
      <c r="U184" s="148">
        <v>10000000</v>
      </c>
      <c r="V184" s="148">
        <v>487715</v>
      </c>
      <c r="W184" s="149">
        <v>10487715</v>
      </c>
      <c r="X184" s="150"/>
    </row>
    <row r="185" spans="1:24" s="121" customFormat="1" ht="14.1" customHeight="1">
      <c r="A185" s="87"/>
      <c r="B185" s="137">
        <v>176</v>
      </c>
      <c r="C185" s="70"/>
      <c r="D185" s="138" t="s">
        <v>493</v>
      </c>
      <c r="E185" s="139" t="s">
        <v>214</v>
      </c>
      <c r="F185" s="140" t="s">
        <v>333</v>
      </c>
      <c r="G185" s="141" t="s">
        <v>885</v>
      </c>
      <c r="H185" s="142">
        <v>1</v>
      </c>
      <c r="I185" s="143">
        <v>4.1299999999999996E-2</v>
      </c>
      <c r="J185" s="143">
        <v>0.12130000000000001</v>
      </c>
      <c r="K185" s="144">
        <v>20111111</v>
      </c>
      <c r="L185" s="144">
        <v>20151108</v>
      </c>
      <c r="M185" s="144">
        <v>20151110</v>
      </c>
      <c r="N185" s="144">
        <v>20151110</v>
      </c>
      <c r="O185" s="145" t="s">
        <v>80</v>
      </c>
      <c r="P185" s="146">
        <v>250000000</v>
      </c>
      <c r="Q185" s="147" t="s">
        <v>80</v>
      </c>
      <c r="R185" s="146">
        <v>250000000</v>
      </c>
      <c r="S185" s="148">
        <v>250000000</v>
      </c>
      <c r="T185" s="148">
        <v>0</v>
      </c>
      <c r="U185" s="148">
        <v>250000000</v>
      </c>
      <c r="V185" s="148">
        <v>14043834</v>
      </c>
      <c r="W185" s="149">
        <v>264043834</v>
      </c>
      <c r="X185" s="150"/>
    </row>
    <row r="186" spans="1:24" s="121" customFormat="1" ht="14.1" customHeight="1">
      <c r="A186" s="87"/>
      <c r="B186" s="137">
        <v>177</v>
      </c>
      <c r="C186" s="70"/>
      <c r="D186" s="138" t="s">
        <v>493</v>
      </c>
      <c r="E186" s="139" t="s">
        <v>214</v>
      </c>
      <c r="F186" s="140" t="s">
        <v>328</v>
      </c>
      <c r="G186" s="141" t="s">
        <v>886</v>
      </c>
      <c r="H186" s="142">
        <v>1</v>
      </c>
      <c r="I186" s="143">
        <v>7.9000000000000001E-2</v>
      </c>
      <c r="J186" s="143">
        <v>0.15</v>
      </c>
      <c r="K186" s="144">
        <v>20120928</v>
      </c>
      <c r="L186" s="144">
        <v>20151108</v>
      </c>
      <c r="M186" s="144">
        <v>20151110</v>
      </c>
      <c r="N186" s="144">
        <v>20151110</v>
      </c>
      <c r="O186" s="145" t="s">
        <v>80</v>
      </c>
      <c r="P186" s="146">
        <v>50000000</v>
      </c>
      <c r="Q186" s="147" t="s">
        <v>80</v>
      </c>
      <c r="R186" s="146">
        <v>50000000</v>
      </c>
      <c r="S186" s="148">
        <v>50000000</v>
      </c>
      <c r="T186" s="148">
        <v>0</v>
      </c>
      <c r="U186" s="148">
        <v>50000000</v>
      </c>
      <c r="V186" s="148">
        <v>3723524</v>
      </c>
      <c r="W186" s="149">
        <v>53723524</v>
      </c>
      <c r="X186" s="150"/>
    </row>
    <row r="187" spans="1:24" s="121" customFormat="1" ht="14.1" customHeight="1">
      <c r="A187" s="87"/>
      <c r="B187" s="137">
        <v>178</v>
      </c>
      <c r="C187" s="70"/>
      <c r="D187" s="138" t="s">
        <v>493</v>
      </c>
      <c r="E187" s="139" t="s">
        <v>214</v>
      </c>
      <c r="F187" s="140" t="s">
        <v>328</v>
      </c>
      <c r="G187" s="141" t="s">
        <v>887</v>
      </c>
      <c r="H187" s="142">
        <v>1</v>
      </c>
      <c r="I187" s="143">
        <v>4.7199999999999999E-2</v>
      </c>
      <c r="J187" s="143">
        <v>0.12720000000000001</v>
      </c>
      <c r="K187" s="144">
        <v>20130228</v>
      </c>
      <c r="L187" s="144">
        <v>20160228</v>
      </c>
      <c r="M187" s="144">
        <v>20151201</v>
      </c>
      <c r="N187" s="144">
        <v>20151215</v>
      </c>
      <c r="O187" s="145" t="s">
        <v>80</v>
      </c>
      <c r="P187" s="146">
        <v>50000000</v>
      </c>
      <c r="Q187" s="147" t="s">
        <v>80</v>
      </c>
      <c r="R187" s="146">
        <v>50000000</v>
      </c>
      <c r="S187" s="148">
        <v>50000000</v>
      </c>
      <c r="T187" s="148">
        <v>0</v>
      </c>
      <c r="U187" s="148">
        <v>50000000</v>
      </c>
      <c r="V187" s="148">
        <v>2498556</v>
      </c>
      <c r="W187" s="149">
        <v>52498556</v>
      </c>
      <c r="X187" s="150"/>
    </row>
    <row r="188" spans="1:24" s="121" customFormat="1" ht="14.1" customHeight="1">
      <c r="A188" s="87"/>
      <c r="B188" s="137">
        <v>179</v>
      </c>
      <c r="C188" s="70"/>
      <c r="D188" s="138" t="s">
        <v>494</v>
      </c>
      <c r="E188" s="139" t="s">
        <v>109</v>
      </c>
      <c r="F188" s="140" t="s">
        <v>343</v>
      </c>
      <c r="G188" s="141" t="s">
        <v>888</v>
      </c>
      <c r="H188" s="142">
        <v>1</v>
      </c>
      <c r="I188" s="143">
        <v>4.2500000000000003E-2</v>
      </c>
      <c r="J188" s="143">
        <v>0.1225</v>
      </c>
      <c r="K188" s="144">
        <v>20121228</v>
      </c>
      <c r="L188" s="144">
        <v>20421228</v>
      </c>
      <c r="M188" s="144">
        <v>20151001</v>
      </c>
      <c r="N188" s="144">
        <v>20151201</v>
      </c>
      <c r="O188" s="145" t="s">
        <v>80</v>
      </c>
      <c r="P188" s="146">
        <v>348000000</v>
      </c>
      <c r="Q188" s="147" t="s">
        <v>80</v>
      </c>
      <c r="R188" s="146">
        <v>339850000</v>
      </c>
      <c r="S188" s="148">
        <v>339850000</v>
      </c>
      <c r="T188" s="148">
        <v>4466690</v>
      </c>
      <c r="U188" s="148">
        <v>344316690</v>
      </c>
      <c r="V188" s="148">
        <v>19478210</v>
      </c>
      <c r="W188" s="149">
        <v>363794900</v>
      </c>
      <c r="X188" s="150" t="s">
        <v>1168</v>
      </c>
    </row>
    <row r="189" spans="1:24" s="121" customFormat="1" ht="14.1" customHeight="1">
      <c r="A189" s="87"/>
      <c r="B189" s="137">
        <v>180</v>
      </c>
      <c r="C189" s="70"/>
      <c r="D189" s="138" t="s">
        <v>495</v>
      </c>
      <c r="E189" s="139" t="s">
        <v>109</v>
      </c>
      <c r="F189" s="140" t="s">
        <v>732</v>
      </c>
      <c r="G189" s="141" t="s">
        <v>887</v>
      </c>
      <c r="H189" s="142">
        <v>1</v>
      </c>
      <c r="I189" s="143">
        <v>2.53E-2</v>
      </c>
      <c r="J189" s="143">
        <v>9.5299999999999996E-2</v>
      </c>
      <c r="K189" s="144">
        <v>20060522</v>
      </c>
      <c r="L189" s="144">
        <v>20360522</v>
      </c>
      <c r="M189" s="144">
        <v>20160123</v>
      </c>
      <c r="N189" s="144">
        <v>20160323</v>
      </c>
      <c r="O189" s="145" t="s">
        <v>80</v>
      </c>
      <c r="P189" s="146">
        <v>79000000</v>
      </c>
      <c r="Q189" s="147" t="s">
        <v>80</v>
      </c>
      <c r="R189" s="146">
        <v>78736567</v>
      </c>
      <c r="S189" s="148">
        <v>78736567</v>
      </c>
      <c r="T189" s="148">
        <v>0</v>
      </c>
      <c r="U189" s="148">
        <v>78736567</v>
      </c>
      <c r="V189" s="148">
        <v>1167095</v>
      </c>
      <c r="W189" s="149">
        <v>79903662</v>
      </c>
      <c r="X189" s="150"/>
    </row>
    <row r="190" spans="1:24" s="121" customFormat="1" ht="14.1" customHeight="1">
      <c r="A190" s="87"/>
      <c r="B190" s="137">
        <v>181</v>
      </c>
      <c r="C190" s="70"/>
      <c r="D190" s="138" t="s">
        <v>495</v>
      </c>
      <c r="E190" s="139" t="s">
        <v>109</v>
      </c>
      <c r="F190" s="140" t="s">
        <v>743</v>
      </c>
      <c r="G190" s="141" t="s">
        <v>889</v>
      </c>
      <c r="H190" s="142">
        <v>1</v>
      </c>
      <c r="I190" s="143">
        <v>2.9500000000000002E-2</v>
      </c>
      <c r="J190" s="143">
        <v>8.9499999999999996E-2</v>
      </c>
      <c r="K190" s="144">
        <v>20090226</v>
      </c>
      <c r="L190" s="144">
        <v>20160826</v>
      </c>
      <c r="M190" s="144">
        <v>20160127</v>
      </c>
      <c r="N190" s="144">
        <v>20160329</v>
      </c>
      <c r="O190" s="145" t="s">
        <v>80</v>
      </c>
      <c r="P190" s="146">
        <v>58000000</v>
      </c>
      <c r="Q190" s="147" t="s">
        <v>80</v>
      </c>
      <c r="R190" s="146">
        <v>58000000</v>
      </c>
      <c r="S190" s="148">
        <v>58000000</v>
      </c>
      <c r="T190" s="148">
        <v>0</v>
      </c>
      <c r="U190" s="148">
        <v>58000000</v>
      </c>
      <c r="V190" s="148">
        <v>859571</v>
      </c>
      <c r="W190" s="149">
        <v>58859571</v>
      </c>
      <c r="X190" s="150"/>
    </row>
    <row r="191" spans="1:24" s="121" customFormat="1" ht="14.1" customHeight="1">
      <c r="A191" s="87"/>
      <c r="B191" s="137">
        <v>182</v>
      </c>
      <c r="C191" s="70"/>
      <c r="D191" s="138" t="s">
        <v>495</v>
      </c>
      <c r="E191" s="139" t="s">
        <v>109</v>
      </c>
      <c r="F191" s="140" t="s">
        <v>328</v>
      </c>
      <c r="G191" s="141" t="s">
        <v>890</v>
      </c>
      <c r="H191" s="142">
        <v>1</v>
      </c>
      <c r="I191" s="143">
        <v>5.0999999999999997E-2</v>
      </c>
      <c r="J191" s="143">
        <v>0.121</v>
      </c>
      <c r="K191" s="144">
        <v>20120530</v>
      </c>
      <c r="L191" s="144">
        <v>20160530</v>
      </c>
      <c r="M191" s="144">
        <v>20160202</v>
      </c>
      <c r="N191" s="144">
        <v>20160216</v>
      </c>
      <c r="O191" s="145" t="s">
        <v>80</v>
      </c>
      <c r="P191" s="146">
        <v>40000000</v>
      </c>
      <c r="Q191" s="147" t="s">
        <v>80</v>
      </c>
      <c r="R191" s="146">
        <v>40000000</v>
      </c>
      <c r="S191" s="148">
        <v>40000000</v>
      </c>
      <c r="T191" s="148">
        <v>0</v>
      </c>
      <c r="U191" s="148">
        <v>40000000</v>
      </c>
      <c r="V191" s="148">
        <v>1176468</v>
      </c>
      <c r="W191" s="149">
        <v>41176468</v>
      </c>
      <c r="X191" s="150"/>
    </row>
    <row r="192" spans="1:24" s="121" customFormat="1" ht="14.1" customHeight="1">
      <c r="A192" s="87"/>
      <c r="B192" s="137">
        <v>183</v>
      </c>
      <c r="C192" s="70"/>
      <c r="D192" s="138" t="s">
        <v>495</v>
      </c>
      <c r="E192" s="139" t="s">
        <v>109</v>
      </c>
      <c r="F192" s="140" t="s">
        <v>328</v>
      </c>
      <c r="G192" s="141" t="s">
        <v>891</v>
      </c>
      <c r="H192" s="142">
        <v>1</v>
      </c>
      <c r="I192" s="143">
        <v>5.16E-2</v>
      </c>
      <c r="J192" s="143">
        <v>0.1216</v>
      </c>
      <c r="K192" s="144">
        <v>20121203</v>
      </c>
      <c r="L192" s="144">
        <v>20161203</v>
      </c>
      <c r="M192" s="144">
        <v>20160204</v>
      </c>
      <c r="N192" s="144">
        <v>20160218</v>
      </c>
      <c r="O192" s="145" t="s">
        <v>80</v>
      </c>
      <c r="P192" s="146">
        <v>40000000</v>
      </c>
      <c r="Q192" s="147" t="s">
        <v>80</v>
      </c>
      <c r="R192" s="146">
        <v>40000000</v>
      </c>
      <c r="S192" s="148">
        <v>40000000</v>
      </c>
      <c r="T192" s="148">
        <v>0</v>
      </c>
      <c r="U192" s="148">
        <v>40000000</v>
      </c>
      <c r="V192" s="148">
        <v>1157640</v>
      </c>
      <c r="W192" s="149">
        <v>41157640</v>
      </c>
      <c r="X192" s="150"/>
    </row>
    <row r="193" spans="1:24" s="121" customFormat="1" ht="14.1" customHeight="1">
      <c r="A193" s="87"/>
      <c r="B193" s="137">
        <v>184</v>
      </c>
      <c r="C193" s="70"/>
      <c r="D193" s="138" t="s">
        <v>495</v>
      </c>
      <c r="E193" s="139" t="s">
        <v>109</v>
      </c>
      <c r="F193" s="140" t="s">
        <v>738</v>
      </c>
      <c r="G193" s="141" t="s">
        <v>892</v>
      </c>
      <c r="H193" s="142">
        <v>1</v>
      </c>
      <c r="I193" s="143">
        <v>3.2199999999999999E-2</v>
      </c>
      <c r="J193" s="143">
        <v>0.10220000000000001</v>
      </c>
      <c r="K193" s="144">
        <v>20130722</v>
      </c>
      <c r="L193" s="144">
        <v>20230722</v>
      </c>
      <c r="M193" s="144">
        <v>20160123</v>
      </c>
      <c r="N193" s="144">
        <v>20160323</v>
      </c>
      <c r="O193" s="145" t="s">
        <v>80</v>
      </c>
      <c r="P193" s="146">
        <v>91000000</v>
      </c>
      <c r="Q193" s="147" t="s">
        <v>80</v>
      </c>
      <c r="R193" s="146">
        <v>91000000</v>
      </c>
      <c r="S193" s="148">
        <v>91000000</v>
      </c>
      <c r="T193" s="148">
        <v>0</v>
      </c>
      <c r="U193" s="148">
        <v>91000000</v>
      </c>
      <c r="V193" s="148">
        <v>1573224</v>
      </c>
      <c r="W193" s="149">
        <v>92573224</v>
      </c>
      <c r="X193" s="150"/>
    </row>
    <row r="194" spans="1:24" s="121" customFormat="1" ht="14.1" customHeight="1">
      <c r="A194" s="87"/>
      <c r="B194" s="137">
        <v>185</v>
      </c>
      <c r="C194" s="70"/>
      <c r="D194" s="138" t="s">
        <v>495</v>
      </c>
      <c r="E194" s="139" t="s">
        <v>109</v>
      </c>
      <c r="F194" s="140" t="s">
        <v>328</v>
      </c>
      <c r="G194" s="141" t="s">
        <v>893</v>
      </c>
      <c r="H194" s="142">
        <v>1</v>
      </c>
      <c r="I194" s="143">
        <v>4.7899999999999998E-2</v>
      </c>
      <c r="J194" s="143">
        <v>0.11789999999999999</v>
      </c>
      <c r="K194" s="144">
        <v>20150518</v>
      </c>
      <c r="L194" s="144">
        <v>20160518</v>
      </c>
      <c r="M194" s="144">
        <v>20160119</v>
      </c>
      <c r="N194" s="144">
        <v>20160202</v>
      </c>
      <c r="O194" s="145" t="s">
        <v>80</v>
      </c>
      <c r="P194" s="146">
        <v>20000000</v>
      </c>
      <c r="Q194" s="147" t="s">
        <v>80</v>
      </c>
      <c r="R194" s="146">
        <v>20000000</v>
      </c>
      <c r="S194" s="148">
        <v>20000000</v>
      </c>
      <c r="T194" s="148">
        <v>0</v>
      </c>
      <c r="U194" s="148">
        <v>20000000</v>
      </c>
      <c r="V194" s="148">
        <v>658510</v>
      </c>
      <c r="W194" s="149">
        <v>20658510</v>
      </c>
      <c r="X194" s="150"/>
    </row>
    <row r="195" spans="1:24" s="121" customFormat="1" ht="14.1" customHeight="1">
      <c r="A195" s="87"/>
      <c r="B195" s="137">
        <v>186</v>
      </c>
      <c r="C195" s="70"/>
      <c r="D195" s="138" t="s">
        <v>495</v>
      </c>
      <c r="E195" s="139" t="s">
        <v>109</v>
      </c>
      <c r="F195" s="140" t="s">
        <v>744</v>
      </c>
      <c r="G195" s="141" t="s">
        <v>894</v>
      </c>
      <c r="H195" s="142">
        <v>1</v>
      </c>
      <c r="I195" s="143">
        <v>2.4700000000000003E-2</v>
      </c>
      <c r="J195" s="143">
        <v>2.4700000000000003E-2</v>
      </c>
      <c r="K195" s="144">
        <v>20150318</v>
      </c>
      <c r="L195" s="144">
        <v>20200318</v>
      </c>
      <c r="M195" s="144">
        <v>20160426</v>
      </c>
      <c r="N195" s="144" t="s">
        <v>1040</v>
      </c>
      <c r="O195" s="145" t="s">
        <v>80</v>
      </c>
      <c r="P195" s="146">
        <v>10000000</v>
      </c>
      <c r="Q195" s="147" t="s">
        <v>80</v>
      </c>
      <c r="R195" s="146">
        <v>10000000</v>
      </c>
      <c r="S195" s="148">
        <v>10000000</v>
      </c>
      <c r="T195" s="148">
        <v>0</v>
      </c>
      <c r="U195" s="148">
        <v>10000000</v>
      </c>
      <c r="V195" s="148">
        <v>68656</v>
      </c>
      <c r="W195" s="149">
        <v>10068656</v>
      </c>
      <c r="X195" s="150"/>
    </row>
    <row r="196" spans="1:24" s="121" customFormat="1" ht="14.1" customHeight="1">
      <c r="A196" s="87"/>
      <c r="B196" s="137">
        <v>187</v>
      </c>
      <c r="C196" s="70"/>
      <c r="D196" s="138" t="s">
        <v>496</v>
      </c>
      <c r="E196" s="139" t="s">
        <v>194</v>
      </c>
      <c r="F196" s="140" t="s">
        <v>328</v>
      </c>
      <c r="G196" s="141" t="s">
        <v>340</v>
      </c>
      <c r="H196" s="142">
        <v>1</v>
      </c>
      <c r="I196" s="143">
        <v>4.7300000000000002E-2</v>
      </c>
      <c r="J196" s="143">
        <v>0.1173</v>
      </c>
      <c r="K196" s="144">
        <v>20140926</v>
      </c>
      <c r="L196" s="144">
        <v>20160926</v>
      </c>
      <c r="M196" s="144">
        <v>20160227</v>
      </c>
      <c r="N196" s="144">
        <v>20160312</v>
      </c>
      <c r="O196" s="145" t="s">
        <v>80</v>
      </c>
      <c r="P196" s="146">
        <v>316000000</v>
      </c>
      <c r="Q196" s="147" t="s">
        <v>80</v>
      </c>
      <c r="R196" s="146">
        <v>314500000</v>
      </c>
      <c r="S196" s="148">
        <v>314500000</v>
      </c>
      <c r="T196" s="148">
        <v>0</v>
      </c>
      <c r="U196" s="148">
        <v>314500000</v>
      </c>
      <c r="V196" s="148">
        <v>6377719</v>
      </c>
      <c r="W196" s="149">
        <v>320877719</v>
      </c>
      <c r="X196" s="150"/>
    </row>
    <row r="197" spans="1:24" s="121" customFormat="1" ht="14.1" customHeight="1">
      <c r="A197" s="87"/>
      <c r="B197" s="137">
        <v>188</v>
      </c>
      <c r="C197" s="70"/>
      <c r="D197" s="138" t="s">
        <v>496</v>
      </c>
      <c r="E197" s="139" t="s">
        <v>194</v>
      </c>
      <c r="F197" s="140" t="s">
        <v>354</v>
      </c>
      <c r="G197" s="141" t="s">
        <v>895</v>
      </c>
      <c r="H197" s="142">
        <v>1</v>
      </c>
      <c r="I197" s="143">
        <v>3.5900000000000001E-2</v>
      </c>
      <c r="J197" s="143">
        <v>0.10589999999999999</v>
      </c>
      <c r="K197" s="144">
        <v>20150319</v>
      </c>
      <c r="L197" s="144">
        <v>20200319</v>
      </c>
      <c r="M197" s="144">
        <v>20160220</v>
      </c>
      <c r="N197" s="144">
        <v>20160305</v>
      </c>
      <c r="O197" s="145" t="s">
        <v>80</v>
      </c>
      <c r="P197" s="146">
        <v>20000000</v>
      </c>
      <c r="Q197" s="147" t="s">
        <v>80</v>
      </c>
      <c r="R197" s="146">
        <v>20000000</v>
      </c>
      <c r="S197" s="148">
        <v>20000000</v>
      </c>
      <c r="T197" s="148">
        <v>0</v>
      </c>
      <c r="U197" s="148">
        <v>20000000</v>
      </c>
      <c r="V197" s="148">
        <v>386824</v>
      </c>
      <c r="W197" s="149">
        <v>20386824</v>
      </c>
      <c r="X197" s="150"/>
    </row>
    <row r="198" spans="1:24" s="121" customFormat="1" ht="14.1" customHeight="1">
      <c r="A198" s="87"/>
      <c r="B198" s="137">
        <v>189</v>
      </c>
      <c r="C198" s="70"/>
      <c r="D198" s="138" t="s">
        <v>497</v>
      </c>
      <c r="E198" s="139" t="s">
        <v>175</v>
      </c>
      <c r="F198" s="140" t="s">
        <v>329</v>
      </c>
      <c r="G198" s="141" t="s">
        <v>896</v>
      </c>
      <c r="H198" s="142">
        <v>0</v>
      </c>
      <c r="I198" s="143">
        <v>8.7249999999999994E-2</v>
      </c>
      <c r="J198" s="143">
        <v>0.14727000000000001</v>
      </c>
      <c r="K198" s="144">
        <v>20070918</v>
      </c>
      <c r="L198" s="144">
        <v>20160313</v>
      </c>
      <c r="M198" s="144">
        <v>20160308</v>
      </c>
      <c r="N198" s="144">
        <v>20160315</v>
      </c>
      <c r="O198" s="145" t="s">
        <v>80</v>
      </c>
      <c r="P198" s="146">
        <v>85000000</v>
      </c>
      <c r="Q198" s="147" t="s">
        <v>80</v>
      </c>
      <c r="R198" s="146">
        <v>84850000</v>
      </c>
      <c r="S198" s="148">
        <v>84850000</v>
      </c>
      <c r="T198" s="148">
        <v>0</v>
      </c>
      <c r="U198" s="148">
        <v>84850000</v>
      </c>
      <c r="V198" s="148">
        <v>1794087</v>
      </c>
      <c r="W198" s="149">
        <v>86644087</v>
      </c>
      <c r="X198" s="150"/>
    </row>
    <row r="199" spans="1:24" s="121" customFormat="1" ht="14.1" customHeight="1">
      <c r="A199" s="87"/>
      <c r="B199" s="137">
        <v>190</v>
      </c>
      <c r="C199" s="70"/>
      <c r="D199" s="138" t="s">
        <v>497</v>
      </c>
      <c r="E199" s="139" t="s">
        <v>175</v>
      </c>
      <c r="F199" s="140" t="s">
        <v>734</v>
      </c>
      <c r="G199" s="141" t="s">
        <v>897</v>
      </c>
      <c r="H199" s="142">
        <v>0</v>
      </c>
      <c r="I199" s="143">
        <v>7.3599999999999999E-2</v>
      </c>
      <c r="J199" s="143">
        <v>0.1336</v>
      </c>
      <c r="K199" s="144">
        <v>20070810</v>
      </c>
      <c r="L199" s="144">
        <v>20160802</v>
      </c>
      <c r="M199" s="144" t="s">
        <v>1040</v>
      </c>
      <c r="N199" s="144" t="s">
        <v>1040</v>
      </c>
      <c r="O199" s="145" t="s">
        <v>80</v>
      </c>
      <c r="P199" s="146">
        <v>19000000</v>
      </c>
      <c r="Q199" s="147" t="s">
        <v>80</v>
      </c>
      <c r="R199" s="146">
        <v>18322310</v>
      </c>
      <c r="S199" s="148">
        <v>18322310</v>
      </c>
      <c r="T199" s="148">
        <v>0</v>
      </c>
      <c r="U199" s="148">
        <v>18322310</v>
      </c>
      <c r="V199" s="148">
        <v>29475</v>
      </c>
      <c r="W199" s="149">
        <v>18351785</v>
      </c>
      <c r="X199" s="150"/>
    </row>
    <row r="200" spans="1:24" s="121" customFormat="1" ht="14.1" customHeight="1">
      <c r="A200" s="87"/>
      <c r="B200" s="137">
        <v>191</v>
      </c>
      <c r="C200" s="70"/>
      <c r="D200" s="138" t="s">
        <v>497</v>
      </c>
      <c r="E200" s="139" t="s">
        <v>175</v>
      </c>
      <c r="F200" s="140" t="s">
        <v>328</v>
      </c>
      <c r="G200" s="141" t="s">
        <v>898</v>
      </c>
      <c r="H200" s="142">
        <v>1</v>
      </c>
      <c r="I200" s="143">
        <v>6.0299999999999999E-2</v>
      </c>
      <c r="J200" s="143">
        <v>0.1303</v>
      </c>
      <c r="K200" s="144">
        <v>20110915</v>
      </c>
      <c r="L200" s="144">
        <v>20160313</v>
      </c>
      <c r="M200" s="144">
        <v>20160216</v>
      </c>
      <c r="N200" s="144">
        <v>20160301</v>
      </c>
      <c r="O200" s="145" t="s">
        <v>80</v>
      </c>
      <c r="P200" s="146">
        <v>100000000</v>
      </c>
      <c r="Q200" s="147" t="s">
        <v>80</v>
      </c>
      <c r="R200" s="146">
        <v>40000000</v>
      </c>
      <c r="S200" s="148">
        <v>40000000</v>
      </c>
      <c r="T200" s="148">
        <v>0</v>
      </c>
      <c r="U200" s="148">
        <v>40000000</v>
      </c>
      <c r="V200" s="148">
        <v>1097647</v>
      </c>
      <c r="W200" s="149">
        <v>41097647</v>
      </c>
      <c r="X200" s="150"/>
    </row>
    <row r="201" spans="1:24" s="121" customFormat="1" ht="14.1" customHeight="1">
      <c r="A201" s="87"/>
      <c r="B201" s="137">
        <v>192</v>
      </c>
      <c r="C201" s="70"/>
      <c r="D201" s="138" t="s">
        <v>497</v>
      </c>
      <c r="E201" s="139" t="s">
        <v>175</v>
      </c>
      <c r="F201" s="140" t="s">
        <v>328</v>
      </c>
      <c r="G201" s="141" t="s">
        <v>899</v>
      </c>
      <c r="H201" s="142">
        <v>1</v>
      </c>
      <c r="I201" s="143">
        <v>5.7300000000000004E-2</v>
      </c>
      <c r="J201" s="143">
        <v>0.1273</v>
      </c>
      <c r="K201" s="144">
        <v>20130313</v>
      </c>
      <c r="L201" s="144">
        <v>20160313</v>
      </c>
      <c r="M201" s="144">
        <v>20160202</v>
      </c>
      <c r="N201" s="144">
        <v>20160216</v>
      </c>
      <c r="O201" s="145" t="s">
        <v>80</v>
      </c>
      <c r="P201" s="146">
        <v>120000000</v>
      </c>
      <c r="Q201" s="147" t="s">
        <v>80</v>
      </c>
      <c r="R201" s="146">
        <v>120000000</v>
      </c>
      <c r="S201" s="148">
        <v>120000000</v>
      </c>
      <c r="T201" s="148">
        <v>0</v>
      </c>
      <c r="U201" s="148">
        <v>120000000</v>
      </c>
      <c r="V201" s="148">
        <v>3802131</v>
      </c>
      <c r="W201" s="149">
        <v>123802131</v>
      </c>
      <c r="X201" s="150"/>
    </row>
    <row r="202" spans="1:24" s="121" customFormat="1" ht="14.1" customHeight="1">
      <c r="A202" s="87"/>
      <c r="B202" s="137">
        <v>193</v>
      </c>
      <c r="C202" s="70"/>
      <c r="D202" s="138" t="s">
        <v>497</v>
      </c>
      <c r="E202" s="139" t="s">
        <v>175</v>
      </c>
      <c r="F202" s="140" t="s">
        <v>335</v>
      </c>
      <c r="G202" s="141" t="s">
        <v>900</v>
      </c>
      <c r="H202" s="142">
        <v>1</v>
      </c>
      <c r="I202" s="143">
        <v>5.45E-2</v>
      </c>
      <c r="J202" s="143">
        <v>0.1245</v>
      </c>
      <c r="K202" s="144">
        <v>20130729</v>
      </c>
      <c r="L202" s="144">
        <v>20160729</v>
      </c>
      <c r="M202" s="144">
        <v>20160216</v>
      </c>
      <c r="N202" s="144">
        <v>20160319</v>
      </c>
      <c r="O202" s="145" t="s">
        <v>80</v>
      </c>
      <c r="P202" s="146">
        <v>70000000</v>
      </c>
      <c r="Q202" s="147" t="s">
        <v>80</v>
      </c>
      <c r="R202" s="146">
        <v>69000000</v>
      </c>
      <c r="S202" s="148">
        <v>69000000</v>
      </c>
      <c r="T202" s="148">
        <v>0</v>
      </c>
      <c r="U202" s="148">
        <v>69000000</v>
      </c>
      <c r="V202" s="148">
        <v>1560239</v>
      </c>
      <c r="W202" s="149">
        <v>70560239</v>
      </c>
      <c r="X202" s="150"/>
    </row>
    <row r="203" spans="1:24" s="121" customFormat="1" ht="14.1" customHeight="1">
      <c r="A203" s="87"/>
      <c r="B203" s="137">
        <v>194</v>
      </c>
      <c r="C203" s="70"/>
      <c r="D203" s="138" t="s">
        <v>498</v>
      </c>
      <c r="E203" s="139" t="s">
        <v>183</v>
      </c>
      <c r="F203" s="140" t="s">
        <v>331</v>
      </c>
      <c r="G203" s="141" t="s">
        <v>901</v>
      </c>
      <c r="H203" s="142">
        <v>1</v>
      </c>
      <c r="I203" s="143">
        <v>3.8300000000000001E-2</v>
      </c>
      <c r="J203" s="143">
        <v>0.1183</v>
      </c>
      <c r="K203" s="144">
        <v>20131126</v>
      </c>
      <c r="L203" s="144">
        <v>20160126</v>
      </c>
      <c r="M203" s="144">
        <v>20151224</v>
      </c>
      <c r="N203" s="144">
        <v>20160107</v>
      </c>
      <c r="O203" s="145" t="s">
        <v>80</v>
      </c>
      <c r="P203" s="146">
        <v>650000000</v>
      </c>
      <c r="Q203" s="147" t="s">
        <v>80</v>
      </c>
      <c r="R203" s="146">
        <v>321800000</v>
      </c>
      <c r="S203" s="148">
        <v>321800000</v>
      </c>
      <c r="T203" s="148">
        <v>4198815</v>
      </c>
      <c r="U203" s="148">
        <v>325998815</v>
      </c>
      <c r="V203" s="148">
        <v>12049316</v>
      </c>
      <c r="W203" s="149">
        <v>338048131</v>
      </c>
      <c r="X203" s="150" t="s">
        <v>1168</v>
      </c>
    </row>
    <row r="204" spans="1:24" s="121" customFormat="1" ht="14.1" customHeight="1">
      <c r="A204" s="87"/>
      <c r="B204" s="137">
        <v>195</v>
      </c>
      <c r="C204" s="70"/>
      <c r="D204" s="138" t="s">
        <v>499</v>
      </c>
      <c r="E204" s="139" t="s">
        <v>109</v>
      </c>
      <c r="F204" s="140" t="s">
        <v>331</v>
      </c>
      <c r="G204" s="141" t="s">
        <v>902</v>
      </c>
      <c r="H204" s="142">
        <v>1</v>
      </c>
      <c r="I204" s="143">
        <v>3.9300000000000002E-2</v>
      </c>
      <c r="J204" s="143">
        <v>0.1193</v>
      </c>
      <c r="K204" s="144">
        <v>20141117</v>
      </c>
      <c r="L204" s="144">
        <v>20160412</v>
      </c>
      <c r="M204" s="144">
        <v>20150715</v>
      </c>
      <c r="N204" s="144">
        <v>20150729</v>
      </c>
      <c r="O204" s="145" t="s">
        <v>80</v>
      </c>
      <c r="P204" s="146">
        <v>320000000</v>
      </c>
      <c r="Q204" s="147" t="s">
        <v>80</v>
      </c>
      <c r="R204" s="146">
        <v>320000000</v>
      </c>
      <c r="S204" s="148">
        <v>320000000</v>
      </c>
      <c r="T204" s="148">
        <v>4439297</v>
      </c>
      <c r="U204" s="148">
        <v>324439297</v>
      </c>
      <c r="V204" s="148">
        <v>29247226</v>
      </c>
      <c r="W204" s="149">
        <v>353686523</v>
      </c>
      <c r="X204" s="150" t="s">
        <v>1168</v>
      </c>
    </row>
    <row r="205" spans="1:24" s="121" customFormat="1" ht="14.1" customHeight="1">
      <c r="A205" s="87"/>
      <c r="B205" s="137">
        <v>196</v>
      </c>
      <c r="C205" s="70"/>
      <c r="D205" s="138" t="s">
        <v>500</v>
      </c>
      <c r="E205" s="139" t="s">
        <v>130</v>
      </c>
      <c r="F205" s="140" t="s">
        <v>734</v>
      </c>
      <c r="G205" s="141" t="s">
        <v>903</v>
      </c>
      <c r="H205" s="142">
        <v>0</v>
      </c>
      <c r="I205" s="143">
        <v>5.4000000000000006E-2</v>
      </c>
      <c r="J205" s="143">
        <v>0.114</v>
      </c>
      <c r="K205" s="144">
        <v>20060323</v>
      </c>
      <c r="L205" s="144">
        <v>20160314</v>
      </c>
      <c r="M205" s="144">
        <v>20160212</v>
      </c>
      <c r="N205" s="144">
        <v>20160312</v>
      </c>
      <c r="O205" s="145" t="s">
        <v>80</v>
      </c>
      <c r="P205" s="146">
        <v>10000000</v>
      </c>
      <c r="Q205" s="147" t="s">
        <v>80</v>
      </c>
      <c r="R205" s="146">
        <v>10000000</v>
      </c>
      <c r="S205" s="148">
        <v>10000000</v>
      </c>
      <c r="T205" s="148">
        <v>0</v>
      </c>
      <c r="U205" s="148">
        <v>10000000</v>
      </c>
      <c r="V205" s="148">
        <v>219294</v>
      </c>
      <c r="W205" s="149">
        <v>10219294</v>
      </c>
      <c r="X205" s="150"/>
    </row>
    <row r="206" spans="1:24" s="121" customFormat="1" ht="14.1" customHeight="1">
      <c r="A206" s="87"/>
      <c r="B206" s="137">
        <v>197</v>
      </c>
      <c r="C206" s="70"/>
      <c r="D206" s="138" t="s">
        <v>500</v>
      </c>
      <c r="E206" s="139" t="s">
        <v>130</v>
      </c>
      <c r="F206" s="140" t="s">
        <v>732</v>
      </c>
      <c r="G206" s="141" t="s">
        <v>835</v>
      </c>
      <c r="H206" s="142">
        <v>1</v>
      </c>
      <c r="I206" s="143">
        <v>2.9300000000000003E-2</v>
      </c>
      <c r="J206" s="143">
        <v>0.10929999999999999</v>
      </c>
      <c r="K206" s="144">
        <v>20050221</v>
      </c>
      <c r="L206" s="144">
        <v>20350221</v>
      </c>
      <c r="M206" s="144">
        <v>20151124</v>
      </c>
      <c r="N206" s="144">
        <v>20151124</v>
      </c>
      <c r="O206" s="145" t="s">
        <v>80</v>
      </c>
      <c r="P206" s="146">
        <v>200000000</v>
      </c>
      <c r="Q206" s="147" t="s">
        <v>80</v>
      </c>
      <c r="R206" s="146">
        <v>188213820</v>
      </c>
      <c r="S206" s="148">
        <v>188213820</v>
      </c>
      <c r="T206" s="148">
        <v>1368090</v>
      </c>
      <c r="U206" s="148">
        <v>189581910</v>
      </c>
      <c r="V206" s="148">
        <v>5120168</v>
      </c>
      <c r="W206" s="149">
        <v>194702078</v>
      </c>
      <c r="X206" s="150" t="s">
        <v>1168</v>
      </c>
    </row>
    <row r="207" spans="1:24" s="121" customFormat="1" ht="14.1" customHeight="1">
      <c r="A207" s="87"/>
      <c r="B207" s="137">
        <v>198</v>
      </c>
      <c r="C207" s="70"/>
      <c r="D207" s="138" t="s">
        <v>500</v>
      </c>
      <c r="E207" s="139" t="s">
        <v>130</v>
      </c>
      <c r="F207" s="140" t="s">
        <v>732</v>
      </c>
      <c r="G207" s="141" t="s">
        <v>368</v>
      </c>
      <c r="H207" s="142">
        <v>1</v>
      </c>
      <c r="I207" s="143">
        <v>3.3099999999999997E-2</v>
      </c>
      <c r="J207" s="143">
        <v>0.10310000000000001</v>
      </c>
      <c r="K207" s="144">
        <v>20051027</v>
      </c>
      <c r="L207" s="144">
        <v>20351027</v>
      </c>
      <c r="M207" s="144">
        <v>20151128</v>
      </c>
      <c r="N207" s="144">
        <v>20151128</v>
      </c>
      <c r="O207" s="145" t="s">
        <v>80</v>
      </c>
      <c r="P207" s="146">
        <v>86000000</v>
      </c>
      <c r="Q207" s="147" t="s">
        <v>80</v>
      </c>
      <c r="R207" s="146">
        <v>85469104</v>
      </c>
      <c r="S207" s="148">
        <v>85469104</v>
      </c>
      <c r="T207" s="148">
        <v>0</v>
      </c>
      <c r="U207" s="148">
        <v>85469104</v>
      </c>
      <c r="V207" s="148">
        <v>2846585</v>
      </c>
      <c r="W207" s="149">
        <v>88315689</v>
      </c>
      <c r="X207" s="150"/>
    </row>
    <row r="208" spans="1:24" s="121" customFormat="1" ht="14.1" customHeight="1">
      <c r="A208" s="87"/>
      <c r="B208" s="137">
        <v>199</v>
      </c>
      <c r="C208" s="70"/>
      <c r="D208" s="138" t="s">
        <v>500</v>
      </c>
      <c r="E208" s="139" t="s">
        <v>130</v>
      </c>
      <c r="F208" s="140" t="s">
        <v>732</v>
      </c>
      <c r="G208" s="141" t="s">
        <v>876</v>
      </c>
      <c r="H208" s="142">
        <v>1</v>
      </c>
      <c r="I208" s="143">
        <v>2.8300000000000002E-2</v>
      </c>
      <c r="J208" s="143">
        <v>0.10830000000000001</v>
      </c>
      <c r="K208" s="144">
        <v>20060323</v>
      </c>
      <c r="L208" s="144">
        <v>20360323</v>
      </c>
      <c r="M208" s="144">
        <v>20151124</v>
      </c>
      <c r="N208" s="144">
        <v>20160126</v>
      </c>
      <c r="O208" s="145" t="s">
        <v>80</v>
      </c>
      <c r="P208" s="146">
        <v>39000000</v>
      </c>
      <c r="Q208" s="147" t="s">
        <v>80</v>
      </c>
      <c r="R208" s="146">
        <v>36646236</v>
      </c>
      <c r="S208" s="148">
        <v>36646236</v>
      </c>
      <c r="T208" s="148">
        <v>0</v>
      </c>
      <c r="U208" s="148">
        <v>36646236</v>
      </c>
      <c r="V208" s="148">
        <v>1150220</v>
      </c>
      <c r="W208" s="149">
        <v>37796456</v>
      </c>
      <c r="X208" s="150"/>
    </row>
    <row r="209" spans="1:24" s="121" customFormat="1" ht="14.1" customHeight="1">
      <c r="A209" s="87"/>
      <c r="B209" s="137">
        <v>200</v>
      </c>
      <c r="C209" s="70"/>
      <c r="D209" s="138" t="s">
        <v>501</v>
      </c>
      <c r="E209" s="139" t="s">
        <v>664</v>
      </c>
      <c r="F209" s="140" t="s">
        <v>745</v>
      </c>
      <c r="G209" s="141" t="s">
        <v>904</v>
      </c>
      <c r="H209" s="142">
        <v>1</v>
      </c>
      <c r="I209" s="143">
        <v>3.7999999999999999E-2</v>
      </c>
      <c r="J209" s="143">
        <v>0.10800000000000001</v>
      </c>
      <c r="K209" s="144">
        <v>20070911</v>
      </c>
      <c r="L209" s="144">
        <v>20370911</v>
      </c>
      <c r="M209" s="144">
        <v>20151203</v>
      </c>
      <c r="N209" s="144">
        <v>20160203</v>
      </c>
      <c r="O209" s="145" t="s">
        <v>80</v>
      </c>
      <c r="P209" s="146">
        <v>320000000</v>
      </c>
      <c r="Q209" s="147" t="s">
        <v>80</v>
      </c>
      <c r="R209" s="146">
        <v>320000000</v>
      </c>
      <c r="S209" s="148">
        <v>320000000</v>
      </c>
      <c r="T209" s="148">
        <v>4449704</v>
      </c>
      <c r="U209" s="148">
        <v>324449704</v>
      </c>
      <c r="V209" s="148">
        <v>10792599</v>
      </c>
      <c r="W209" s="149">
        <v>335242303</v>
      </c>
      <c r="X209" s="150" t="s">
        <v>1170</v>
      </c>
    </row>
    <row r="210" spans="1:24" s="121" customFormat="1" ht="14.1" customHeight="1">
      <c r="A210" s="87"/>
      <c r="B210" s="137">
        <v>201</v>
      </c>
      <c r="C210" s="70"/>
      <c r="D210" s="138" t="s">
        <v>502</v>
      </c>
      <c r="E210" s="139" t="s">
        <v>109</v>
      </c>
      <c r="F210" s="140" t="s">
        <v>685</v>
      </c>
      <c r="G210" s="141" t="s">
        <v>905</v>
      </c>
      <c r="H210" s="142">
        <v>1</v>
      </c>
      <c r="I210" s="143">
        <v>2.4500000000000001E-2</v>
      </c>
      <c r="J210" s="143">
        <v>9.4499999999999987E-2</v>
      </c>
      <c r="K210" s="144">
        <v>20100901</v>
      </c>
      <c r="L210" s="144">
        <v>20160901</v>
      </c>
      <c r="M210" s="144">
        <v>20160105</v>
      </c>
      <c r="N210" s="144">
        <v>20160305</v>
      </c>
      <c r="O210" s="145" t="s">
        <v>80</v>
      </c>
      <c r="P210" s="146">
        <v>300000000</v>
      </c>
      <c r="Q210" s="147" t="s">
        <v>80</v>
      </c>
      <c r="R210" s="146">
        <v>300000000</v>
      </c>
      <c r="S210" s="148">
        <v>300000000</v>
      </c>
      <c r="T210" s="148">
        <v>4207941</v>
      </c>
      <c r="U210" s="148">
        <v>304207941</v>
      </c>
      <c r="V210" s="148">
        <v>5975101</v>
      </c>
      <c r="W210" s="149">
        <v>310183042</v>
      </c>
      <c r="X210" s="150" t="s">
        <v>1168</v>
      </c>
    </row>
    <row r="211" spans="1:24" s="121" customFormat="1" ht="14.1" customHeight="1">
      <c r="A211" s="87"/>
      <c r="B211" s="137">
        <v>202</v>
      </c>
      <c r="C211" s="70"/>
      <c r="D211" s="138" t="s">
        <v>503</v>
      </c>
      <c r="E211" s="139" t="s">
        <v>661</v>
      </c>
      <c r="F211" s="140" t="s">
        <v>685</v>
      </c>
      <c r="G211" s="141" t="s">
        <v>350</v>
      </c>
      <c r="H211" s="142">
        <v>1</v>
      </c>
      <c r="I211" s="143">
        <v>3.5299999999999998E-2</v>
      </c>
      <c r="J211" s="143">
        <v>0.1153</v>
      </c>
      <c r="K211" s="144">
        <v>20090930</v>
      </c>
      <c r="L211" s="144">
        <v>20160930</v>
      </c>
      <c r="M211" s="144">
        <v>20151017</v>
      </c>
      <c r="N211" s="144">
        <v>20151217</v>
      </c>
      <c r="O211" s="145" t="s">
        <v>80</v>
      </c>
      <c r="P211" s="146">
        <v>300000000</v>
      </c>
      <c r="Q211" s="147" t="s">
        <v>80</v>
      </c>
      <c r="R211" s="146">
        <v>300000000</v>
      </c>
      <c r="S211" s="148">
        <v>300000000</v>
      </c>
      <c r="T211" s="148">
        <v>4129949</v>
      </c>
      <c r="U211" s="148">
        <v>304129949</v>
      </c>
      <c r="V211" s="148">
        <v>14224984</v>
      </c>
      <c r="W211" s="149">
        <v>318354933</v>
      </c>
      <c r="X211" s="150" t="s">
        <v>1168</v>
      </c>
    </row>
    <row r="212" spans="1:24" s="121" customFormat="1" ht="14.1" customHeight="1">
      <c r="A212" s="87"/>
      <c r="B212" s="137">
        <v>203</v>
      </c>
      <c r="C212" s="70"/>
      <c r="D212" s="138" t="s">
        <v>504</v>
      </c>
      <c r="E212" s="139" t="s">
        <v>152</v>
      </c>
      <c r="F212" s="140" t="s">
        <v>746</v>
      </c>
      <c r="G212" s="141" t="s">
        <v>765</v>
      </c>
      <c r="H212" s="142">
        <v>1</v>
      </c>
      <c r="I212" s="143">
        <v>2.1499999999999998E-2</v>
      </c>
      <c r="J212" s="143">
        <v>0.10150000000000001</v>
      </c>
      <c r="K212" s="144">
        <v>20100907</v>
      </c>
      <c r="L212" s="144">
        <v>20400907</v>
      </c>
      <c r="M212" s="144">
        <v>20150819</v>
      </c>
      <c r="N212" s="144">
        <v>20151020</v>
      </c>
      <c r="O212" s="145" t="s">
        <v>80</v>
      </c>
      <c r="P212" s="146">
        <v>299000000</v>
      </c>
      <c r="Q212" s="147" t="s">
        <v>80</v>
      </c>
      <c r="R212" s="146">
        <v>299000000</v>
      </c>
      <c r="S212" s="148">
        <v>299000000</v>
      </c>
      <c r="T212" s="148">
        <v>0</v>
      </c>
      <c r="U212" s="148">
        <v>299000000</v>
      </c>
      <c r="V212" s="148">
        <v>17108080</v>
      </c>
      <c r="W212" s="149">
        <v>316108080</v>
      </c>
      <c r="X212" s="150"/>
    </row>
    <row r="213" spans="1:24" s="121" customFormat="1" ht="14.1" customHeight="1">
      <c r="A213" s="87"/>
      <c r="B213" s="137">
        <v>204</v>
      </c>
      <c r="C213" s="70"/>
      <c r="D213" s="138" t="s">
        <v>505</v>
      </c>
      <c r="E213" s="139" t="s">
        <v>152</v>
      </c>
      <c r="F213" s="140" t="s">
        <v>349</v>
      </c>
      <c r="G213" s="141" t="s">
        <v>906</v>
      </c>
      <c r="H213" s="142">
        <v>1</v>
      </c>
      <c r="I213" s="143">
        <v>3.0099999999999998E-2</v>
      </c>
      <c r="J213" s="143">
        <v>0.1101</v>
      </c>
      <c r="K213" s="144">
        <v>20060331</v>
      </c>
      <c r="L213" s="144">
        <v>20360331</v>
      </c>
      <c r="M213" s="144">
        <v>20151008</v>
      </c>
      <c r="N213" s="144">
        <v>20151208</v>
      </c>
      <c r="O213" s="145" t="s">
        <v>80</v>
      </c>
      <c r="P213" s="146">
        <v>294000000</v>
      </c>
      <c r="Q213" s="147" t="s">
        <v>80</v>
      </c>
      <c r="R213" s="146">
        <v>293020000</v>
      </c>
      <c r="S213" s="148">
        <v>293020000</v>
      </c>
      <c r="T213" s="148">
        <v>4032710</v>
      </c>
      <c r="U213" s="148">
        <v>297052710</v>
      </c>
      <c r="V213" s="148">
        <v>13283550</v>
      </c>
      <c r="W213" s="149">
        <v>310336260</v>
      </c>
      <c r="X213" s="150" t="s">
        <v>1168</v>
      </c>
    </row>
    <row r="214" spans="1:24" s="121" customFormat="1" ht="14.1" customHeight="1">
      <c r="A214" s="87"/>
      <c r="B214" s="137">
        <v>205</v>
      </c>
      <c r="C214" s="70"/>
      <c r="D214" s="138" t="s">
        <v>506</v>
      </c>
      <c r="E214" s="139" t="s">
        <v>157</v>
      </c>
      <c r="F214" s="140" t="s">
        <v>736</v>
      </c>
      <c r="G214" s="141" t="s">
        <v>907</v>
      </c>
      <c r="H214" s="142">
        <v>1</v>
      </c>
      <c r="I214" s="143">
        <v>4.0999999999999995E-2</v>
      </c>
      <c r="J214" s="143">
        <v>0.111</v>
      </c>
      <c r="K214" s="144">
        <v>20130426</v>
      </c>
      <c r="L214" s="144">
        <v>20430426</v>
      </c>
      <c r="M214" s="144">
        <v>20151229</v>
      </c>
      <c r="N214" s="144">
        <v>20151229</v>
      </c>
      <c r="O214" s="145" t="s">
        <v>80</v>
      </c>
      <c r="P214" s="146">
        <v>285000000</v>
      </c>
      <c r="Q214" s="147" t="s">
        <v>80</v>
      </c>
      <c r="R214" s="146">
        <v>227402224</v>
      </c>
      <c r="S214" s="148">
        <v>227402224</v>
      </c>
      <c r="T214" s="148">
        <v>0</v>
      </c>
      <c r="U214" s="148">
        <v>227402224</v>
      </c>
      <c r="V214" s="148">
        <v>6415536</v>
      </c>
      <c r="W214" s="149">
        <v>233817760</v>
      </c>
      <c r="X214" s="150"/>
    </row>
    <row r="215" spans="1:24" s="121" customFormat="1" ht="14.1" customHeight="1">
      <c r="A215" s="87"/>
      <c r="B215" s="137">
        <v>206</v>
      </c>
      <c r="C215" s="70"/>
      <c r="D215" s="138" t="s">
        <v>506</v>
      </c>
      <c r="E215" s="139" t="s">
        <v>157</v>
      </c>
      <c r="F215" s="140" t="s">
        <v>328</v>
      </c>
      <c r="G215" s="141" t="s">
        <v>337</v>
      </c>
      <c r="H215" s="142">
        <v>1</v>
      </c>
      <c r="I215" s="143">
        <v>4.41E-2</v>
      </c>
      <c r="J215" s="143">
        <v>0.1241</v>
      </c>
      <c r="K215" s="144">
        <v>20140403</v>
      </c>
      <c r="L215" s="144">
        <v>20160403</v>
      </c>
      <c r="M215" s="144">
        <v>20160105</v>
      </c>
      <c r="N215" s="144">
        <v>20160119</v>
      </c>
      <c r="O215" s="145" t="s">
        <v>80</v>
      </c>
      <c r="P215" s="146">
        <v>50000000</v>
      </c>
      <c r="Q215" s="147" t="s">
        <v>80</v>
      </c>
      <c r="R215" s="146">
        <v>50000000</v>
      </c>
      <c r="S215" s="148">
        <v>50000000</v>
      </c>
      <c r="T215" s="148">
        <v>0</v>
      </c>
      <c r="U215" s="148">
        <v>50000000</v>
      </c>
      <c r="V215" s="148">
        <v>1816915</v>
      </c>
      <c r="W215" s="149">
        <v>51816915</v>
      </c>
      <c r="X215" s="150"/>
    </row>
    <row r="216" spans="1:24" s="121" customFormat="1" ht="14.1" customHeight="1">
      <c r="A216" s="87"/>
      <c r="B216" s="137">
        <v>207</v>
      </c>
      <c r="C216" s="70"/>
      <c r="D216" s="138" t="s">
        <v>507</v>
      </c>
      <c r="E216" s="139" t="s">
        <v>168</v>
      </c>
      <c r="F216" s="140" t="s">
        <v>727</v>
      </c>
      <c r="G216" s="141" t="s">
        <v>773</v>
      </c>
      <c r="H216" s="142">
        <v>1</v>
      </c>
      <c r="I216" s="143">
        <v>3.61E-2</v>
      </c>
      <c r="J216" s="143">
        <v>0.1061</v>
      </c>
      <c r="K216" s="144">
        <v>20130429</v>
      </c>
      <c r="L216" s="144">
        <v>20280429</v>
      </c>
      <c r="M216" s="144">
        <v>20160202</v>
      </c>
      <c r="N216" s="144">
        <v>20160324</v>
      </c>
      <c r="O216" s="145" t="s">
        <v>80</v>
      </c>
      <c r="P216" s="146">
        <v>277000000</v>
      </c>
      <c r="Q216" s="147" t="s">
        <v>80</v>
      </c>
      <c r="R216" s="146">
        <v>277000000</v>
      </c>
      <c r="S216" s="148">
        <v>277000000</v>
      </c>
      <c r="T216" s="148">
        <v>0</v>
      </c>
      <c r="U216" s="148">
        <v>277000000</v>
      </c>
      <c r="V216" s="148">
        <v>4852644</v>
      </c>
      <c r="W216" s="149">
        <v>281852644</v>
      </c>
      <c r="X216" s="150"/>
    </row>
    <row r="217" spans="1:24" s="121" customFormat="1" ht="14.1" customHeight="1">
      <c r="A217" s="87"/>
      <c r="B217" s="137">
        <v>208</v>
      </c>
      <c r="C217" s="60"/>
      <c r="D217" s="138" t="s">
        <v>508</v>
      </c>
      <c r="E217" s="139" t="s">
        <v>211</v>
      </c>
      <c r="F217" s="140" t="s">
        <v>727</v>
      </c>
      <c r="G217" s="141" t="s">
        <v>908</v>
      </c>
      <c r="H217" s="142">
        <v>1</v>
      </c>
      <c r="I217" s="143">
        <v>2.1499999999999998E-2</v>
      </c>
      <c r="J217" s="143">
        <v>0.10150000000000001</v>
      </c>
      <c r="K217" s="144">
        <v>20110218</v>
      </c>
      <c r="L217" s="144">
        <v>20410218</v>
      </c>
      <c r="M217" s="144">
        <v>20151015</v>
      </c>
      <c r="N217" s="144">
        <v>20151215</v>
      </c>
      <c r="O217" s="145" t="s">
        <v>80</v>
      </c>
      <c r="P217" s="146">
        <v>275000000</v>
      </c>
      <c r="Q217" s="147" t="s">
        <v>80</v>
      </c>
      <c r="R217" s="146">
        <v>274999275</v>
      </c>
      <c r="S217" s="148">
        <v>274999275</v>
      </c>
      <c r="T217" s="148">
        <v>0</v>
      </c>
      <c r="U217" s="148">
        <v>274999275</v>
      </c>
      <c r="V217" s="148">
        <v>8153952</v>
      </c>
      <c r="W217" s="149">
        <v>283153227</v>
      </c>
      <c r="X217" s="150"/>
    </row>
    <row r="218" spans="1:24" s="121" customFormat="1" ht="14.1" customHeight="1">
      <c r="A218" s="87"/>
      <c r="B218" s="137">
        <v>209</v>
      </c>
      <c r="C218" s="60"/>
      <c r="D218" s="138" t="s">
        <v>509</v>
      </c>
      <c r="E218" s="139" t="s">
        <v>130</v>
      </c>
      <c r="F218" s="140" t="s">
        <v>722</v>
      </c>
      <c r="G218" s="141" t="s">
        <v>909</v>
      </c>
      <c r="H218" s="142">
        <v>1</v>
      </c>
      <c r="I218" s="143">
        <v>4.3200000000000002E-2</v>
      </c>
      <c r="J218" s="143">
        <v>0.11320000000000001</v>
      </c>
      <c r="K218" s="144">
        <v>20090910</v>
      </c>
      <c r="L218" s="144">
        <v>20160310</v>
      </c>
      <c r="M218" s="144">
        <v>20160112</v>
      </c>
      <c r="N218" s="144">
        <v>20160212</v>
      </c>
      <c r="O218" s="145" t="s">
        <v>80</v>
      </c>
      <c r="P218" s="146">
        <v>259000000</v>
      </c>
      <c r="Q218" s="147" t="s">
        <v>80</v>
      </c>
      <c r="R218" s="146">
        <v>259000000</v>
      </c>
      <c r="S218" s="148">
        <v>259000000</v>
      </c>
      <c r="T218" s="148">
        <v>0</v>
      </c>
      <c r="U218" s="148">
        <v>259000000</v>
      </c>
      <c r="V218" s="148">
        <v>7868297</v>
      </c>
      <c r="W218" s="149">
        <v>266868297</v>
      </c>
      <c r="X218" s="150"/>
    </row>
    <row r="219" spans="1:24" s="121" customFormat="1" ht="14.1" customHeight="1">
      <c r="A219" s="87"/>
      <c r="B219" s="137">
        <v>210</v>
      </c>
      <c r="C219" s="70"/>
      <c r="D219" s="138" t="s">
        <v>510</v>
      </c>
      <c r="E219" s="139" t="s">
        <v>130</v>
      </c>
      <c r="F219" s="140" t="s">
        <v>740</v>
      </c>
      <c r="G219" s="141" t="s">
        <v>818</v>
      </c>
      <c r="H219" s="142">
        <v>1</v>
      </c>
      <c r="I219" s="143">
        <v>3.6499999999999998E-2</v>
      </c>
      <c r="J219" s="143">
        <v>0.11650000000000001</v>
      </c>
      <c r="K219" s="144">
        <v>20141105</v>
      </c>
      <c r="L219" s="144">
        <v>20441105</v>
      </c>
      <c r="M219" s="144">
        <v>20151106</v>
      </c>
      <c r="N219" s="144">
        <v>20160106</v>
      </c>
      <c r="O219" s="145" t="s">
        <v>80</v>
      </c>
      <c r="P219" s="146">
        <v>248500000</v>
      </c>
      <c r="Q219" s="147" t="s">
        <v>80</v>
      </c>
      <c r="R219" s="146">
        <v>248500000</v>
      </c>
      <c r="S219" s="148">
        <v>248500000</v>
      </c>
      <c r="T219" s="148">
        <v>12828388</v>
      </c>
      <c r="U219" s="148">
        <v>261328388</v>
      </c>
      <c r="V219" s="148">
        <v>10426343</v>
      </c>
      <c r="W219" s="149">
        <v>271754731</v>
      </c>
      <c r="X219" s="150" t="s">
        <v>1168</v>
      </c>
    </row>
    <row r="220" spans="1:24" s="121" customFormat="1" ht="14.1" customHeight="1">
      <c r="A220" s="87"/>
      <c r="B220" s="137">
        <v>211</v>
      </c>
      <c r="C220" s="70"/>
      <c r="D220" s="138" t="s">
        <v>511</v>
      </c>
      <c r="E220" s="139" t="s">
        <v>665</v>
      </c>
      <c r="F220" s="140" t="s">
        <v>727</v>
      </c>
      <c r="G220" s="141" t="s">
        <v>910</v>
      </c>
      <c r="H220" s="142">
        <v>1</v>
      </c>
      <c r="I220" s="143">
        <v>2.2000000000000002E-2</v>
      </c>
      <c r="J220" s="143">
        <v>9.1999999999999998E-2</v>
      </c>
      <c r="K220" s="144">
        <v>20110715</v>
      </c>
      <c r="L220" s="144">
        <v>20410715</v>
      </c>
      <c r="M220" s="144">
        <v>20151223</v>
      </c>
      <c r="N220" s="144">
        <v>20160223</v>
      </c>
      <c r="O220" s="145" t="s">
        <v>80</v>
      </c>
      <c r="P220" s="353">
        <v>249100000</v>
      </c>
      <c r="Q220" s="147" t="s">
        <v>80</v>
      </c>
      <c r="R220" s="146">
        <v>249100000</v>
      </c>
      <c r="S220" s="148">
        <v>249100000</v>
      </c>
      <c r="T220" s="148">
        <v>0</v>
      </c>
      <c r="U220" s="148">
        <v>249100000</v>
      </c>
      <c r="V220" s="148">
        <v>5378732</v>
      </c>
      <c r="W220" s="149">
        <v>254478732</v>
      </c>
      <c r="X220" s="150"/>
    </row>
    <row r="221" spans="1:24" s="121" customFormat="1" ht="14.1" customHeight="1">
      <c r="A221" s="87"/>
      <c r="B221" s="137">
        <v>212</v>
      </c>
      <c r="C221" s="70"/>
      <c r="D221" s="138" t="s">
        <v>512</v>
      </c>
      <c r="E221" s="139" t="s">
        <v>152</v>
      </c>
      <c r="F221" s="140" t="s">
        <v>727</v>
      </c>
      <c r="G221" s="141" t="s">
        <v>369</v>
      </c>
      <c r="H221" s="142">
        <v>1</v>
      </c>
      <c r="I221" s="143">
        <v>2.7300000000000001E-2</v>
      </c>
      <c r="J221" s="143">
        <v>0.10730000000000001</v>
      </c>
      <c r="K221" s="144">
        <v>20141014</v>
      </c>
      <c r="L221" s="144">
        <v>20441014</v>
      </c>
      <c r="M221" s="144">
        <v>20151117</v>
      </c>
      <c r="N221" s="144">
        <v>20160119</v>
      </c>
      <c r="O221" s="145" t="s">
        <v>80</v>
      </c>
      <c r="P221" s="146">
        <v>250000000</v>
      </c>
      <c r="Q221" s="147" t="s">
        <v>80</v>
      </c>
      <c r="R221" s="146">
        <v>245072525</v>
      </c>
      <c r="S221" s="148">
        <v>245072525</v>
      </c>
      <c r="T221" s="148">
        <v>1089380</v>
      </c>
      <c r="U221" s="148">
        <v>246161905</v>
      </c>
      <c r="V221" s="148">
        <v>8322470</v>
      </c>
      <c r="W221" s="149">
        <v>254484375</v>
      </c>
      <c r="X221" s="150" t="s">
        <v>1168</v>
      </c>
    </row>
    <row r="222" spans="1:24" s="121" customFormat="1" ht="14.1" customHeight="1">
      <c r="A222" s="87"/>
      <c r="B222" s="137">
        <v>213</v>
      </c>
      <c r="C222" s="70"/>
      <c r="D222" s="138" t="s">
        <v>513</v>
      </c>
      <c r="E222" s="139" t="s">
        <v>152</v>
      </c>
      <c r="F222" s="140" t="s">
        <v>328</v>
      </c>
      <c r="G222" s="141" t="s">
        <v>822</v>
      </c>
      <c r="H222" s="142">
        <v>1</v>
      </c>
      <c r="I222" s="143">
        <v>4.3899999999999995E-2</v>
      </c>
      <c r="J222" s="143">
        <v>0.12390000000000001</v>
      </c>
      <c r="K222" s="144">
        <v>20110627</v>
      </c>
      <c r="L222" s="144">
        <v>20160427</v>
      </c>
      <c r="M222" s="144">
        <v>20150828</v>
      </c>
      <c r="N222" s="144">
        <v>20150911</v>
      </c>
      <c r="O222" s="145" t="s">
        <v>80</v>
      </c>
      <c r="P222" s="146">
        <v>180000000</v>
      </c>
      <c r="Q222" s="147" t="s">
        <v>80</v>
      </c>
      <c r="R222" s="146">
        <v>180000000</v>
      </c>
      <c r="S222" s="148">
        <v>180000000</v>
      </c>
      <c r="T222" s="148">
        <v>3057444</v>
      </c>
      <c r="U222" s="148">
        <v>183057444</v>
      </c>
      <c r="V222" s="148">
        <v>14372358</v>
      </c>
      <c r="W222" s="149">
        <v>197429802</v>
      </c>
      <c r="X222" s="150" t="s">
        <v>1168</v>
      </c>
    </row>
    <row r="223" spans="1:24" s="121" customFormat="1" ht="14.1" customHeight="1">
      <c r="A223" s="87"/>
      <c r="B223" s="137">
        <v>214</v>
      </c>
      <c r="C223" s="70"/>
      <c r="D223" s="138" t="s">
        <v>513</v>
      </c>
      <c r="E223" s="139" t="s">
        <v>152</v>
      </c>
      <c r="F223" s="140" t="s">
        <v>328</v>
      </c>
      <c r="G223" s="141" t="s">
        <v>911</v>
      </c>
      <c r="H223" s="142">
        <v>1</v>
      </c>
      <c r="I223" s="143">
        <v>4.7400000000000005E-2</v>
      </c>
      <c r="J223" s="143">
        <v>0.12740000000000001</v>
      </c>
      <c r="K223" s="144">
        <v>20130424</v>
      </c>
      <c r="L223" s="144">
        <v>20151025</v>
      </c>
      <c r="M223" s="144">
        <v>20150918</v>
      </c>
      <c r="N223" s="144">
        <v>20150918</v>
      </c>
      <c r="O223" s="145" t="s">
        <v>80</v>
      </c>
      <c r="P223" s="146">
        <v>100000000</v>
      </c>
      <c r="Q223" s="147" t="s">
        <v>80</v>
      </c>
      <c r="R223" s="146">
        <v>58000000</v>
      </c>
      <c r="S223" s="148">
        <v>58000000</v>
      </c>
      <c r="T223" s="148">
        <v>0</v>
      </c>
      <c r="U223" s="148">
        <v>58000000</v>
      </c>
      <c r="V223" s="148">
        <v>4519721</v>
      </c>
      <c r="W223" s="149">
        <v>62519721</v>
      </c>
      <c r="X223" s="150"/>
    </row>
    <row r="224" spans="1:24" s="121" customFormat="1" ht="14.1" customHeight="1">
      <c r="A224" s="87"/>
      <c r="B224" s="137">
        <v>215</v>
      </c>
      <c r="C224" s="70"/>
      <c r="D224" s="138" t="s">
        <v>514</v>
      </c>
      <c r="E224" s="139" t="s">
        <v>666</v>
      </c>
      <c r="F224" s="140" t="s">
        <v>719</v>
      </c>
      <c r="G224" s="141" t="s">
        <v>912</v>
      </c>
      <c r="H224" s="142">
        <v>1</v>
      </c>
      <c r="I224" s="143">
        <v>0.12</v>
      </c>
      <c r="J224" s="143">
        <v>0.15</v>
      </c>
      <c r="K224" s="144">
        <v>20141023</v>
      </c>
      <c r="L224" s="144">
        <v>20160423</v>
      </c>
      <c r="M224" s="144">
        <v>20160126</v>
      </c>
      <c r="N224" s="144">
        <v>20160209</v>
      </c>
      <c r="O224" s="145" t="s">
        <v>80</v>
      </c>
      <c r="P224" s="146">
        <v>240000000</v>
      </c>
      <c r="Q224" s="147" t="s">
        <v>80</v>
      </c>
      <c r="R224" s="146">
        <v>240000000</v>
      </c>
      <c r="S224" s="148">
        <v>240000000</v>
      </c>
      <c r="T224" s="148">
        <v>0</v>
      </c>
      <c r="U224" s="148">
        <v>240000000</v>
      </c>
      <c r="V224" s="148">
        <v>11507470</v>
      </c>
      <c r="W224" s="149">
        <v>251507470</v>
      </c>
      <c r="X224" s="150"/>
    </row>
    <row r="225" spans="1:24" s="121" customFormat="1" ht="14.1" customHeight="1">
      <c r="A225" s="87"/>
      <c r="B225" s="137">
        <v>216</v>
      </c>
      <c r="C225" s="70"/>
      <c r="D225" s="138" t="s">
        <v>515</v>
      </c>
      <c r="E225" s="139" t="s">
        <v>148</v>
      </c>
      <c r="F225" s="140" t="s">
        <v>727</v>
      </c>
      <c r="G225" s="141" t="s">
        <v>913</v>
      </c>
      <c r="H225" s="142">
        <v>1</v>
      </c>
      <c r="I225" s="143">
        <v>2.63E-2</v>
      </c>
      <c r="J225" s="143">
        <v>9.6300000000000011E-2</v>
      </c>
      <c r="K225" s="144">
        <v>20110602</v>
      </c>
      <c r="L225" s="144">
        <v>20410602</v>
      </c>
      <c r="M225" s="144">
        <v>20160105</v>
      </c>
      <c r="N225" s="144">
        <v>20160305</v>
      </c>
      <c r="O225" s="145" t="s">
        <v>80</v>
      </c>
      <c r="P225" s="353">
        <v>227000000</v>
      </c>
      <c r="Q225" s="147" t="s">
        <v>80</v>
      </c>
      <c r="R225" s="146">
        <v>226998219</v>
      </c>
      <c r="S225" s="148">
        <v>226998219</v>
      </c>
      <c r="T225" s="148">
        <v>0</v>
      </c>
      <c r="U225" s="148">
        <v>226998219</v>
      </c>
      <c r="V225" s="148">
        <v>4556686</v>
      </c>
      <c r="W225" s="149">
        <v>231554905</v>
      </c>
      <c r="X225" s="150"/>
    </row>
    <row r="226" spans="1:24" s="121" customFormat="1" ht="14.1" customHeight="1">
      <c r="A226" s="87"/>
      <c r="B226" s="137">
        <v>217</v>
      </c>
      <c r="C226" s="70"/>
      <c r="D226" s="138" t="s">
        <v>516</v>
      </c>
      <c r="E226" s="139" t="s">
        <v>152</v>
      </c>
      <c r="F226" s="140" t="s">
        <v>747</v>
      </c>
      <c r="G226" s="141" t="s">
        <v>914</v>
      </c>
      <c r="H226" s="142">
        <v>1</v>
      </c>
      <c r="I226" s="143">
        <v>0.1075</v>
      </c>
      <c r="J226" s="143">
        <v>0.15</v>
      </c>
      <c r="K226" s="144">
        <v>20141008</v>
      </c>
      <c r="L226" s="144">
        <v>20151008</v>
      </c>
      <c r="M226" s="144">
        <v>20151009</v>
      </c>
      <c r="N226" s="144">
        <v>20151009</v>
      </c>
      <c r="O226" s="145" t="s">
        <v>80</v>
      </c>
      <c r="P226" s="146">
        <v>20000000</v>
      </c>
      <c r="Q226" s="147" t="s">
        <v>80</v>
      </c>
      <c r="R226" s="146">
        <v>20000000</v>
      </c>
      <c r="S226" s="148">
        <v>20000000</v>
      </c>
      <c r="T226" s="148">
        <v>3477961</v>
      </c>
      <c r="U226" s="148">
        <v>23477961</v>
      </c>
      <c r="V226" s="148">
        <v>1757758</v>
      </c>
      <c r="W226" s="149">
        <v>25235719</v>
      </c>
      <c r="X226" s="150"/>
    </row>
    <row r="227" spans="1:24" s="121" customFormat="1" ht="14.1" customHeight="1">
      <c r="A227" s="87"/>
      <c r="B227" s="137">
        <v>218</v>
      </c>
      <c r="C227" s="70"/>
      <c r="D227" s="138" t="s">
        <v>516</v>
      </c>
      <c r="E227" s="139" t="s">
        <v>152</v>
      </c>
      <c r="F227" s="140" t="s">
        <v>740</v>
      </c>
      <c r="G227" s="141" t="s">
        <v>798</v>
      </c>
      <c r="H227" s="142">
        <v>1</v>
      </c>
      <c r="I227" s="143">
        <v>3.5000000000000003E-2</v>
      </c>
      <c r="J227" s="143">
        <v>0.105</v>
      </c>
      <c r="K227" s="144">
        <v>20141010</v>
      </c>
      <c r="L227" s="144">
        <v>20291010</v>
      </c>
      <c r="M227" s="144">
        <v>20160112</v>
      </c>
      <c r="N227" s="144">
        <v>20160112</v>
      </c>
      <c r="O227" s="145" t="s">
        <v>80</v>
      </c>
      <c r="P227" s="146">
        <v>224000000</v>
      </c>
      <c r="Q227" s="147" t="s">
        <v>80</v>
      </c>
      <c r="R227" s="146">
        <v>206577704</v>
      </c>
      <c r="S227" s="148">
        <v>206577704</v>
      </c>
      <c r="T227" s="148">
        <v>0</v>
      </c>
      <c r="U227" s="148">
        <v>206577704</v>
      </c>
      <c r="V227" s="148">
        <v>5375972</v>
      </c>
      <c r="W227" s="149">
        <v>211953676</v>
      </c>
      <c r="X227" s="150"/>
    </row>
    <row r="228" spans="1:24" s="121" customFormat="1" ht="14.1" customHeight="1">
      <c r="A228" s="87"/>
      <c r="B228" s="137">
        <v>219</v>
      </c>
      <c r="C228" s="70"/>
      <c r="D228" s="138" t="s">
        <v>517</v>
      </c>
      <c r="E228" s="139" t="s">
        <v>205</v>
      </c>
      <c r="F228" s="140" t="s">
        <v>329</v>
      </c>
      <c r="G228" s="141" t="s">
        <v>915</v>
      </c>
      <c r="H228" s="142">
        <v>0</v>
      </c>
      <c r="I228" s="143">
        <v>4.3779999999999999E-2</v>
      </c>
      <c r="J228" s="143">
        <v>0.103848</v>
      </c>
      <c r="K228" s="144">
        <v>20050916</v>
      </c>
      <c r="L228" s="144">
        <v>20150904</v>
      </c>
      <c r="M228" s="144">
        <v>20150905</v>
      </c>
      <c r="N228" s="144">
        <v>20150905</v>
      </c>
      <c r="O228" s="145" t="s">
        <v>80</v>
      </c>
      <c r="P228" s="146">
        <v>140000000</v>
      </c>
      <c r="Q228" s="147" t="s">
        <v>80</v>
      </c>
      <c r="R228" s="146">
        <v>101060043</v>
      </c>
      <c r="S228" s="148">
        <v>101060043</v>
      </c>
      <c r="T228" s="148">
        <v>0</v>
      </c>
      <c r="U228" s="148">
        <v>101060043</v>
      </c>
      <c r="V228" s="148">
        <v>7302579</v>
      </c>
      <c r="W228" s="149">
        <v>108362622</v>
      </c>
      <c r="X228" s="150"/>
    </row>
    <row r="229" spans="1:24" s="121" customFormat="1" ht="14.1" customHeight="1">
      <c r="A229" s="87"/>
      <c r="B229" s="137">
        <v>220</v>
      </c>
      <c r="C229" s="70"/>
      <c r="D229" s="138" t="s">
        <v>517</v>
      </c>
      <c r="E229" s="139" t="s">
        <v>205</v>
      </c>
      <c r="F229" s="140" t="s">
        <v>328</v>
      </c>
      <c r="G229" s="141" t="s">
        <v>916</v>
      </c>
      <c r="H229" s="142">
        <v>1</v>
      </c>
      <c r="I229" s="143">
        <v>5.04E-2</v>
      </c>
      <c r="J229" s="143">
        <v>0.13039999999999999</v>
      </c>
      <c r="K229" s="144">
        <v>20111223</v>
      </c>
      <c r="L229" s="144">
        <v>20151223</v>
      </c>
      <c r="M229" s="144">
        <v>20150825</v>
      </c>
      <c r="N229" s="144">
        <v>20150908</v>
      </c>
      <c r="O229" s="145" t="s">
        <v>80</v>
      </c>
      <c r="P229" s="146">
        <v>80000000</v>
      </c>
      <c r="Q229" s="147" t="s">
        <v>80</v>
      </c>
      <c r="R229" s="146">
        <v>80000000</v>
      </c>
      <c r="S229" s="148">
        <v>80000000</v>
      </c>
      <c r="T229" s="148">
        <v>0</v>
      </c>
      <c r="U229" s="148">
        <v>80000000</v>
      </c>
      <c r="V229" s="148">
        <v>6874302</v>
      </c>
      <c r="W229" s="149">
        <v>86874302</v>
      </c>
      <c r="X229" s="150"/>
    </row>
    <row r="230" spans="1:24" s="121" customFormat="1" ht="14.1" customHeight="1">
      <c r="A230" s="87"/>
      <c r="B230" s="137">
        <v>221</v>
      </c>
      <c r="C230" s="70"/>
      <c r="D230" s="138" t="s">
        <v>517</v>
      </c>
      <c r="E230" s="139" t="s">
        <v>205</v>
      </c>
      <c r="F230" s="140" t="s">
        <v>328</v>
      </c>
      <c r="G230" s="141" t="s">
        <v>912</v>
      </c>
      <c r="H230" s="142">
        <v>1</v>
      </c>
      <c r="I230" s="143">
        <v>4.5199999999999997E-2</v>
      </c>
      <c r="J230" s="143">
        <v>0.12520000000000001</v>
      </c>
      <c r="K230" s="144">
        <v>20140827</v>
      </c>
      <c r="L230" s="144">
        <v>20150827</v>
      </c>
      <c r="M230" s="144">
        <v>20150828</v>
      </c>
      <c r="N230" s="144">
        <v>20150828</v>
      </c>
      <c r="O230" s="145" t="s">
        <v>80</v>
      </c>
      <c r="P230" s="146">
        <v>60000000</v>
      </c>
      <c r="Q230" s="147" t="s">
        <v>80</v>
      </c>
      <c r="R230" s="146">
        <v>35726751</v>
      </c>
      <c r="S230" s="148">
        <v>35726751</v>
      </c>
      <c r="T230" s="148">
        <v>0</v>
      </c>
      <c r="U230" s="148">
        <v>35726751</v>
      </c>
      <c r="V230" s="148">
        <v>2822934</v>
      </c>
      <c r="W230" s="149">
        <v>38549685</v>
      </c>
      <c r="X230" s="150"/>
    </row>
    <row r="231" spans="1:24" s="121" customFormat="1" ht="14.1" customHeight="1">
      <c r="A231" s="87"/>
      <c r="B231" s="137">
        <v>222</v>
      </c>
      <c r="C231" s="70"/>
      <c r="D231" s="138" t="s">
        <v>518</v>
      </c>
      <c r="E231" s="139" t="s">
        <v>194</v>
      </c>
      <c r="F231" s="140" t="s">
        <v>736</v>
      </c>
      <c r="G231" s="141" t="s">
        <v>341</v>
      </c>
      <c r="H231" s="142">
        <v>1</v>
      </c>
      <c r="I231" s="143">
        <v>4.2500000000000003E-2</v>
      </c>
      <c r="J231" s="143">
        <v>0.1225</v>
      </c>
      <c r="K231" s="144">
        <v>20121025</v>
      </c>
      <c r="L231" s="144">
        <v>20221025</v>
      </c>
      <c r="M231" s="144">
        <v>20151126</v>
      </c>
      <c r="N231" s="144">
        <v>20151126</v>
      </c>
      <c r="O231" s="145" t="s">
        <v>80</v>
      </c>
      <c r="P231" s="146">
        <v>210000000</v>
      </c>
      <c r="Q231" s="147" t="s">
        <v>80</v>
      </c>
      <c r="R231" s="146">
        <v>209999013</v>
      </c>
      <c r="S231" s="148">
        <v>209999013</v>
      </c>
      <c r="T231" s="148">
        <v>3453700</v>
      </c>
      <c r="U231" s="148">
        <v>213452713</v>
      </c>
      <c r="V231" s="148">
        <v>8156963</v>
      </c>
      <c r="W231" s="149">
        <v>221609676</v>
      </c>
      <c r="X231" s="150" t="s">
        <v>1168</v>
      </c>
    </row>
    <row r="232" spans="1:24" s="121" customFormat="1" ht="14.1" customHeight="1">
      <c r="A232" s="87"/>
      <c r="B232" s="137">
        <v>223</v>
      </c>
      <c r="C232" s="70"/>
      <c r="D232" s="138" t="s">
        <v>519</v>
      </c>
      <c r="E232" s="139" t="s">
        <v>148</v>
      </c>
      <c r="F232" s="140" t="s">
        <v>329</v>
      </c>
      <c r="G232" s="141" t="s">
        <v>917</v>
      </c>
      <c r="H232" s="142">
        <v>0</v>
      </c>
      <c r="I232" s="143">
        <v>9.64E-2</v>
      </c>
      <c r="J232" s="143">
        <v>0.15</v>
      </c>
      <c r="K232" s="144">
        <v>20120201</v>
      </c>
      <c r="L232" s="144">
        <v>20160129</v>
      </c>
      <c r="M232" s="144">
        <v>20160112</v>
      </c>
      <c r="N232" s="144">
        <v>20160126</v>
      </c>
      <c r="O232" s="145" t="s">
        <v>80</v>
      </c>
      <c r="P232" s="353">
        <v>95000000</v>
      </c>
      <c r="Q232" s="147" t="s">
        <v>80</v>
      </c>
      <c r="R232" s="146">
        <v>95000000</v>
      </c>
      <c r="S232" s="148">
        <v>95000000</v>
      </c>
      <c r="T232" s="148">
        <v>0</v>
      </c>
      <c r="U232" s="148">
        <v>95000000</v>
      </c>
      <c r="V232" s="148">
        <v>4951937</v>
      </c>
      <c r="W232" s="149">
        <v>99951937</v>
      </c>
      <c r="X232" s="150"/>
    </row>
    <row r="233" spans="1:24" s="121" customFormat="1" ht="14.1" customHeight="1">
      <c r="A233" s="87"/>
      <c r="B233" s="137">
        <v>224</v>
      </c>
      <c r="C233" s="70"/>
      <c r="D233" s="138" t="s">
        <v>519</v>
      </c>
      <c r="E233" s="139" t="s">
        <v>148</v>
      </c>
      <c r="F233" s="140" t="s">
        <v>686</v>
      </c>
      <c r="G233" s="141" t="s">
        <v>918</v>
      </c>
      <c r="H233" s="142">
        <v>1</v>
      </c>
      <c r="I233" s="143">
        <v>4.9000000000000002E-2</v>
      </c>
      <c r="J233" s="143">
        <v>0.129</v>
      </c>
      <c r="K233" s="144">
        <v>20111214</v>
      </c>
      <c r="L233" s="144">
        <v>20261214</v>
      </c>
      <c r="M233" s="144">
        <v>20151117</v>
      </c>
      <c r="N233" s="144">
        <v>20160119</v>
      </c>
      <c r="O233" s="145" t="s">
        <v>80</v>
      </c>
      <c r="P233" s="353">
        <v>115000000</v>
      </c>
      <c r="Q233" s="147" t="s">
        <v>80</v>
      </c>
      <c r="R233" s="146">
        <v>115000000</v>
      </c>
      <c r="S233" s="148">
        <v>115000000</v>
      </c>
      <c r="T233" s="148">
        <v>1076460</v>
      </c>
      <c r="U233" s="148">
        <v>116076460</v>
      </c>
      <c r="V233" s="148">
        <v>5175691</v>
      </c>
      <c r="W233" s="149">
        <v>121252151</v>
      </c>
      <c r="X233" s="150" t="s">
        <v>1168</v>
      </c>
    </row>
    <row r="234" spans="1:24" s="121" customFormat="1" ht="14.1" customHeight="1">
      <c r="A234" s="87"/>
      <c r="B234" s="137">
        <v>225</v>
      </c>
      <c r="C234" s="70"/>
      <c r="D234" s="138" t="s">
        <v>520</v>
      </c>
      <c r="E234" s="139" t="s">
        <v>152</v>
      </c>
      <c r="F234" s="140" t="s">
        <v>334</v>
      </c>
      <c r="G234" s="141" t="s">
        <v>919</v>
      </c>
      <c r="H234" s="142">
        <v>0</v>
      </c>
      <c r="I234" s="143">
        <v>5.8099999999999999E-2</v>
      </c>
      <c r="J234" s="143">
        <v>0.1181</v>
      </c>
      <c r="K234" s="144">
        <v>20050901</v>
      </c>
      <c r="L234" s="144">
        <v>20160813</v>
      </c>
      <c r="M234" s="144">
        <v>20150908</v>
      </c>
      <c r="N234" s="144">
        <v>20151008</v>
      </c>
      <c r="O234" s="145" t="s">
        <v>80</v>
      </c>
      <c r="P234" s="146">
        <v>20000000</v>
      </c>
      <c r="Q234" s="147" t="s">
        <v>80</v>
      </c>
      <c r="R234" s="146">
        <v>20000000</v>
      </c>
      <c r="S234" s="148">
        <v>20000000</v>
      </c>
      <c r="T234" s="148">
        <v>0</v>
      </c>
      <c r="U234" s="148">
        <v>20000000</v>
      </c>
      <c r="V234" s="148">
        <v>1503027</v>
      </c>
      <c r="W234" s="149">
        <v>21503027</v>
      </c>
      <c r="X234" s="150"/>
    </row>
    <row r="235" spans="1:24" s="121" customFormat="1" ht="14.1" customHeight="1">
      <c r="A235" s="87"/>
      <c r="B235" s="137">
        <v>226</v>
      </c>
      <c r="C235" s="70"/>
      <c r="D235" s="138" t="s">
        <v>520</v>
      </c>
      <c r="E235" s="139" t="s">
        <v>152</v>
      </c>
      <c r="F235" s="140" t="s">
        <v>732</v>
      </c>
      <c r="G235" s="141" t="s">
        <v>920</v>
      </c>
      <c r="H235" s="142">
        <v>1</v>
      </c>
      <c r="I235" s="143">
        <v>3.1300000000000001E-2</v>
      </c>
      <c r="J235" s="143">
        <v>0.11130000000000001</v>
      </c>
      <c r="K235" s="144">
        <v>20051014</v>
      </c>
      <c r="L235" s="144">
        <v>20351014</v>
      </c>
      <c r="M235" s="144">
        <v>20150915</v>
      </c>
      <c r="N235" s="144">
        <v>20151008</v>
      </c>
      <c r="O235" s="145" t="s">
        <v>80</v>
      </c>
      <c r="P235" s="146">
        <v>192000000</v>
      </c>
      <c r="Q235" s="147" t="s">
        <v>80</v>
      </c>
      <c r="R235" s="146">
        <v>190666619</v>
      </c>
      <c r="S235" s="148">
        <v>190666619</v>
      </c>
      <c r="T235" s="148">
        <v>0</v>
      </c>
      <c r="U235" s="148">
        <v>190666619</v>
      </c>
      <c r="V235" s="148">
        <v>12096983</v>
      </c>
      <c r="W235" s="149">
        <v>202763602</v>
      </c>
      <c r="X235" s="150"/>
    </row>
    <row r="236" spans="1:24" s="121" customFormat="1" ht="14.1" customHeight="1">
      <c r="A236" s="87"/>
      <c r="B236" s="137">
        <v>227</v>
      </c>
      <c r="C236" s="70"/>
      <c r="D236" s="138" t="s">
        <v>521</v>
      </c>
      <c r="E236" s="139" t="s">
        <v>152</v>
      </c>
      <c r="F236" s="140" t="s">
        <v>736</v>
      </c>
      <c r="G236" s="141" t="s">
        <v>921</v>
      </c>
      <c r="H236" s="142">
        <v>1</v>
      </c>
      <c r="I236" s="143">
        <v>3.5099999999999999E-2</v>
      </c>
      <c r="J236" s="143">
        <v>0.11509999999999999</v>
      </c>
      <c r="K236" s="144">
        <v>20150723</v>
      </c>
      <c r="L236" s="144">
        <v>20450723</v>
      </c>
      <c r="M236" s="144">
        <v>20151024</v>
      </c>
      <c r="N236" s="144">
        <v>20151224</v>
      </c>
      <c r="O236" s="145" t="s">
        <v>80</v>
      </c>
      <c r="P236" s="146">
        <v>210000000</v>
      </c>
      <c r="Q236" s="147" t="s">
        <v>80</v>
      </c>
      <c r="R236" s="146">
        <v>209339202</v>
      </c>
      <c r="S236" s="148">
        <v>209339202</v>
      </c>
      <c r="T236" s="148">
        <v>1033640</v>
      </c>
      <c r="U236" s="148">
        <v>210372842</v>
      </c>
      <c r="V236" s="148">
        <v>9454432</v>
      </c>
      <c r="W236" s="149">
        <v>219827274</v>
      </c>
      <c r="X236" s="150" t="s">
        <v>1168</v>
      </c>
    </row>
    <row r="237" spans="1:24" s="121" customFormat="1" ht="14.1" customHeight="1">
      <c r="A237" s="87"/>
      <c r="B237" s="137">
        <v>228</v>
      </c>
      <c r="C237" s="70"/>
      <c r="D237" s="138" t="s">
        <v>522</v>
      </c>
      <c r="E237" s="139" t="s">
        <v>92</v>
      </c>
      <c r="F237" s="140" t="s">
        <v>727</v>
      </c>
      <c r="G237" s="141" t="s">
        <v>922</v>
      </c>
      <c r="H237" s="142">
        <v>1</v>
      </c>
      <c r="I237" s="143">
        <v>4.1399999999999999E-2</v>
      </c>
      <c r="J237" s="143">
        <v>0.12140000000000001</v>
      </c>
      <c r="K237" s="144">
        <v>20090807</v>
      </c>
      <c r="L237" s="144">
        <v>20390807</v>
      </c>
      <c r="M237" s="144">
        <v>20151110</v>
      </c>
      <c r="N237" s="144">
        <v>20160106</v>
      </c>
      <c r="O237" s="145" t="s">
        <v>80</v>
      </c>
      <c r="P237" s="146">
        <v>209000000</v>
      </c>
      <c r="Q237" s="147" t="s">
        <v>80</v>
      </c>
      <c r="R237" s="146">
        <v>209000000</v>
      </c>
      <c r="S237" s="148">
        <v>209000000</v>
      </c>
      <c r="T237" s="148">
        <v>1147310</v>
      </c>
      <c r="U237" s="148">
        <v>210147310</v>
      </c>
      <c r="V237" s="148">
        <v>9315466</v>
      </c>
      <c r="W237" s="149">
        <v>219462776</v>
      </c>
      <c r="X237" s="150" t="s">
        <v>1168</v>
      </c>
    </row>
    <row r="238" spans="1:24" s="121" customFormat="1" ht="14.1" customHeight="1">
      <c r="A238" s="87"/>
      <c r="B238" s="137">
        <v>229</v>
      </c>
      <c r="C238" s="70"/>
      <c r="D238" s="138" t="s">
        <v>523</v>
      </c>
      <c r="E238" s="139" t="s">
        <v>205</v>
      </c>
      <c r="F238" s="140" t="s">
        <v>335</v>
      </c>
      <c r="G238" s="141" t="s">
        <v>887</v>
      </c>
      <c r="H238" s="142">
        <v>1</v>
      </c>
      <c r="I238" s="143">
        <v>5.9000000000000004E-2</v>
      </c>
      <c r="J238" s="143">
        <v>0.13900000000000001</v>
      </c>
      <c r="K238" s="144">
        <v>20150105</v>
      </c>
      <c r="L238" s="144">
        <v>20160105</v>
      </c>
      <c r="M238" s="144">
        <v>20151208</v>
      </c>
      <c r="N238" s="144">
        <v>20160106</v>
      </c>
      <c r="O238" s="145" t="s">
        <v>80</v>
      </c>
      <c r="P238" s="146">
        <v>200000000</v>
      </c>
      <c r="Q238" s="147" t="s">
        <v>80</v>
      </c>
      <c r="R238" s="146">
        <v>199999031</v>
      </c>
      <c r="S238" s="148">
        <v>199999031</v>
      </c>
      <c r="T238" s="148">
        <v>3423630</v>
      </c>
      <c r="U238" s="148">
        <v>203422661</v>
      </c>
      <c r="V238" s="148">
        <v>8907169</v>
      </c>
      <c r="W238" s="149">
        <v>212329830</v>
      </c>
      <c r="X238" s="150" t="s">
        <v>1168</v>
      </c>
    </row>
    <row r="239" spans="1:24" s="121" customFormat="1" ht="14.1" customHeight="1">
      <c r="A239" s="87"/>
      <c r="B239" s="137">
        <v>230</v>
      </c>
      <c r="C239" s="70"/>
      <c r="D239" s="138" t="s">
        <v>524</v>
      </c>
      <c r="E239" s="139" t="s">
        <v>109</v>
      </c>
      <c r="F239" s="140" t="s">
        <v>740</v>
      </c>
      <c r="G239" s="141" t="s">
        <v>923</v>
      </c>
      <c r="H239" s="142">
        <v>1</v>
      </c>
      <c r="I239" s="143">
        <v>4.2500000000000003E-2</v>
      </c>
      <c r="J239" s="143">
        <v>0.1125</v>
      </c>
      <c r="K239" s="144">
        <v>20130117</v>
      </c>
      <c r="L239" s="144">
        <v>20230117</v>
      </c>
      <c r="M239" s="144">
        <v>20160119</v>
      </c>
      <c r="N239" s="144">
        <v>20160319</v>
      </c>
      <c r="O239" s="145" t="s">
        <v>80</v>
      </c>
      <c r="P239" s="353">
        <v>150000000</v>
      </c>
      <c r="Q239" s="147" t="s">
        <v>80</v>
      </c>
      <c r="R239" s="146">
        <v>142500000</v>
      </c>
      <c r="S239" s="148">
        <v>142500000</v>
      </c>
      <c r="T239" s="148">
        <v>0</v>
      </c>
      <c r="U239" s="148">
        <v>142500000</v>
      </c>
      <c r="V239" s="148">
        <v>3180889</v>
      </c>
      <c r="W239" s="149">
        <v>145680889</v>
      </c>
      <c r="X239" s="150"/>
    </row>
    <row r="240" spans="1:24" s="121" customFormat="1" ht="14.1" customHeight="1">
      <c r="A240" s="87"/>
      <c r="B240" s="137">
        <v>231</v>
      </c>
      <c r="C240" s="70"/>
      <c r="D240" s="138" t="s">
        <v>524</v>
      </c>
      <c r="E240" s="139" t="s">
        <v>109</v>
      </c>
      <c r="F240" s="140" t="s">
        <v>738</v>
      </c>
      <c r="G240" s="141" t="s">
        <v>924</v>
      </c>
      <c r="H240" s="142">
        <v>1</v>
      </c>
      <c r="I240" s="143">
        <v>3.5699999999999996E-2</v>
      </c>
      <c r="J240" s="143">
        <v>0.1057</v>
      </c>
      <c r="K240" s="144">
        <v>20150519</v>
      </c>
      <c r="L240" s="144">
        <v>20160519</v>
      </c>
      <c r="M240" s="144">
        <v>20160119</v>
      </c>
      <c r="N240" s="144">
        <v>20160319</v>
      </c>
      <c r="O240" s="145" t="s">
        <v>80</v>
      </c>
      <c r="P240" s="353">
        <v>57500000</v>
      </c>
      <c r="Q240" s="147" t="s">
        <v>80</v>
      </c>
      <c r="R240" s="146">
        <v>57500000</v>
      </c>
      <c r="S240" s="148">
        <v>57500000</v>
      </c>
      <c r="T240" s="148">
        <v>0</v>
      </c>
      <c r="U240" s="148">
        <v>57500000</v>
      </c>
      <c r="V240" s="148">
        <v>1140145</v>
      </c>
      <c r="W240" s="149">
        <v>58640145</v>
      </c>
      <c r="X240" s="150"/>
    </row>
    <row r="241" spans="1:24" s="121" customFormat="1" ht="14.1" customHeight="1">
      <c r="A241" s="87"/>
      <c r="B241" s="137">
        <v>232</v>
      </c>
      <c r="C241" s="70"/>
      <c r="D241" s="138" t="s">
        <v>525</v>
      </c>
      <c r="E241" s="139" t="s">
        <v>214</v>
      </c>
      <c r="F241" s="140" t="s">
        <v>334</v>
      </c>
      <c r="G241" s="141" t="s">
        <v>925</v>
      </c>
      <c r="H241" s="142">
        <v>0</v>
      </c>
      <c r="I241" s="143">
        <v>0.1333</v>
      </c>
      <c r="J241" s="143">
        <v>0.15</v>
      </c>
      <c r="K241" s="144">
        <v>20100623</v>
      </c>
      <c r="L241" s="144">
        <v>20151221</v>
      </c>
      <c r="M241" s="144">
        <v>20151110</v>
      </c>
      <c r="N241" s="144">
        <v>20151210</v>
      </c>
      <c r="O241" s="145" t="s">
        <v>80</v>
      </c>
      <c r="P241" s="146">
        <v>16600000</v>
      </c>
      <c r="Q241" s="147" t="s">
        <v>80</v>
      </c>
      <c r="R241" s="146">
        <v>16600000</v>
      </c>
      <c r="S241" s="148">
        <v>16600000</v>
      </c>
      <c r="T241" s="148">
        <v>0</v>
      </c>
      <c r="U241" s="148">
        <v>16600000</v>
      </c>
      <c r="V241" s="148">
        <v>1367851</v>
      </c>
      <c r="W241" s="149">
        <v>17967851</v>
      </c>
      <c r="X241" s="150"/>
    </row>
    <row r="242" spans="1:24" s="121" customFormat="1" ht="14.1" customHeight="1">
      <c r="A242" s="87"/>
      <c r="B242" s="137">
        <v>233</v>
      </c>
      <c r="C242" s="70"/>
      <c r="D242" s="138" t="s">
        <v>525</v>
      </c>
      <c r="E242" s="139" t="s">
        <v>214</v>
      </c>
      <c r="F242" s="140" t="s">
        <v>727</v>
      </c>
      <c r="G242" s="141" t="s">
        <v>926</v>
      </c>
      <c r="H242" s="142">
        <v>1</v>
      </c>
      <c r="I242" s="143">
        <v>2.46E-2</v>
      </c>
      <c r="J242" s="143">
        <v>0.10460000000000001</v>
      </c>
      <c r="K242" s="144">
        <v>20071016</v>
      </c>
      <c r="L242" s="144">
        <v>20351016</v>
      </c>
      <c r="M242" s="144">
        <v>20151017</v>
      </c>
      <c r="N242" s="144">
        <v>20151017</v>
      </c>
      <c r="O242" s="145" t="s">
        <v>80</v>
      </c>
      <c r="P242" s="146">
        <v>228000000</v>
      </c>
      <c r="Q242" s="147" t="s">
        <v>80</v>
      </c>
      <c r="R242" s="146">
        <v>176733253</v>
      </c>
      <c r="S242" s="148">
        <v>176733253</v>
      </c>
      <c r="T242" s="148">
        <v>944280</v>
      </c>
      <c r="U242" s="148">
        <v>177677533</v>
      </c>
      <c r="V242" s="148">
        <v>7016790</v>
      </c>
      <c r="W242" s="149">
        <v>184694323</v>
      </c>
      <c r="X242" s="150" t="s">
        <v>1168</v>
      </c>
    </row>
    <row r="243" spans="1:24" s="121" customFormat="1" ht="14.1" customHeight="1">
      <c r="A243" s="87"/>
      <c r="B243" s="137">
        <v>234</v>
      </c>
      <c r="C243" s="70"/>
      <c r="D243" s="138" t="s">
        <v>526</v>
      </c>
      <c r="E243" s="139" t="s">
        <v>157</v>
      </c>
      <c r="F243" s="140" t="s">
        <v>342</v>
      </c>
      <c r="G243" s="141" t="s">
        <v>927</v>
      </c>
      <c r="H243" s="142">
        <v>1</v>
      </c>
      <c r="I243" s="143">
        <v>4.53E-2</v>
      </c>
      <c r="J243" s="143">
        <v>0.12529999999999999</v>
      </c>
      <c r="K243" s="144">
        <v>20090521</v>
      </c>
      <c r="L243" s="144">
        <v>20160521</v>
      </c>
      <c r="M243" s="144">
        <v>20151001</v>
      </c>
      <c r="N243" s="144">
        <v>20151201</v>
      </c>
      <c r="O243" s="145" t="s">
        <v>80</v>
      </c>
      <c r="P243" s="146">
        <v>186000000</v>
      </c>
      <c r="Q243" s="147" t="s">
        <v>80</v>
      </c>
      <c r="R243" s="146">
        <v>186000000</v>
      </c>
      <c r="S243" s="148">
        <v>186000000</v>
      </c>
      <c r="T243" s="148">
        <v>3131380</v>
      </c>
      <c r="U243" s="148">
        <v>189131380</v>
      </c>
      <c r="V243" s="148">
        <v>11218688</v>
      </c>
      <c r="W243" s="149">
        <v>200350068</v>
      </c>
      <c r="X243" s="150" t="s">
        <v>1168</v>
      </c>
    </row>
    <row r="244" spans="1:24" s="121" customFormat="1" ht="14.1" customHeight="1">
      <c r="A244" s="87"/>
      <c r="B244" s="137">
        <v>235</v>
      </c>
      <c r="C244" s="70"/>
      <c r="D244" s="138" t="s">
        <v>527</v>
      </c>
      <c r="E244" s="139" t="s">
        <v>135</v>
      </c>
      <c r="F244" s="140" t="s">
        <v>732</v>
      </c>
      <c r="G244" s="141" t="s">
        <v>928</v>
      </c>
      <c r="H244" s="142">
        <v>1</v>
      </c>
      <c r="I244" s="143">
        <v>2.7099999999999999E-2</v>
      </c>
      <c r="J244" s="143">
        <v>0.10710000000000001</v>
      </c>
      <c r="K244" s="144">
        <v>20070424</v>
      </c>
      <c r="L244" s="144">
        <v>20250424</v>
      </c>
      <c r="M244" s="144">
        <v>20150225</v>
      </c>
      <c r="N244" s="144">
        <v>20150225</v>
      </c>
      <c r="O244" s="145" t="s">
        <v>80</v>
      </c>
      <c r="P244" s="146">
        <v>90000000</v>
      </c>
      <c r="Q244" s="147" t="s">
        <v>80</v>
      </c>
      <c r="R244" s="146">
        <v>76074147</v>
      </c>
      <c r="S244" s="148">
        <v>76074147</v>
      </c>
      <c r="T244" s="148">
        <v>0</v>
      </c>
      <c r="U244" s="148">
        <v>76074147</v>
      </c>
      <c r="V244" s="148">
        <v>9331446</v>
      </c>
      <c r="W244" s="149">
        <v>85405593</v>
      </c>
      <c r="X244" s="150"/>
    </row>
    <row r="245" spans="1:24" s="121" customFormat="1" ht="14.1" customHeight="1">
      <c r="A245" s="87"/>
      <c r="B245" s="137">
        <v>236</v>
      </c>
      <c r="C245" s="70"/>
      <c r="D245" s="138" t="s">
        <v>527</v>
      </c>
      <c r="E245" s="139" t="s">
        <v>135</v>
      </c>
      <c r="F245" s="140" t="s">
        <v>742</v>
      </c>
      <c r="G245" s="141" t="s">
        <v>929</v>
      </c>
      <c r="H245" s="142">
        <v>1</v>
      </c>
      <c r="I245" s="143">
        <v>2.8999999999999998E-2</v>
      </c>
      <c r="J245" s="143">
        <v>0.109</v>
      </c>
      <c r="K245" s="144">
        <v>20100621</v>
      </c>
      <c r="L245" s="144">
        <v>20250621</v>
      </c>
      <c r="M245" s="144">
        <v>20150224</v>
      </c>
      <c r="N245" s="144">
        <v>20150314</v>
      </c>
      <c r="O245" s="145" t="s">
        <v>80</v>
      </c>
      <c r="P245" s="146">
        <v>40000000</v>
      </c>
      <c r="Q245" s="147" t="s">
        <v>80</v>
      </c>
      <c r="R245" s="146">
        <v>40000000</v>
      </c>
      <c r="S245" s="148">
        <v>40000000</v>
      </c>
      <c r="T245" s="148">
        <v>0</v>
      </c>
      <c r="U245" s="148">
        <v>40000000</v>
      </c>
      <c r="V245" s="148">
        <v>5111569</v>
      </c>
      <c r="W245" s="149">
        <v>45111569</v>
      </c>
      <c r="X245" s="150"/>
    </row>
    <row r="246" spans="1:24" s="121" customFormat="1" ht="14.1" customHeight="1">
      <c r="A246" s="87"/>
      <c r="B246" s="137">
        <v>237</v>
      </c>
      <c r="C246" s="70"/>
      <c r="D246" s="138" t="s">
        <v>528</v>
      </c>
      <c r="E246" s="139" t="s">
        <v>152</v>
      </c>
      <c r="F246" s="140" t="s">
        <v>734</v>
      </c>
      <c r="G246" s="141" t="s">
        <v>930</v>
      </c>
      <c r="H246" s="142">
        <v>0</v>
      </c>
      <c r="I246" s="143">
        <v>5.6299999999999996E-2</v>
      </c>
      <c r="J246" s="143">
        <v>0.1163</v>
      </c>
      <c r="K246" s="144">
        <v>20130114</v>
      </c>
      <c r="L246" s="144">
        <v>20160114</v>
      </c>
      <c r="M246" s="144">
        <v>20160115</v>
      </c>
      <c r="N246" s="144">
        <v>20160115</v>
      </c>
      <c r="O246" s="145" t="s">
        <v>80</v>
      </c>
      <c r="P246" s="146">
        <v>20000000</v>
      </c>
      <c r="Q246" s="147" t="s">
        <v>80</v>
      </c>
      <c r="R246" s="146">
        <v>17743867</v>
      </c>
      <c r="S246" s="148">
        <v>17743867</v>
      </c>
      <c r="T246" s="148">
        <v>0</v>
      </c>
      <c r="U246" s="148">
        <v>17743867</v>
      </c>
      <c r="V246" s="148">
        <v>602758</v>
      </c>
      <c r="W246" s="149">
        <v>18346625</v>
      </c>
      <c r="X246" s="150"/>
    </row>
    <row r="247" spans="1:24" s="121" customFormat="1" ht="14.1" customHeight="1">
      <c r="A247" s="87"/>
      <c r="B247" s="137">
        <v>238</v>
      </c>
      <c r="C247" s="70"/>
      <c r="D247" s="138" t="s">
        <v>528</v>
      </c>
      <c r="E247" s="139" t="s">
        <v>152</v>
      </c>
      <c r="F247" s="140" t="s">
        <v>746</v>
      </c>
      <c r="G247" s="141" t="s">
        <v>931</v>
      </c>
      <c r="H247" s="142">
        <v>1</v>
      </c>
      <c r="I247" s="143">
        <v>2.3799999999999998E-2</v>
      </c>
      <c r="J247" s="143">
        <v>0.1038</v>
      </c>
      <c r="K247" s="144">
        <v>20101105</v>
      </c>
      <c r="L247" s="144">
        <v>20401105</v>
      </c>
      <c r="M247" s="144">
        <v>20160115</v>
      </c>
      <c r="N247" s="144">
        <v>20160115</v>
      </c>
      <c r="O247" s="145" t="s">
        <v>80</v>
      </c>
      <c r="P247" s="146">
        <v>300000000</v>
      </c>
      <c r="Q247" s="147" t="s">
        <v>80</v>
      </c>
      <c r="R247" s="146">
        <v>160000000</v>
      </c>
      <c r="S247" s="148">
        <v>160000000</v>
      </c>
      <c r="T247" s="148">
        <v>0</v>
      </c>
      <c r="U247" s="148">
        <v>160000000</v>
      </c>
      <c r="V247" s="148">
        <v>4281178</v>
      </c>
      <c r="W247" s="149">
        <v>164281178</v>
      </c>
      <c r="X247" s="150"/>
    </row>
    <row r="248" spans="1:24" s="121" customFormat="1" ht="14.1" customHeight="1">
      <c r="A248" s="87"/>
      <c r="B248" s="137">
        <v>239</v>
      </c>
      <c r="C248" s="70"/>
      <c r="D248" s="138" t="s">
        <v>529</v>
      </c>
      <c r="E248" s="139" t="s">
        <v>194</v>
      </c>
      <c r="F248" s="140" t="s">
        <v>727</v>
      </c>
      <c r="G248" s="141" t="s">
        <v>794</v>
      </c>
      <c r="H248" s="142">
        <v>1</v>
      </c>
      <c r="I248" s="143">
        <v>2.4300000000000002E-2</v>
      </c>
      <c r="J248" s="143">
        <v>0.1043</v>
      </c>
      <c r="K248" s="144">
        <v>20140206</v>
      </c>
      <c r="L248" s="144">
        <v>20440206</v>
      </c>
      <c r="M248" s="144">
        <v>20151007</v>
      </c>
      <c r="N248" s="144">
        <v>20151208</v>
      </c>
      <c r="O248" s="145" t="s">
        <v>80</v>
      </c>
      <c r="P248" s="146">
        <v>172200000</v>
      </c>
      <c r="Q248" s="147" t="s">
        <v>80</v>
      </c>
      <c r="R248" s="146">
        <v>172200000</v>
      </c>
      <c r="S248" s="148">
        <v>172200000</v>
      </c>
      <c r="T248" s="148">
        <v>3007900</v>
      </c>
      <c r="U248" s="148">
        <v>175207900</v>
      </c>
      <c r="V248" s="148">
        <v>7663959</v>
      </c>
      <c r="W248" s="149">
        <v>182871859</v>
      </c>
      <c r="X248" s="150" t="s">
        <v>1168</v>
      </c>
    </row>
    <row r="249" spans="1:24" s="121" customFormat="1" ht="14.1" customHeight="1">
      <c r="A249" s="87"/>
      <c r="B249" s="137">
        <v>240</v>
      </c>
      <c r="C249" s="70"/>
      <c r="D249" s="138" t="s">
        <v>530</v>
      </c>
      <c r="E249" s="139" t="s">
        <v>152</v>
      </c>
      <c r="F249" s="140" t="s">
        <v>727</v>
      </c>
      <c r="G249" s="141" t="s">
        <v>932</v>
      </c>
      <c r="H249" s="142">
        <v>1</v>
      </c>
      <c r="I249" s="143">
        <v>3.7699999999999997E-2</v>
      </c>
      <c r="J249" s="143">
        <v>0.1177</v>
      </c>
      <c r="K249" s="144">
        <v>20150217</v>
      </c>
      <c r="L249" s="144">
        <v>20450217</v>
      </c>
      <c r="M249" s="144">
        <v>20151218</v>
      </c>
      <c r="N249" s="144">
        <v>20160122</v>
      </c>
      <c r="O249" s="145" t="s">
        <v>80</v>
      </c>
      <c r="P249" s="146">
        <v>175000000</v>
      </c>
      <c r="Q249" s="147" t="s">
        <v>80</v>
      </c>
      <c r="R249" s="146">
        <v>175000000</v>
      </c>
      <c r="S249" s="148">
        <v>175000000</v>
      </c>
      <c r="T249" s="148">
        <v>0</v>
      </c>
      <c r="U249" s="148">
        <v>175000000</v>
      </c>
      <c r="V249" s="148">
        <v>6039863</v>
      </c>
      <c r="W249" s="149">
        <v>181039863</v>
      </c>
      <c r="X249" s="150"/>
    </row>
    <row r="250" spans="1:24" s="121" customFormat="1" ht="14.1" customHeight="1">
      <c r="A250" s="87"/>
      <c r="B250" s="137">
        <v>241</v>
      </c>
      <c r="C250" s="70"/>
      <c r="D250" s="138" t="s">
        <v>531</v>
      </c>
      <c r="E250" s="139" t="s">
        <v>284</v>
      </c>
      <c r="F250" s="140" t="s">
        <v>743</v>
      </c>
      <c r="G250" s="141" t="s">
        <v>933</v>
      </c>
      <c r="H250" s="142">
        <v>1</v>
      </c>
      <c r="I250" s="143">
        <v>2.4E-2</v>
      </c>
      <c r="J250" s="143">
        <v>0.10400000000000001</v>
      </c>
      <c r="K250" s="144">
        <v>20110111</v>
      </c>
      <c r="L250" s="144">
        <v>20160111</v>
      </c>
      <c r="M250" s="144">
        <v>20160112</v>
      </c>
      <c r="N250" s="144">
        <v>20160112</v>
      </c>
      <c r="O250" s="145" t="s">
        <v>80</v>
      </c>
      <c r="P250" s="146">
        <v>170000000</v>
      </c>
      <c r="Q250" s="147" t="s">
        <v>80</v>
      </c>
      <c r="R250" s="146">
        <v>170000000</v>
      </c>
      <c r="S250" s="148">
        <v>170000000</v>
      </c>
      <c r="T250" s="148">
        <v>3034620</v>
      </c>
      <c r="U250" s="148">
        <v>173034620</v>
      </c>
      <c r="V250" s="148">
        <v>4730271</v>
      </c>
      <c r="W250" s="149">
        <v>177764891</v>
      </c>
      <c r="X250" s="150" t="s">
        <v>1168</v>
      </c>
    </row>
    <row r="251" spans="1:24" s="121" customFormat="1" ht="14.1" customHeight="1">
      <c r="A251" s="87"/>
      <c r="B251" s="137">
        <v>242</v>
      </c>
      <c r="C251" s="70"/>
      <c r="D251" s="138" t="s">
        <v>532</v>
      </c>
      <c r="E251" s="139" t="s">
        <v>152</v>
      </c>
      <c r="F251" s="140" t="s">
        <v>736</v>
      </c>
      <c r="G251" s="141" t="s">
        <v>934</v>
      </c>
      <c r="H251" s="142">
        <v>1</v>
      </c>
      <c r="I251" s="143">
        <v>3.8100000000000002E-2</v>
      </c>
      <c r="J251" s="143">
        <v>0.1081</v>
      </c>
      <c r="K251" s="144">
        <v>20140610</v>
      </c>
      <c r="L251" s="144">
        <v>20440610</v>
      </c>
      <c r="M251" s="144">
        <v>20151211</v>
      </c>
      <c r="N251" s="144">
        <v>20151211</v>
      </c>
      <c r="O251" s="145" t="s">
        <v>80</v>
      </c>
      <c r="P251" s="353">
        <v>180000000</v>
      </c>
      <c r="Q251" s="147" t="s">
        <v>80</v>
      </c>
      <c r="R251" s="146">
        <v>171500000</v>
      </c>
      <c r="S251" s="148">
        <v>171500000</v>
      </c>
      <c r="T251" s="148">
        <v>0</v>
      </c>
      <c r="U251" s="148">
        <v>171500000</v>
      </c>
      <c r="V251" s="148">
        <v>5358978</v>
      </c>
      <c r="W251" s="149">
        <v>176858978</v>
      </c>
      <c r="X251" s="150"/>
    </row>
    <row r="252" spans="1:24" s="121" customFormat="1" ht="14.1" customHeight="1">
      <c r="A252" s="87"/>
      <c r="B252" s="137">
        <v>243</v>
      </c>
      <c r="C252" s="70"/>
      <c r="D252" s="138" t="s">
        <v>533</v>
      </c>
      <c r="E252" s="139" t="s">
        <v>221</v>
      </c>
      <c r="F252" s="140" t="s">
        <v>334</v>
      </c>
      <c r="G252" s="141" t="s">
        <v>935</v>
      </c>
      <c r="H252" s="142">
        <v>0</v>
      </c>
      <c r="I252" s="143">
        <v>4.6900000000000004E-2</v>
      </c>
      <c r="J252" s="143">
        <v>0.1069</v>
      </c>
      <c r="K252" s="144">
        <v>20140709</v>
      </c>
      <c r="L252" s="144">
        <v>20160709</v>
      </c>
      <c r="M252" s="144">
        <v>20160113</v>
      </c>
      <c r="N252" s="144">
        <v>20160113</v>
      </c>
      <c r="O252" s="145" t="s">
        <v>80</v>
      </c>
      <c r="P252" s="146">
        <v>30000000</v>
      </c>
      <c r="Q252" s="147" t="s">
        <v>80</v>
      </c>
      <c r="R252" s="146">
        <v>21516141</v>
      </c>
      <c r="S252" s="148">
        <v>21516141</v>
      </c>
      <c r="T252" s="148">
        <v>0</v>
      </c>
      <c r="U252" s="148">
        <v>21516141</v>
      </c>
      <c r="V252" s="148">
        <v>677170</v>
      </c>
      <c r="W252" s="149">
        <v>22193311</v>
      </c>
      <c r="X252" s="150"/>
    </row>
    <row r="253" spans="1:24" s="121" customFormat="1" ht="14.1" customHeight="1">
      <c r="A253" s="87"/>
      <c r="B253" s="137">
        <v>244</v>
      </c>
      <c r="C253" s="70"/>
      <c r="D253" s="138" t="s">
        <v>533</v>
      </c>
      <c r="E253" s="139" t="s">
        <v>221</v>
      </c>
      <c r="F253" s="140" t="s">
        <v>740</v>
      </c>
      <c r="G253" s="141" t="s">
        <v>936</v>
      </c>
      <c r="H253" s="142">
        <v>1</v>
      </c>
      <c r="I253" s="143">
        <v>4.0500000000000001E-2</v>
      </c>
      <c r="J253" s="143">
        <v>0.12050000000000001</v>
      </c>
      <c r="K253" s="144">
        <v>20140709</v>
      </c>
      <c r="L253" s="144">
        <v>20240709</v>
      </c>
      <c r="M253" s="144">
        <v>20151210</v>
      </c>
      <c r="N253" s="144">
        <v>20151210</v>
      </c>
      <c r="O253" s="145" t="s">
        <v>80</v>
      </c>
      <c r="P253" s="146">
        <v>170000000</v>
      </c>
      <c r="Q253" s="147" t="s">
        <v>80</v>
      </c>
      <c r="R253" s="146">
        <v>147333264</v>
      </c>
      <c r="S253" s="148">
        <v>147333264</v>
      </c>
      <c r="T253" s="148">
        <v>0</v>
      </c>
      <c r="U253" s="148">
        <v>147333264</v>
      </c>
      <c r="V253" s="148">
        <v>5309676</v>
      </c>
      <c r="W253" s="149">
        <v>152642940</v>
      </c>
      <c r="X253" s="150"/>
    </row>
    <row r="254" spans="1:24" s="121" customFormat="1" ht="14.1" customHeight="1">
      <c r="A254" s="87"/>
      <c r="B254" s="137">
        <v>245</v>
      </c>
      <c r="C254" s="70"/>
      <c r="D254" s="138" t="s">
        <v>534</v>
      </c>
      <c r="E254" s="139" t="s">
        <v>667</v>
      </c>
      <c r="F254" s="140" t="s">
        <v>748</v>
      </c>
      <c r="G254" s="141" t="s">
        <v>937</v>
      </c>
      <c r="H254" s="142">
        <v>1</v>
      </c>
      <c r="I254" s="143">
        <v>0.02</v>
      </c>
      <c r="J254" s="143">
        <v>0.09</v>
      </c>
      <c r="K254" s="144">
        <v>20140609</v>
      </c>
      <c r="L254" s="144">
        <v>20171231</v>
      </c>
      <c r="M254" s="144">
        <v>20160101</v>
      </c>
      <c r="N254" s="144">
        <v>20160101</v>
      </c>
      <c r="O254" s="145" t="s">
        <v>80</v>
      </c>
      <c r="P254" s="146">
        <v>200000000</v>
      </c>
      <c r="Q254" s="147" t="s">
        <v>80</v>
      </c>
      <c r="R254" s="146">
        <v>166650000</v>
      </c>
      <c r="S254" s="148">
        <v>166650000</v>
      </c>
      <c r="T254" s="148">
        <v>0</v>
      </c>
      <c r="U254" s="148">
        <v>166650000</v>
      </c>
      <c r="V254" s="148">
        <v>4060026</v>
      </c>
      <c r="W254" s="149">
        <v>170710026</v>
      </c>
      <c r="X254" s="150"/>
    </row>
    <row r="255" spans="1:24" s="121" customFormat="1" ht="14.1" customHeight="1">
      <c r="A255" s="87"/>
      <c r="B255" s="137">
        <v>246</v>
      </c>
      <c r="C255" s="70"/>
      <c r="D255" s="138" t="s">
        <v>535</v>
      </c>
      <c r="E255" s="139" t="s">
        <v>109</v>
      </c>
      <c r="F255" s="140" t="s">
        <v>732</v>
      </c>
      <c r="G255" s="141" t="s">
        <v>938</v>
      </c>
      <c r="H255" s="142">
        <v>1</v>
      </c>
      <c r="I255" s="143">
        <v>3.0299999999999997E-2</v>
      </c>
      <c r="J255" s="143">
        <v>0.1103</v>
      </c>
      <c r="K255" s="144">
        <v>20040617</v>
      </c>
      <c r="L255" s="144">
        <v>20340617</v>
      </c>
      <c r="M255" s="144">
        <v>20151104</v>
      </c>
      <c r="N255" s="144">
        <v>20160105</v>
      </c>
      <c r="O255" s="145" t="s">
        <v>80</v>
      </c>
      <c r="P255" s="146">
        <v>28200000</v>
      </c>
      <c r="Q255" s="147" t="s">
        <v>80</v>
      </c>
      <c r="R255" s="146">
        <v>17328403</v>
      </c>
      <c r="S255" s="148">
        <v>17328403</v>
      </c>
      <c r="T255" s="148">
        <v>0</v>
      </c>
      <c r="U255" s="148">
        <v>17328403</v>
      </c>
      <c r="V255" s="148">
        <v>675898</v>
      </c>
      <c r="W255" s="149">
        <v>18004301</v>
      </c>
      <c r="X255" s="150"/>
    </row>
    <row r="256" spans="1:24" s="121" customFormat="1" ht="14.1" customHeight="1">
      <c r="A256" s="87"/>
      <c r="B256" s="137">
        <v>247</v>
      </c>
      <c r="C256" s="70"/>
      <c r="D256" s="138" t="s">
        <v>535</v>
      </c>
      <c r="E256" s="139" t="s">
        <v>109</v>
      </c>
      <c r="F256" s="140" t="s">
        <v>732</v>
      </c>
      <c r="G256" s="141" t="s">
        <v>939</v>
      </c>
      <c r="H256" s="142">
        <v>1</v>
      </c>
      <c r="I256" s="143">
        <v>3.0200000000000001E-2</v>
      </c>
      <c r="J256" s="143">
        <v>0.11019999999999999</v>
      </c>
      <c r="K256" s="144">
        <v>20040630</v>
      </c>
      <c r="L256" s="144">
        <v>20190630</v>
      </c>
      <c r="M256" s="144">
        <v>20151031</v>
      </c>
      <c r="N256" s="144">
        <v>20151231</v>
      </c>
      <c r="O256" s="145" t="s">
        <v>80</v>
      </c>
      <c r="P256" s="146">
        <v>12000000</v>
      </c>
      <c r="Q256" s="147" t="s">
        <v>80</v>
      </c>
      <c r="R256" s="146">
        <v>2000000</v>
      </c>
      <c r="S256" s="148">
        <v>2000000</v>
      </c>
      <c r="T256" s="148">
        <v>0</v>
      </c>
      <c r="U256" s="148">
        <v>2000000</v>
      </c>
      <c r="V256" s="148">
        <v>80372</v>
      </c>
      <c r="W256" s="149">
        <v>2080372</v>
      </c>
      <c r="X256" s="150"/>
    </row>
    <row r="257" spans="1:24" s="121" customFormat="1" ht="14.1" customHeight="1">
      <c r="A257" s="87"/>
      <c r="B257" s="137">
        <v>248</v>
      </c>
      <c r="C257" s="70"/>
      <c r="D257" s="138" t="s">
        <v>535</v>
      </c>
      <c r="E257" s="139" t="s">
        <v>109</v>
      </c>
      <c r="F257" s="140" t="s">
        <v>732</v>
      </c>
      <c r="G257" s="141" t="s">
        <v>372</v>
      </c>
      <c r="H257" s="142">
        <v>1</v>
      </c>
      <c r="I257" s="143">
        <v>2.8300000000000002E-2</v>
      </c>
      <c r="J257" s="143">
        <v>0.10830000000000001</v>
      </c>
      <c r="K257" s="144">
        <v>20070913</v>
      </c>
      <c r="L257" s="144">
        <v>20370913</v>
      </c>
      <c r="M257" s="144">
        <v>20151104</v>
      </c>
      <c r="N257" s="144">
        <v>20160105</v>
      </c>
      <c r="O257" s="145" t="s">
        <v>80</v>
      </c>
      <c r="P257" s="146">
        <v>57000000</v>
      </c>
      <c r="Q257" s="147" t="s">
        <v>80</v>
      </c>
      <c r="R257" s="146">
        <v>44728213</v>
      </c>
      <c r="S257" s="148">
        <v>44728213</v>
      </c>
      <c r="T257" s="148">
        <v>0</v>
      </c>
      <c r="U257" s="148">
        <v>44728213</v>
      </c>
      <c r="V257" s="148">
        <v>1687585</v>
      </c>
      <c r="W257" s="149">
        <v>46415798</v>
      </c>
      <c r="X257" s="150"/>
    </row>
    <row r="258" spans="1:24" s="121" customFormat="1" ht="14.1" customHeight="1">
      <c r="A258" s="87"/>
      <c r="B258" s="137">
        <v>249</v>
      </c>
      <c r="C258" s="70"/>
      <c r="D258" s="138" t="s">
        <v>535</v>
      </c>
      <c r="E258" s="139" t="s">
        <v>109</v>
      </c>
      <c r="F258" s="140" t="s">
        <v>732</v>
      </c>
      <c r="G258" s="141" t="s">
        <v>793</v>
      </c>
      <c r="H258" s="142">
        <v>1</v>
      </c>
      <c r="I258" s="143">
        <v>2.81E-2</v>
      </c>
      <c r="J258" s="143">
        <v>0.1081</v>
      </c>
      <c r="K258" s="144">
        <v>20071001</v>
      </c>
      <c r="L258" s="144">
        <v>20371001</v>
      </c>
      <c r="M258" s="144">
        <v>20151104</v>
      </c>
      <c r="N258" s="144">
        <v>20160105</v>
      </c>
      <c r="O258" s="145" t="s">
        <v>80</v>
      </c>
      <c r="P258" s="146">
        <v>100000000</v>
      </c>
      <c r="Q258" s="147" t="s">
        <v>80</v>
      </c>
      <c r="R258" s="146">
        <v>99547698</v>
      </c>
      <c r="S258" s="148">
        <v>99547698</v>
      </c>
      <c r="T258" s="148">
        <v>0</v>
      </c>
      <c r="U258" s="148">
        <v>99547698</v>
      </c>
      <c r="V258" s="148">
        <v>3752388</v>
      </c>
      <c r="W258" s="149">
        <v>103300086</v>
      </c>
      <c r="X258" s="150" t="s">
        <v>1168</v>
      </c>
    </row>
    <row r="259" spans="1:24" s="121" customFormat="1" ht="14.1" customHeight="1">
      <c r="A259" s="87"/>
      <c r="B259" s="137">
        <v>250</v>
      </c>
      <c r="C259" s="70"/>
      <c r="D259" s="138" t="s">
        <v>536</v>
      </c>
      <c r="E259" s="139" t="s">
        <v>92</v>
      </c>
      <c r="F259" s="140" t="s">
        <v>686</v>
      </c>
      <c r="G259" s="141" t="s">
        <v>940</v>
      </c>
      <c r="H259" s="142">
        <v>1</v>
      </c>
      <c r="I259" s="143">
        <v>4.2000000000000003E-2</v>
      </c>
      <c r="J259" s="143">
        <v>0.122</v>
      </c>
      <c r="K259" s="144">
        <v>20130516</v>
      </c>
      <c r="L259" s="144">
        <v>20430516</v>
      </c>
      <c r="M259" s="144">
        <v>20151027</v>
      </c>
      <c r="N259" s="144">
        <v>20151229</v>
      </c>
      <c r="O259" s="145" t="s">
        <v>80</v>
      </c>
      <c r="P259" s="146">
        <v>22000000</v>
      </c>
      <c r="Q259" s="147" t="s">
        <v>80</v>
      </c>
      <c r="R259" s="146">
        <v>22000000</v>
      </c>
      <c r="S259" s="148">
        <v>22000000</v>
      </c>
      <c r="T259" s="148">
        <v>2904220</v>
      </c>
      <c r="U259" s="148">
        <v>24904220</v>
      </c>
      <c r="V259" s="148">
        <v>990051</v>
      </c>
      <c r="W259" s="149">
        <v>25894271</v>
      </c>
      <c r="X259" s="150" t="s">
        <v>1168</v>
      </c>
    </row>
    <row r="260" spans="1:24" s="121" customFormat="1" ht="14.1" customHeight="1">
      <c r="A260" s="87"/>
      <c r="B260" s="137">
        <v>251</v>
      </c>
      <c r="C260" s="70"/>
      <c r="D260" s="138" t="s">
        <v>536</v>
      </c>
      <c r="E260" s="139" t="s">
        <v>92</v>
      </c>
      <c r="F260" s="140" t="s">
        <v>686</v>
      </c>
      <c r="G260" s="141" t="s">
        <v>941</v>
      </c>
      <c r="H260" s="142">
        <v>1</v>
      </c>
      <c r="I260" s="143">
        <v>4.4000000000000004E-2</v>
      </c>
      <c r="J260" s="143">
        <v>0.114</v>
      </c>
      <c r="K260" s="144">
        <v>20130821</v>
      </c>
      <c r="L260" s="144">
        <v>20240221</v>
      </c>
      <c r="M260" s="144">
        <v>20151209</v>
      </c>
      <c r="N260" s="144">
        <v>20160212</v>
      </c>
      <c r="O260" s="145" t="s">
        <v>80</v>
      </c>
      <c r="P260" s="146">
        <v>20000000</v>
      </c>
      <c r="Q260" s="147" t="s">
        <v>80</v>
      </c>
      <c r="R260" s="146">
        <v>20000000</v>
      </c>
      <c r="S260" s="148">
        <v>20000000</v>
      </c>
      <c r="T260" s="148">
        <v>0</v>
      </c>
      <c r="U260" s="148">
        <v>20000000</v>
      </c>
      <c r="V260" s="148">
        <v>689720</v>
      </c>
      <c r="W260" s="149">
        <v>20689720</v>
      </c>
      <c r="X260" s="150"/>
    </row>
    <row r="261" spans="1:24" s="121" customFormat="1" ht="14.1" customHeight="1">
      <c r="A261" s="87"/>
      <c r="B261" s="137">
        <v>252</v>
      </c>
      <c r="C261" s="70"/>
      <c r="D261" s="138" t="s">
        <v>536</v>
      </c>
      <c r="E261" s="139" t="s">
        <v>92</v>
      </c>
      <c r="F261" s="140" t="s">
        <v>686</v>
      </c>
      <c r="G261" s="141" t="s">
        <v>942</v>
      </c>
      <c r="H261" s="142">
        <v>1</v>
      </c>
      <c r="I261" s="143">
        <v>3.6499999999999998E-2</v>
      </c>
      <c r="J261" s="143">
        <v>0.11650000000000001</v>
      </c>
      <c r="K261" s="144">
        <v>20150320</v>
      </c>
      <c r="L261" s="144">
        <v>20450320</v>
      </c>
      <c r="M261" s="144">
        <v>20151020</v>
      </c>
      <c r="N261" s="144">
        <v>20151222</v>
      </c>
      <c r="O261" s="145" t="s">
        <v>80</v>
      </c>
      <c r="P261" s="146">
        <v>120000000</v>
      </c>
      <c r="Q261" s="147" t="s">
        <v>80</v>
      </c>
      <c r="R261" s="146">
        <v>119999082</v>
      </c>
      <c r="S261" s="148">
        <v>119999082</v>
      </c>
      <c r="T261" s="148">
        <v>0</v>
      </c>
      <c r="U261" s="148">
        <v>119999082</v>
      </c>
      <c r="V261" s="148">
        <v>2492439</v>
      </c>
      <c r="W261" s="149">
        <v>122491521</v>
      </c>
      <c r="X261" s="150"/>
    </row>
    <row r="262" spans="1:24" s="121" customFormat="1" ht="14.1" customHeight="1">
      <c r="A262" s="87"/>
      <c r="B262" s="137">
        <v>253</v>
      </c>
      <c r="C262" s="70"/>
      <c r="D262" s="138" t="s">
        <v>537</v>
      </c>
      <c r="E262" s="139" t="s">
        <v>221</v>
      </c>
      <c r="F262" s="140" t="s">
        <v>732</v>
      </c>
      <c r="G262" s="141" t="s">
        <v>943</v>
      </c>
      <c r="H262" s="142">
        <v>1</v>
      </c>
      <c r="I262" s="143">
        <v>3.3500000000000002E-2</v>
      </c>
      <c r="J262" s="143">
        <v>0.10349999999999999</v>
      </c>
      <c r="K262" s="144">
        <v>20151022</v>
      </c>
      <c r="L262" s="144">
        <v>20420622</v>
      </c>
      <c r="M262" s="144">
        <v>20151223</v>
      </c>
      <c r="N262" s="144">
        <v>20151223</v>
      </c>
      <c r="O262" s="145" t="s">
        <v>80</v>
      </c>
      <c r="P262" s="353">
        <v>165000000</v>
      </c>
      <c r="Q262" s="147" t="s">
        <v>80</v>
      </c>
      <c r="R262" s="146">
        <v>159383272</v>
      </c>
      <c r="S262" s="148">
        <v>159383272</v>
      </c>
      <c r="T262" s="148">
        <v>0</v>
      </c>
      <c r="U262" s="148">
        <v>159383272</v>
      </c>
      <c r="V262" s="148">
        <v>3267468</v>
      </c>
      <c r="W262" s="149">
        <v>162650740</v>
      </c>
      <c r="X262" s="150"/>
    </row>
    <row r="263" spans="1:24" s="121" customFormat="1" ht="14.1" customHeight="1">
      <c r="A263" s="87"/>
      <c r="B263" s="137">
        <v>254</v>
      </c>
      <c r="C263" s="70"/>
      <c r="D263" s="138" t="s">
        <v>538</v>
      </c>
      <c r="E263" s="139" t="s">
        <v>173</v>
      </c>
      <c r="F263" s="140" t="s">
        <v>740</v>
      </c>
      <c r="G263" s="141" t="s">
        <v>347</v>
      </c>
      <c r="H263" s="142">
        <v>1</v>
      </c>
      <c r="I263" s="143">
        <v>4.2500000000000003E-2</v>
      </c>
      <c r="J263" s="143">
        <v>0.1125</v>
      </c>
      <c r="K263" s="144">
        <v>20121123</v>
      </c>
      <c r="L263" s="144">
        <v>20421123</v>
      </c>
      <c r="M263" s="144">
        <v>20151208</v>
      </c>
      <c r="N263" s="144">
        <v>20160212</v>
      </c>
      <c r="O263" s="145" t="s">
        <v>80</v>
      </c>
      <c r="P263" s="146">
        <v>156000000</v>
      </c>
      <c r="Q263" s="147" t="s">
        <v>80</v>
      </c>
      <c r="R263" s="146">
        <v>156000000</v>
      </c>
      <c r="S263" s="148">
        <v>156000000</v>
      </c>
      <c r="T263" s="148">
        <v>0</v>
      </c>
      <c r="U263" s="148">
        <v>156000000</v>
      </c>
      <c r="V263" s="148">
        <v>5303100</v>
      </c>
      <c r="W263" s="149">
        <v>161303100</v>
      </c>
      <c r="X263" s="150"/>
    </row>
    <row r="264" spans="1:24" s="121" customFormat="1" ht="14.1" customHeight="1">
      <c r="A264" s="87"/>
      <c r="B264" s="137">
        <v>255</v>
      </c>
      <c r="C264" s="70"/>
      <c r="D264" s="138" t="s">
        <v>539</v>
      </c>
      <c r="E264" s="139" t="s">
        <v>152</v>
      </c>
      <c r="F264" s="140" t="s">
        <v>734</v>
      </c>
      <c r="G264" s="141" t="s">
        <v>944</v>
      </c>
      <c r="H264" s="142">
        <v>0</v>
      </c>
      <c r="I264" s="143">
        <v>5.0499999999999996E-2</v>
      </c>
      <c r="J264" s="143">
        <v>0.1105</v>
      </c>
      <c r="K264" s="144">
        <v>20071101</v>
      </c>
      <c r="L264" s="144">
        <v>20161025</v>
      </c>
      <c r="M264" s="144">
        <v>20160212</v>
      </c>
      <c r="N264" s="144">
        <v>20160226</v>
      </c>
      <c r="O264" s="145" t="s">
        <v>80</v>
      </c>
      <c r="P264" s="146">
        <v>18700000</v>
      </c>
      <c r="Q264" s="147" t="s">
        <v>80</v>
      </c>
      <c r="R264" s="146">
        <v>18395537</v>
      </c>
      <c r="S264" s="148">
        <v>18395537</v>
      </c>
      <c r="T264" s="148">
        <v>0</v>
      </c>
      <c r="U264" s="148">
        <v>18395537</v>
      </c>
      <c r="V264" s="148">
        <v>471362</v>
      </c>
      <c r="W264" s="149">
        <v>18866899</v>
      </c>
      <c r="X264" s="150"/>
    </row>
    <row r="265" spans="1:24" s="121" customFormat="1" ht="14.1" customHeight="1">
      <c r="A265" s="87"/>
      <c r="B265" s="137">
        <v>256</v>
      </c>
      <c r="C265" s="70"/>
      <c r="D265" s="138" t="s">
        <v>539</v>
      </c>
      <c r="E265" s="139" t="s">
        <v>152</v>
      </c>
      <c r="F265" s="140" t="s">
        <v>732</v>
      </c>
      <c r="G265" s="141" t="s">
        <v>907</v>
      </c>
      <c r="H265" s="142">
        <v>1</v>
      </c>
      <c r="I265" s="143">
        <v>2.63E-2</v>
      </c>
      <c r="J265" s="143">
        <v>9.6300000000000011E-2</v>
      </c>
      <c r="K265" s="144">
        <v>20051228</v>
      </c>
      <c r="L265" s="144">
        <v>20351228</v>
      </c>
      <c r="M265" s="144">
        <v>20160122</v>
      </c>
      <c r="N265" s="144">
        <v>20160129</v>
      </c>
      <c r="O265" s="145" t="s">
        <v>80</v>
      </c>
      <c r="P265" s="146">
        <v>153000000</v>
      </c>
      <c r="Q265" s="147" t="s">
        <v>80</v>
      </c>
      <c r="R265" s="146">
        <v>136425000</v>
      </c>
      <c r="S265" s="148">
        <v>136425000</v>
      </c>
      <c r="T265" s="148">
        <v>0</v>
      </c>
      <c r="U265" s="148">
        <v>136425000</v>
      </c>
      <c r="V265" s="148">
        <v>2786710</v>
      </c>
      <c r="W265" s="149">
        <v>139211710</v>
      </c>
      <c r="X265" s="150"/>
    </row>
    <row r="266" spans="1:24" s="121" customFormat="1" ht="14.1" customHeight="1">
      <c r="A266" s="87"/>
      <c r="B266" s="137">
        <v>257</v>
      </c>
      <c r="C266" s="70"/>
      <c r="D266" s="138" t="s">
        <v>540</v>
      </c>
      <c r="E266" s="139" t="s">
        <v>175</v>
      </c>
      <c r="F266" s="140" t="s">
        <v>736</v>
      </c>
      <c r="G266" s="141" t="s">
        <v>359</v>
      </c>
      <c r="H266" s="142">
        <v>1</v>
      </c>
      <c r="I266" s="143">
        <v>4.2000000000000003E-2</v>
      </c>
      <c r="J266" s="143">
        <v>0.11199999999999999</v>
      </c>
      <c r="K266" s="144">
        <v>20140109</v>
      </c>
      <c r="L266" s="144">
        <v>20440109</v>
      </c>
      <c r="M266" s="144">
        <v>20160112</v>
      </c>
      <c r="N266" s="144">
        <v>20160312</v>
      </c>
      <c r="O266" s="145" t="s">
        <v>80</v>
      </c>
      <c r="P266" s="146">
        <v>153000000</v>
      </c>
      <c r="Q266" s="147" t="s">
        <v>80</v>
      </c>
      <c r="R266" s="146">
        <v>147914942</v>
      </c>
      <c r="S266" s="148">
        <v>147914942</v>
      </c>
      <c r="T266" s="148">
        <v>0</v>
      </c>
      <c r="U266" s="148">
        <v>147914942</v>
      </c>
      <c r="V266" s="148">
        <v>3674060</v>
      </c>
      <c r="W266" s="149">
        <v>151589002</v>
      </c>
      <c r="X266" s="150"/>
    </row>
    <row r="267" spans="1:24" s="121" customFormat="1" ht="14.1" customHeight="1">
      <c r="A267" s="87"/>
      <c r="B267" s="137">
        <v>258</v>
      </c>
      <c r="C267" s="70"/>
      <c r="D267" s="138" t="s">
        <v>541</v>
      </c>
      <c r="E267" s="139" t="s">
        <v>168</v>
      </c>
      <c r="F267" s="140" t="s">
        <v>736</v>
      </c>
      <c r="G267" s="141" t="s">
        <v>945</v>
      </c>
      <c r="H267" s="142">
        <v>1</v>
      </c>
      <c r="I267" s="143">
        <v>3.7100000000000001E-2</v>
      </c>
      <c r="J267" s="143">
        <v>0.1171</v>
      </c>
      <c r="K267" s="144">
        <v>20140421</v>
      </c>
      <c r="L267" s="144">
        <v>20440421</v>
      </c>
      <c r="M267" s="144">
        <v>20150324</v>
      </c>
      <c r="N267" s="144">
        <v>20150527</v>
      </c>
      <c r="O267" s="145" t="s">
        <v>80</v>
      </c>
      <c r="P267" s="146">
        <v>150000000</v>
      </c>
      <c r="Q267" s="147" t="s">
        <v>80</v>
      </c>
      <c r="R267" s="146">
        <v>147692850</v>
      </c>
      <c r="S267" s="148">
        <v>147692850</v>
      </c>
      <c r="T267" s="148">
        <v>0</v>
      </c>
      <c r="U267" s="148">
        <v>147692850</v>
      </c>
      <c r="V267" s="148">
        <v>16886100</v>
      </c>
      <c r="W267" s="149">
        <v>164578950</v>
      </c>
      <c r="X267" s="150"/>
    </row>
    <row r="268" spans="1:24" s="121" customFormat="1" ht="14.1" customHeight="1">
      <c r="A268" s="87"/>
      <c r="B268" s="137">
        <v>259</v>
      </c>
      <c r="C268" s="70"/>
      <c r="D268" s="138" t="s">
        <v>542</v>
      </c>
      <c r="E268" s="139" t="s">
        <v>130</v>
      </c>
      <c r="F268" s="140" t="s">
        <v>722</v>
      </c>
      <c r="G268" s="141" t="s">
        <v>946</v>
      </c>
      <c r="H268" s="142">
        <v>1</v>
      </c>
      <c r="I268" s="143">
        <v>2.86E-2</v>
      </c>
      <c r="J268" s="143">
        <v>0.10859999999999999</v>
      </c>
      <c r="K268" s="144">
        <v>20130710</v>
      </c>
      <c r="L268" s="144">
        <v>20160710</v>
      </c>
      <c r="M268" s="144">
        <v>20151013</v>
      </c>
      <c r="N268" s="144">
        <v>20151215</v>
      </c>
      <c r="O268" s="145" t="s">
        <v>80</v>
      </c>
      <c r="P268" s="146">
        <v>140000000</v>
      </c>
      <c r="Q268" s="147" t="s">
        <v>80</v>
      </c>
      <c r="R268" s="146">
        <v>140000000</v>
      </c>
      <c r="S268" s="148">
        <v>140000000</v>
      </c>
      <c r="T268" s="148">
        <v>2813768</v>
      </c>
      <c r="U268" s="148">
        <v>142813768</v>
      </c>
      <c r="V268" s="148">
        <v>6239602</v>
      </c>
      <c r="W268" s="149">
        <v>149053370</v>
      </c>
      <c r="X268" s="150" t="s">
        <v>1168</v>
      </c>
    </row>
    <row r="269" spans="1:24" s="121" customFormat="1" ht="14.1" customHeight="1">
      <c r="A269" s="87"/>
      <c r="B269" s="137">
        <v>260</v>
      </c>
      <c r="C269" s="70"/>
      <c r="D269" s="138" t="s">
        <v>543</v>
      </c>
      <c r="E269" s="139" t="s">
        <v>109</v>
      </c>
      <c r="F269" s="140" t="s">
        <v>741</v>
      </c>
      <c r="G269" s="141" t="s">
        <v>947</v>
      </c>
      <c r="H269" s="142">
        <v>1</v>
      </c>
      <c r="I269" s="143">
        <v>3.9E-2</v>
      </c>
      <c r="J269" s="143">
        <v>0.11900000000000001</v>
      </c>
      <c r="K269" s="144">
        <v>20130621</v>
      </c>
      <c r="L269" s="144">
        <v>20280621</v>
      </c>
      <c r="M269" s="144">
        <v>20151124</v>
      </c>
      <c r="N269" s="144">
        <v>20151124</v>
      </c>
      <c r="O269" s="145" t="s">
        <v>80</v>
      </c>
      <c r="P269" s="146">
        <v>105000000</v>
      </c>
      <c r="Q269" s="147" t="s">
        <v>80</v>
      </c>
      <c r="R269" s="146">
        <v>88666616</v>
      </c>
      <c r="S269" s="148">
        <v>88666616</v>
      </c>
      <c r="T269" s="148">
        <v>2856332</v>
      </c>
      <c r="U269" s="148">
        <v>91522948</v>
      </c>
      <c r="V269" s="148">
        <v>3393343</v>
      </c>
      <c r="W269" s="149">
        <v>94916291</v>
      </c>
      <c r="X269" s="150" t="s">
        <v>1168</v>
      </c>
    </row>
    <row r="270" spans="1:24" s="121" customFormat="1" ht="14.1" customHeight="1">
      <c r="A270" s="87"/>
      <c r="B270" s="137">
        <v>261</v>
      </c>
      <c r="C270" s="70"/>
      <c r="D270" s="138" t="s">
        <v>543</v>
      </c>
      <c r="E270" s="139" t="s">
        <v>109</v>
      </c>
      <c r="F270" s="140" t="s">
        <v>740</v>
      </c>
      <c r="G270" s="141" t="s">
        <v>948</v>
      </c>
      <c r="H270" s="142">
        <v>1</v>
      </c>
      <c r="I270" s="143">
        <v>3.15E-2</v>
      </c>
      <c r="J270" s="143">
        <v>0.10150000000000001</v>
      </c>
      <c r="K270" s="144">
        <v>20150515</v>
      </c>
      <c r="L270" s="144">
        <v>20350515</v>
      </c>
      <c r="M270" s="144">
        <v>20151216</v>
      </c>
      <c r="N270" s="144">
        <v>20151216</v>
      </c>
      <c r="O270" s="145" t="s">
        <v>80</v>
      </c>
      <c r="P270" s="146">
        <v>52500000</v>
      </c>
      <c r="Q270" s="147" t="s">
        <v>80</v>
      </c>
      <c r="R270" s="146">
        <v>51187500</v>
      </c>
      <c r="S270" s="148">
        <v>51187500</v>
      </c>
      <c r="T270" s="148">
        <v>0</v>
      </c>
      <c r="U270" s="148">
        <v>51187500</v>
      </c>
      <c r="V270" s="148">
        <v>1397368</v>
      </c>
      <c r="W270" s="149">
        <v>52584868</v>
      </c>
      <c r="X270" s="150"/>
    </row>
    <row r="271" spans="1:24" s="121" customFormat="1" ht="14.1" customHeight="1">
      <c r="A271" s="87"/>
      <c r="B271" s="137">
        <v>262</v>
      </c>
      <c r="C271" s="70"/>
      <c r="D271" s="138" t="s">
        <v>544</v>
      </c>
      <c r="E271" s="139" t="s">
        <v>151</v>
      </c>
      <c r="F271" s="140" t="s">
        <v>746</v>
      </c>
      <c r="G271" s="141" t="s">
        <v>949</v>
      </c>
      <c r="H271" s="142">
        <v>1</v>
      </c>
      <c r="I271" s="143">
        <v>2.4500000000000001E-2</v>
      </c>
      <c r="J271" s="143">
        <v>0.1045</v>
      </c>
      <c r="K271" s="144">
        <v>20101228</v>
      </c>
      <c r="L271" s="144">
        <v>20401228</v>
      </c>
      <c r="M271" s="144">
        <v>20150529</v>
      </c>
      <c r="N271" s="144">
        <v>20150707</v>
      </c>
      <c r="O271" s="145" t="s">
        <v>80</v>
      </c>
      <c r="P271" s="146">
        <v>139000000</v>
      </c>
      <c r="Q271" s="147" t="s">
        <v>80</v>
      </c>
      <c r="R271" s="146">
        <v>139000000</v>
      </c>
      <c r="S271" s="148">
        <v>139000000</v>
      </c>
      <c r="T271" s="148">
        <v>2864808</v>
      </c>
      <c r="U271" s="148">
        <v>141864808</v>
      </c>
      <c r="V271" s="148">
        <v>11882904</v>
      </c>
      <c r="W271" s="149">
        <v>153747712</v>
      </c>
      <c r="X271" s="150" t="s">
        <v>1168</v>
      </c>
    </row>
    <row r="272" spans="1:24" s="121" customFormat="1" ht="14.1" customHeight="1">
      <c r="A272" s="87"/>
      <c r="B272" s="137">
        <v>263</v>
      </c>
      <c r="C272" s="70"/>
      <c r="D272" s="138" t="s">
        <v>545</v>
      </c>
      <c r="E272" s="139" t="s">
        <v>148</v>
      </c>
      <c r="F272" s="140" t="s">
        <v>727</v>
      </c>
      <c r="G272" s="141" t="s">
        <v>950</v>
      </c>
      <c r="H272" s="142">
        <v>1</v>
      </c>
      <c r="I272" s="143">
        <v>3.1699999999999999E-2</v>
      </c>
      <c r="J272" s="143">
        <v>0.11169999999999999</v>
      </c>
      <c r="K272" s="144">
        <v>20150420</v>
      </c>
      <c r="L272" s="144">
        <v>20450420</v>
      </c>
      <c r="M272" s="144">
        <v>20151021</v>
      </c>
      <c r="N272" s="144">
        <v>20151222</v>
      </c>
      <c r="O272" s="145" t="s">
        <v>80</v>
      </c>
      <c r="P272" s="353">
        <v>142000000</v>
      </c>
      <c r="Q272" s="147" t="s">
        <v>80</v>
      </c>
      <c r="R272" s="146">
        <v>140810438</v>
      </c>
      <c r="S272" s="148">
        <v>140810438</v>
      </c>
      <c r="T272" s="148">
        <v>0</v>
      </c>
      <c r="U272" s="148">
        <v>140810438</v>
      </c>
      <c r="V272" s="148">
        <v>6171189</v>
      </c>
      <c r="W272" s="149">
        <v>146981627</v>
      </c>
      <c r="X272" s="150"/>
    </row>
    <row r="273" spans="1:24" s="121" customFormat="1" ht="14.1" customHeight="1">
      <c r="A273" s="87"/>
      <c r="B273" s="137">
        <v>264</v>
      </c>
      <c r="C273" s="70"/>
      <c r="D273" s="138" t="s">
        <v>546</v>
      </c>
      <c r="E273" s="139" t="s">
        <v>208</v>
      </c>
      <c r="F273" s="140" t="s">
        <v>685</v>
      </c>
      <c r="G273" s="141" t="s">
        <v>326</v>
      </c>
      <c r="H273" s="142">
        <v>1</v>
      </c>
      <c r="I273" s="143">
        <v>4.9100000000000005E-2</v>
      </c>
      <c r="J273" s="143">
        <v>0.1191</v>
      </c>
      <c r="K273" s="144">
        <v>20110114</v>
      </c>
      <c r="L273" s="144">
        <v>20170114</v>
      </c>
      <c r="M273" s="144">
        <v>20160115</v>
      </c>
      <c r="N273" s="144">
        <v>20160218</v>
      </c>
      <c r="O273" s="145" t="s">
        <v>80</v>
      </c>
      <c r="P273" s="146">
        <v>108000000</v>
      </c>
      <c r="Q273" s="147" t="s">
        <v>80</v>
      </c>
      <c r="R273" s="146">
        <v>108000000</v>
      </c>
      <c r="S273" s="148">
        <v>108000000</v>
      </c>
      <c r="T273" s="148">
        <v>0</v>
      </c>
      <c r="U273" s="148">
        <v>108000000</v>
      </c>
      <c r="V273" s="148">
        <v>3349137</v>
      </c>
      <c r="W273" s="149">
        <v>111349137</v>
      </c>
      <c r="X273" s="150"/>
    </row>
    <row r="274" spans="1:24" s="121" customFormat="1" ht="14.1" customHeight="1">
      <c r="A274" s="87"/>
      <c r="B274" s="137">
        <v>265</v>
      </c>
      <c r="C274" s="60"/>
      <c r="D274" s="138" t="s">
        <v>546</v>
      </c>
      <c r="E274" s="139" t="s">
        <v>208</v>
      </c>
      <c r="F274" s="140" t="s">
        <v>354</v>
      </c>
      <c r="G274" s="141" t="s">
        <v>951</v>
      </c>
      <c r="H274" s="142">
        <v>1</v>
      </c>
      <c r="I274" s="143">
        <v>3.5400000000000001E-2</v>
      </c>
      <c r="J274" s="143">
        <v>0.11539999999999999</v>
      </c>
      <c r="K274" s="144">
        <v>20111004</v>
      </c>
      <c r="L274" s="144">
        <v>20161003</v>
      </c>
      <c r="M274" s="144">
        <v>20160105</v>
      </c>
      <c r="N274" s="144">
        <v>20160105</v>
      </c>
      <c r="O274" s="145" t="s">
        <v>80</v>
      </c>
      <c r="P274" s="146">
        <v>20000000</v>
      </c>
      <c r="Q274" s="147" t="s">
        <v>80</v>
      </c>
      <c r="R274" s="146">
        <v>4166660</v>
      </c>
      <c r="S274" s="148">
        <v>4166660</v>
      </c>
      <c r="T274" s="148">
        <v>0</v>
      </c>
      <c r="U274" s="148">
        <v>4166660</v>
      </c>
      <c r="V274" s="148">
        <v>136924</v>
      </c>
      <c r="W274" s="149">
        <v>4303584</v>
      </c>
      <c r="X274" s="150"/>
    </row>
    <row r="275" spans="1:24" s="121" customFormat="1" ht="14.1" customHeight="1">
      <c r="A275" s="87"/>
      <c r="B275" s="137">
        <v>266</v>
      </c>
      <c r="C275" s="70"/>
      <c r="D275" s="138" t="s">
        <v>546</v>
      </c>
      <c r="E275" s="139" t="s">
        <v>208</v>
      </c>
      <c r="F275" s="140" t="s">
        <v>328</v>
      </c>
      <c r="G275" s="141" t="s">
        <v>952</v>
      </c>
      <c r="H275" s="142">
        <v>1</v>
      </c>
      <c r="I275" s="143">
        <v>0.1206</v>
      </c>
      <c r="J275" s="143">
        <v>0.15</v>
      </c>
      <c r="K275" s="144">
        <v>20150528</v>
      </c>
      <c r="L275" s="144">
        <v>20160228</v>
      </c>
      <c r="M275" s="144">
        <v>20160116</v>
      </c>
      <c r="N275" s="144">
        <v>20160130</v>
      </c>
      <c r="O275" s="145" t="s">
        <v>80</v>
      </c>
      <c r="P275" s="146">
        <v>30000000</v>
      </c>
      <c r="Q275" s="147" t="s">
        <v>80</v>
      </c>
      <c r="R275" s="146">
        <v>28000000</v>
      </c>
      <c r="S275" s="148">
        <v>28000000</v>
      </c>
      <c r="T275" s="148">
        <v>0</v>
      </c>
      <c r="U275" s="148">
        <v>28000000</v>
      </c>
      <c r="V275" s="148">
        <v>1445666</v>
      </c>
      <c r="W275" s="149">
        <v>29445666</v>
      </c>
      <c r="X275" s="150"/>
    </row>
    <row r="276" spans="1:24" s="121" customFormat="1" ht="14.1" customHeight="1">
      <c r="A276" s="87"/>
      <c r="B276" s="137">
        <v>267</v>
      </c>
      <c r="C276" s="70"/>
      <c r="D276" s="138" t="s">
        <v>547</v>
      </c>
      <c r="E276" s="139" t="s">
        <v>109</v>
      </c>
      <c r="F276" s="140" t="s">
        <v>742</v>
      </c>
      <c r="G276" s="141" t="s">
        <v>953</v>
      </c>
      <c r="H276" s="142">
        <v>1</v>
      </c>
      <c r="I276" s="143">
        <v>2.5099999999999997E-2</v>
      </c>
      <c r="J276" s="143">
        <v>0.1051</v>
      </c>
      <c r="K276" s="144">
        <v>20070406</v>
      </c>
      <c r="L276" s="144">
        <v>20370406</v>
      </c>
      <c r="M276" s="144">
        <v>20151007</v>
      </c>
      <c r="N276" s="144">
        <v>20151007</v>
      </c>
      <c r="O276" s="145" t="s">
        <v>80</v>
      </c>
      <c r="P276" s="146">
        <v>174000000</v>
      </c>
      <c r="Q276" s="147" t="s">
        <v>80</v>
      </c>
      <c r="R276" s="146">
        <v>139092583</v>
      </c>
      <c r="S276" s="148">
        <v>139092583</v>
      </c>
      <c r="T276" s="148">
        <v>0</v>
      </c>
      <c r="U276" s="148">
        <v>139092583</v>
      </c>
      <c r="V276" s="148">
        <v>6126256</v>
      </c>
      <c r="W276" s="149">
        <v>145218839</v>
      </c>
      <c r="X276" s="150"/>
    </row>
    <row r="277" spans="1:24" s="121" customFormat="1" ht="14.1" customHeight="1">
      <c r="A277" s="87"/>
      <c r="B277" s="137">
        <v>268</v>
      </c>
      <c r="C277" s="70"/>
      <c r="D277" s="138" t="s">
        <v>548</v>
      </c>
      <c r="E277" s="139" t="s">
        <v>151</v>
      </c>
      <c r="F277" s="140" t="s">
        <v>727</v>
      </c>
      <c r="G277" s="141" t="s">
        <v>954</v>
      </c>
      <c r="H277" s="142">
        <v>1</v>
      </c>
      <c r="I277" s="143">
        <v>2.6699999999999998E-2</v>
      </c>
      <c r="J277" s="143">
        <v>0.1067</v>
      </c>
      <c r="K277" s="144">
        <v>20110222</v>
      </c>
      <c r="L277" s="144">
        <v>20410222</v>
      </c>
      <c r="M277" s="144">
        <v>20151124</v>
      </c>
      <c r="N277" s="144">
        <v>20151124</v>
      </c>
      <c r="O277" s="145" t="s">
        <v>80</v>
      </c>
      <c r="P277" s="353">
        <v>145000000</v>
      </c>
      <c r="Q277" s="147" t="s">
        <v>80</v>
      </c>
      <c r="R277" s="146">
        <v>136049120</v>
      </c>
      <c r="S277" s="148">
        <v>136049120</v>
      </c>
      <c r="T277" s="148">
        <v>2820518</v>
      </c>
      <c r="U277" s="148">
        <v>138869638</v>
      </c>
      <c r="V277" s="148">
        <v>4392100</v>
      </c>
      <c r="W277" s="149">
        <v>143261738</v>
      </c>
      <c r="X277" s="150" t="s">
        <v>1168</v>
      </c>
    </row>
    <row r="278" spans="1:24" s="121" customFormat="1" ht="14.1" customHeight="1">
      <c r="A278" s="87"/>
      <c r="B278" s="137">
        <v>269</v>
      </c>
      <c r="C278" s="70"/>
      <c r="D278" s="138" t="s">
        <v>549</v>
      </c>
      <c r="E278" s="139" t="s">
        <v>236</v>
      </c>
      <c r="F278" s="140" t="s">
        <v>343</v>
      </c>
      <c r="G278" s="141" t="s">
        <v>955</v>
      </c>
      <c r="H278" s="142">
        <v>1</v>
      </c>
      <c r="I278" s="143">
        <v>3.4099999999999998E-2</v>
      </c>
      <c r="J278" s="143">
        <v>0.11409999999999999</v>
      </c>
      <c r="K278" s="144">
        <v>20150710</v>
      </c>
      <c r="L278" s="144">
        <v>20450710</v>
      </c>
      <c r="M278" s="144">
        <v>20151013</v>
      </c>
      <c r="N278" s="144">
        <v>20151215</v>
      </c>
      <c r="O278" s="145" t="s">
        <v>80</v>
      </c>
      <c r="P278" s="146">
        <v>133000000</v>
      </c>
      <c r="Q278" s="147" t="s">
        <v>80</v>
      </c>
      <c r="R278" s="146">
        <v>132574144</v>
      </c>
      <c r="S278" s="148">
        <v>132574144</v>
      </c>
      <c r="T278" s="148">
        <v>0</v>
      </c>
      <c r="U278" s="148">
        <v>132574144</v>
      </c>
      <c r="V278" s="148">
        <v>6331437</v>
      </c>
      <c r="W278" s="149">
        <v>138905581</v>
      </c>
      <c r="X278" s="150"/>
    </row>
    <row r="279" spans="1:24" s="121" customFormat="1" ht="14.1" customHeight="1">
      <c r="A279" s="87"/>
      <c r="B279" s="137">
        <v>270</v>
      </c>
      <c r="C279" s="70"/>
      <c r="D279" s="138" t="s">
        <v>550</v>
      </c>
      <c r="E279" s="139" t="s">
        <v>668</v>
      </c>
      <c r="F279" s="140" t="s">
        <v>727</v>
      </c>
      <c r="G279" s="141" t="s">
        <v>956</v>
      </c>
      <c r="H279" s="142">
        <v>1</v>
      </c>
      <c r="I279" s="143">
        <v>2.8799999999999999E-2</v>
      </c>
      <c r="J279" s="143">
        <v>9.8800000000000013E-2</v>
      </c>
      <c r="K279" s="144">
        <v>20110630</v>
      </c>
      <c r="L279" s="144">
        <v>20410630</v>
      </c>
      <c r="M279" s="144">
        <v>20151202</v>
      </c>
      <c r="N279" s="144">
        <v>20160202</v>
      </c>
      <c r="O279" s="145" t="s">
        <v>80</v>
      </c>
      <c r="P279" s="146">
        <v>132000000</v>
      </c>
      <c r="Q279" s="147" t="s">
        <v>80</v>
      </c>
      <c r="R279" s="146">
        <v>131995357</v>
      </c>
      <c r="S279" s="148">
        <v>131995357</v>
      </c>
      <c r="T279" s="148">
        <v>2756790</v>
      </c>
      <c r="U279" s="148">
        <v>134752147</v>
      </c>
      <c r="V279" s="148">
        <v>3950649</v>
      </c>
      <c r="W279" s="149">
        <v>138702796</v>
      </c>
      <c r="X279" s="150" t="s">
        <v>1168</v>
      </c>
    </row>
    <row r="280" spans="1:24" s="121" customFormat="1" ht="14.1" customHeight="1">
      <c r="A280" s="87"/>
      <c r="B280" s="137">
        <v>271</v>
      </c>
      <c r="C280" s="70"/>
      <c r="D280" s="138" t="s">
        <v>551</v>
      </c>
      <c r="E280" s="139" t="s">
        <v>669</v>
      </c>
      <c r="F280" s="140" t="s">
        <v>740</v>
      </c>
      <c r="G280" s="141" t="s">
        <v>957</v>
      </c>
      <c r="H280" s="142">
        <v>1</v>
      </c>
      <c r="I280" s="143">
        <v>2.81E-2</v>
      </c>
      <c r="J280" s="143">
        <v>9.8100000000000007E-2</v>
      </c>
      <c r="K280" s="144">
        <v>20151021</v>
      </c>
      <c r="L280" s="144">
        <v>20451021</v>
      </c>
      <c r="M280" s="144">
        <v>20160122</v>
      </c>
      <c r="N280" s="144">
        <v>20160122</v>
      </c>
      <c r="O280" s="145" t="s">
        <v>80</v>
      </c>
      <c r="P280" s="146">
        <v>131000000</v>
      </c>
      <c r="Q280" s="147" t="s">
        <v>80</v>
      </c>
      <c r="R280" s="146">
        <v>130704624</v>
      </c>
      <c r="S280" s="148">
        <v>130704624</v>
      </c>
      <c r="T280" s="148">
        <v>0</v>
      </c>
      <c r="U280" s="148">
        <v>130704624</v>
      </c>
      <c r="V280" s="148">
        <v>3089606</v>
      </c>
      <c r="W280" s="149">
        <v>133794230</v>
      </c>
      <c r="X280" s="150"/>
    </row>
    <row r="281" spans="1:24" s="121" customFormat="1" ht="14.1" customHeight="1">
      <c r="A281" s="87"/>
      <c r="B281" s="137">
        <v>272</v>
      </c>
      <c r="C281" s="70"/>
      <c r="D281" s="138" t="s">
        <v>552</v>
      </c>
      <c r="E281" s="139" t="s">
        <v>109</v>
      </c>
      <c r="F281" s="140" t="s">
        <v>734</v>
      </c>
      <c r="G281" s="141" t="s">
        <v>958</v>
      </c>
      <c r="H281" s="142">
        <v>0</v>
      </c>
      <c r="I281" s="143">
        <v>5.6399999999999999E-2</v>
      </c>
      <c r="J281" s="143">
        <v>0.1164</v>
      </c>
      <c r="K281" s="144">
        <v>20090123</v>
      </c>
      <c r="L281" s="144">
        <v>20160117</v>
      </c>
      <c r="M281" s="144">
        <v>20151208</v>
      </c>
      <c r="N281" s="144">
        <v>20160119</v>
      </c>
      <c r="O281" s="145" t="s">
        <v>80</v>
      </c>
      <c r="P281" s="353">
        <v>20000000</v>
      </c>
      <c r="Q281" s="147" t="s">
        <v>80</v>
      </c>
      <c r="R281" s="146">
        <v>20000000</v>
      </c>
      <c r="S281" s="148">
        <v>20000000</v>
      </c>
      <c r="T281" s="148">
        <v>2603560</v>
      </c>
      <c r="U281" s="148">
        <v>22603560</v>
      </c>
      <c r="V281" s="148">
        <v>847543</v>
      </c>
      <c r="W281" s="149">
        <v>23451103</v>
      </c>
      <c r="X281" s="150" t="s">
        <v>1168</v>
      </c>
    </row>
    <row r="282" spans="1:24" s="121" customFormat="1" ht="14.1" customHeight="1">
      <c r="A282" s="87"/>
      <c r="B282" s="137">
        <v>273</v>
      </c>
      <c r="C282" s="70"/>
      <c r="D282" s="138" t="s">
        <v>552</v>
      </c>
      <c r="E282" s="139" t="s">
        <v>109</v>
      </c>
      <c r="F282" s="140" t="s">
        <v>328</v>
      </c>
      <c r="G282" s="141" t="s">
        <v>959</v>
      </c>
      <c r="H282" s="142">
        <v>1</v>
      </c>
      <c r="I282" s="143">
        <v>3.9800000000000002E-2</v>
      </c>
      <c r="J282" s="143">
        <v>0.10980000000000001</v>
      </c>
      <c r="K282" s="144">
        <v>20111212</v>
      </c>
      <c r="L282" s="144">
        <v>20160212</v>
      </c>
      <c r="M282" s="144">
        <v>20160202</v>
      </c>
      <c r="N282" s="144">
        <v>20160212</v>
      </c>
      <c r="O282" s="145" t="s">
        <v>80</v>
      </c>
      <c r="P282" s="353">
        <v>35000000</v>
      </c>
      <c r="Q282" s="147" t="s">
        <v>80</v>
      </c>
      <c r="R282" s="146">
        <v>20000000</v>
      </c>
      <c r="S282" s="148">
        <v>20000000</v>
      </c>
      <c r="T282" s="148">
        <v>0</v>
      </c>
      <c r="U282" s="148">
        <v>20000000</v>
      </c>
      <c r="V282" s="148">
        <v>534020</v>
      </c>
      <c r="W282" s="149">
        <v>20534020</v>
      </c>
      <c r="X282" s="150"/>
    </row>
    <row r="283" spans="1:24" s="121" customFormat="1" ht="14.1" customHeight="1">
      <c r="A283" s="87"/>
      <c r="B283" s="137">
        <v>274</v>
      </c>
      <c r="C283" s="70"/>
      <c r="D283" s="138" t="s">
        <v>552</v>
      </c>
      <c r="E283" s="139" t="s">
        <v>109</v>
      </c>
      <c r="F283" s="140" t="s">
        <v>736</v>
      </c>
      <c r="G283" s="141" t="s">
        <v>960</v>
      </c>
      <c r="H283" s="142">
        <v>1</v>
      </c>
      <c r="I283" s="143">
        <v>4.0999999999999995E-2</v>
      </c>
      <c r="J283" s="143">
        <v>0.111</v>
      </c>
      <c r="K283" s="144">
        <v>20121130</v>
      </c>
      <c r="L283" s="144">
        <v>20421130</v>
      </c>
      <c r="M283" s="144">
        <v>20151231</v>
      </c>
      <c r="N283" s="144">
        <v>20160101</v>
      </c>
      <c r="O283" s="145" t="s">
        <v>80</v>
      </c>
      <c r="P283" s="353">
        <v>100000000</v>
      </c>
      <c r="Q283" s="147" t="s">
        <v>80</v>
      </c>
      <c r="R283" s="146">
        <v>89999748</v>
      </c>
      <c r="S283" s="148">
        <v>89999748</v>
      </c>
      <c r="T283" s="148">
        <v>0</v>
      </c>
      <c r="U283" s="148">
        <v>89999748</v>
      </c>
      <c r="V283" s="148">
        <v>2754679</v>
      </c>
      <c r="W283" s="149">
        <v>92754427</v>
      </c>
      <c r="X283" s="150"/>
    </row>
    <row r="284" spans="1:24" s="121" customFormat="1" ht="14.1" customHeight="1">
      <c r="A284" s="87"/>
      <c r="B284" s="137">
        <v>275</v>
      </c>
      <c r="C284" s="70"/>
      <c r="D284" s="138" t="s">
        <v>553</v>
      </c>
      <c r="E284" s="139" t="s">
        <v>226</v>
      </c>
      <c r="F284" s="140" t="s">
        <v>742</v>
      </c>
      <c r="G284" s="141" t="s">
        <v>961</v>
      </c>
      <c r="H284" s="142">
        <v>1</v>
      </c>
      <c r="I284" s="143">
        <v>2.87E-2</v>
      </c>
      <c r="J284" s="143">
        <v>9.8699999999999996E-2</v>
      </c>
      <c r="K284" s="144">
        <v>20150320</v>
      </c>
      <c r="L284" s="144">
        <v>20450320</v>
      </c>
      <c r="M284" s="144">
        <v>20160121</v>
      </c>
      <c r="N284" s="144">
        <v>20160121</v>
      </c>
      <c r="O284" s="145" t="s">
        <v>80</v>
      </c>
      <c r="P284" s="146">
        <v>99700000</v>
      </c>
      <c r="Q284" s="147" t="s">
        <v>80</v>
      </c>
      <c r="R284" s="146">
        <v>97207344</v>
      </c>
      <c r="S284" s="148">
        <v>97207344</v>
      </c>
      <c r="T284" s="148">
        <v>0</v>
      </c>
      <c r="U284" s="148">
        <v>97207344</v>
      </c>
      <c r="V284" s="148">
        <v>1599020</v>
      </c>
      <c r="W284" s="149">
        <v>98806364</v>
      </c>
      <c r="X284" s="150"/>
    </row>
    <row r="285" spans="1:24" s="121" customFormat="1" ht="14.1" customHeight="1">
      <c r="A285" s="87"/>
      <c r="B285" s="137">
        <v>276</v>
      </c>
      <c r="C285" s="70"/>
      <c r="D285" s="138" t="s">
        <v>553</v>
      </c>
      <c r="E285" s="139" t="s">
        <v>226</v>
      </c>
      <c r="F285" s="140" t="s">
        <v>749</v>
      </c>
      <c r="G285" s="141" t="s">
        <v>962</v>
      </c>
      <c r="H285" s="142">
        <v>1</v>
      </c>
      <c r="I285" s="143">
        <v>4.4000000000000004E-2</v>
      </c>
      <c r="J285" s="143">
        <v>0.114</v>
      </c>
      <c r="K285" s="144">
        <v>20150320</v>
      </c>
      <c r="L285" s="144">
        <v>20160320</v>
      </c>
      <c r="M285" s="144">
        <v>20151222</v>
      </c>
      <c r="N285" s="144">
        <v>20151222</v>
      </c>
      <c r="O285" s="145" t="s">
        <v>80</v>
      </c>
      <c r="P285" s="146">
        <v>60000000</v>
      </c>
      <c r="Q285" s="147" t="s">
        <v>80</v>
      </c>
      <c r="R285" s="146">
        <v>28116169</v>
      </c>
      <c r="S285" s="148">
        <v>28116169</v>
      </c>
      <c r="T285" s="148">
        <v>0</v>
      </c>
      <c r="U285" s="148">
        <v>28116169</v>
      </c>
      <c r="V285" s="148">
        <v>881885</v>
      </c>
      <c r="W285" s="149">
        <v>28998054</v>
      </c>
      <c r="X285" s="150"/>
    </row>
    <row r="286" spans="1:24" s="121" customFormat="1" ht="14.1" customHeight="1">
      <c r="A286" s="87"/>
      <c r="B286" s="137">
        <v>277</v>
      </c>
      <c r="C286" s="70"/>
      <c r="D286" s="138" t="s">
        <v>554</v>
      </c>
      <c r="E286" s="139" t="s">
        <v>141</v>
      </c>
      <c r="F286" s="140" t="s">
        <v>335</v>
      </c>
      <c r="G286" s="141" t="s">
        <v>963</v>
      </c>
      <c r="H286" s="142">
        <v>1</v>
      </c>
      <c r="I286" s="143">
        <v>0.14000000000000001</v>
      </c>
      <c r="J286" s="143">
        <v>0.15</v>
      </c>
      <c r="K286" s="144">
        <v>20130116</v>
      </c>
      <c r="L286" s="144">
        <v>20160116</v>
      </c>
      <c r="M286" s="144">
        <v>20151117</v>
      </c>
      <c r="N286" s="144">
        <v>20151217</v>
      </c>
      <c r="O286" s="145" t="s">
        <v>80</v>
      </c>
      <c r="P286" s="146">
        <v>4972841</v>
      </c>
      <c r="Q286" s="147" t="s">
        <v>80</v>
      </c>
      <c r="R286" s="146">
        <v>4839735</v>
      </c>
      <c r="S286" s="148">
        <v>4839735</v>
      </c>
      <c r="T286" s="148">
        <v>0</v>
      </c>
      <c r="U286" s="148">
        <v>4839735</v>
      </c>
      <c r="V286" s="148">
        <v>379879</v>
      </c>
      <c r="W286" s="149">
        <v>5219614</v>
      </c>
      <c r="X286" s="150"/>
    </row>
    <row r="287" spans="1:24" s="121" customFormat="1" ht="14.1" customHeight="1">
      <c r="A287" s="87"/>
      <c r="B287" s="137">
        <v>278</v>
      </c>
      <c r="C287" s="70"/>
      <c r="D287" s="138" t="s">
        <v>554</v>
      </c>
      <c r="E287" s="139" t="s">
        <v>141</v>
      </c>
      <c r="F287" s="140" t="s">
        <v>738</v>
      </c>
      <c r="G287" s="141" t="s">
        <v>852</v>
      </c>
      <c r="H287" s="142">
        <v>1</v>
      </c>
      <c r="I287" s="143">
        <v>4.6300000000000001E-2</v>
      </c>
      <c r="J287" s="143">
        <v>0.1263</v>
      </c>
      <c r="K287" s="144">
        <v>20121226</v>
      </c>
      <c r="L287" s="144">
        <v>20151226</v>
      </c>
      <c r="M287" s="144">
        <v>20151127</v>
      </c>
      <c r="N287" s="144">
        <v>20151229</v>
      </c>
      <c r="O287" s="145" t="s">
        <v>80</v>
      </c>
      <c r="P287" s="146">
        <v>119000000</v>
      </c>
      <c r="Q287" s="147" t="s">
        <v>80</v>
      </c>
      <c r="R287" s="146">
        <v>119000000</v>
      </c>
      <c r="S287" s="148">
        <v>119000000</v>
      </c>
      <c r="T287" s="148">
        <v>948530</v>
      </c>
      <c r="U287" s="148">
        <v>119948530</v>
      </c>
      <c r="V287" s="148">
        <v>5542037</v>
      </c>
      <c r="W287" s="149">
        <v>125490567</v>
      </c>
      <c r="X287" s="150" t="s">
        <v>1168</v>
      </c>
    </row>
    <row r="288" spans="1:24" s="121" customFormat="1" ht="14.1" customHeight="1">
      <c r="A288" s="87"/>
      <c r="B288" s="137">
        <v>279</v>
      </c>
      <c r="C288" s="70"/>
      <c r="D288" s="138" t="s">
        <v>555</v>
      </c>
      <c r="E288" s="139" t="s">
        <v>152</v>
      </c>
      <c r="F288" s="140" t="s">
        <v>747</v>
      </c>
      <c r="G288" s="141" t="s">
        <v>322</v>
      </c>
      <c r="H288" s="142">
        <v>1</v>
      </c>
      <c r="I288" s="143">
        <v>9.5000000000000001E-2</v>
      </c>
      <c r="J288" s="143">
        <v>0.15</v>
      </c>
      <c r="K288" s="144">
        <v>20130724</v>
      </c>
      <c r="L288" s="144">
        <v>20160124</v>
      </c>
      <c r="M288" s="144">
        <v>20160126</v>
      </c>
      <c r="N288" s="144">
        <v>20160126</v>
      </c>
      <c r="O288" s="145" t="s">
        <v>80</v>
      </c>
      <c r="P288" s="146">
        <v>15000000</v>
      </c>
      <c r="Q288" s="147" t="s">
        <v>80</v>
      </c>
      <c r="R288" s="146">
        <v>15000000</v>
      </c>
      <c r="S288" s="148">
        <v>15000000</v>
      </c>
      <c r="T288" s="148">
        <v>0</v>
      </c>
      <c r="U288" s="148">
        <v>15000000</v>
      </c>
      <c r="V288" s="148">
        <v>614547</v>
      </c>
      <c r="W288" s="149">
        <v>15614547</v>
      </c>
      <c r="X288" s="150"/>
    </row>
    <row r="289" spans="1:24" s="121" customFormat="1" ht="14.1" customHeight="1">
      <c r="A289" s="87"/>
      <c r="B289" s="137">
        <v>280</v>
      </c>
      <c r="C289" s="70"/>
      <c r="D289" s="138" t="s">
        <v>555</v>
      </c>
      <c r="E289" s="139" t="s">
        <v>152</v>
      </c>
      <c r="F289" s="140" t="s">
        <v>740</v>
      </c>
      <c r="G289" s="141" t="s">
        <v>964</v>
      </c>
      <c r="H289" s="142">
        <v>1</v>
      </c>
      <c r="I289" s="143">
        <v>3.5000000000000003E-2</v>
      </c>
      <c r="J289" s="143">
        <v>0.105</v>
      </c>
      <c r="K289" s="144">
        <v>20140819</v>
      </c>
      <c r="L289" s="144">
        <v>20440819</v>
      </c>
      <c r="M289" s="144">
        <v>20160120</v>
      </c>
      <c r="N289" s="144">
        <v>20160120</v>
      </c>
      <c r="O289" s="145" t="s">
        <v>80</v>
      </c>
      <c r="P289" s="146">
        <v>110000000</v>
      </c>
      <c r="Q289" s="147" t="s">
        <v>80</v>
      </c>
      <c r="R289" s="146">
        <v>105110920</v>
      </c>
      <c r="S289" s="148">
        <v>105110920</v>
      </c>
      <c r="T289" s="148">
        <v>0</v>
      </c>
      <c r="U289" s="148">
        <v>105110920</v>
      </c>
      <c r="V289" s="148">
        <v>1983612</v>
      </c>
      <c r="W289" s="149">
        <v>107094532</v>
      </c>
      <c r="X289" s="150"/>
    </row>
    <row r="290" spans="1:24" s="121" customFormat="1" ht="14.1" customHeight="1">
      <c r="A290" s="87"/>
      <c r="B290" s="137">
        <v>281</v>
      </c>
      <c r="C290" s="70"/>
      <c r="D290" s="138" t="s">
        <v>556</v>
      </c>
      <c r="E290" s="139" t="s">
        <v>284</v>
      </c>
      <c r="F290" s="140" t="s">
        <v>334</v>
      </c>
      <c r="G290" s="141" t="s">
        <v>965</v>
      </c>
      <c r="H290" s="142">
        <v>0</v>
      </c>
      <c r="I290" s="143">
        <v>5.0900000000000001E-2</v>
      </c>
      <c r="J290" s="143">
        <v>0.1109</v>
      </c>
      <c r="K290" s="144">
        <v>20030630</v>
      </c>
      <c r="L290" s="144">
        <v>20160611</v>
      </c>
      <c r="M290" s="144">
        <v>20160112</v>
      </c>
      <c r="N290" s="144">
        <v>20160212</v>
      </c>
      <c r="O290" s="145" t="s">
        <v>80</v>
      </c>
      <c r="P290" s="146">
        <v>30000000</v>
      </c>
      <c r="Q290" s="147" t="s">
        <v>80</v>
      </c>
      <c r="R290" s="146">
        <v>30000000</v>
      </c>
      <c r="S290" s="148">
        <v>30000000</v>
      </c>
      <c r="T290" s="148">
        <v>0</v>
      </c>
      <c r="U290" s="148">
        <v>30000000</v>
      </c>
      <c r="V290" s="148">
        <v>919051</v>
      </c>
      <c r="W290" s="149">
        <v>30919051</v>
      </c>
      <c r="X290" s="151"/>
    </row>
    <row r="291" spans="1:24" s="121" customFormat="1" ht="14.1" customHeight="1">
      <c r="A291" s="87"/>
      <c r="B291" s="137">
        <v>282</v>
      </c>
      <c r="C291" s="70"/>
      <c r="D291" s="138" t="s">
        <v>556</v>
      </c>
      <c r="E291" s="139" t="s">
        <v>284</v>
      </c>
      <c r="F291" s="140" t="s">
        <v>732</v>
      </c>
      <c r="G291" s="141" t="s">
        <v>966</v>
      </c>
      <c r="H291" s="142">
        <v>1</v>
      </c>
      <c r="I291" s="143">
        <v>2.9100000000000001E-2</v>
      </c>
      <c r="J291" s="143">
        <v>9.9100000000000008E-2</v>
      </c>
      <c r="K291" s="144">
        <v>20050708</v>
      </c>
      <c r="L291" s="144">
        <v>20350708</v>
      </c>
      <c r="M291" s="144">
        <v>20160301</v>
      </c>
      <c r="N291" s="144">
        <v>20160301</v>
      </c>
      <c r="O291" s="145" t="s">
        <v>80</v>
      </c>
      <c r="P291" s="146">
        <v>38000000</v>
      </c>
      <c r="Q291" s="147" t="s">
        <v>80</v>
      </c>
      <c r="R291" s="146">
        <v>34970038</v>
      </c>
      <c r="S291" s="148">
        <v>34970038</v>
      </c>
      <c r="T291" s="148">
        <v>0</v>
      </c>
      <c r="U291" s="148">
        <v>34970038</v>
      </c>
      <c r="V291" s="148">
        <v>583432</v>
      </c>
      <c r="W291" s="149">
        <v>35553470</v>
      </c>
      <c r="X291" s="150"/>
    </row>
    <row r="292" spans="1:24" s="121" customFormat="1" ht="14.1" customHeight="1">
      <c r="A292" s="87"/>
      <c r="B292" s="137">
        <v>283</v>
      </c>
      <c r="C292" s="70"/>
      <c r="D292" s="138" t="s">
        <v>556</v>
      </c>
      <c r="E292" s="139" t="s">
        <v>284</v>
      </c>
      <c r="F292" s="140" t="s">
        <v>732</v>
      </c>
      <c r="G292" s="141" t="s">
        <v>967</v>
      </c>
      <c r="H292" s="142">
        <v>1</v>
      </c>
      <c r="I292" s="143">
        <v>3.7100000000000001E-2</v>
      </c>
      <c r="J292" s="143">
        <v>0.10710000000000001</v>
      </c>
      <c r="K292" s="144">
        <v>20090114</v>
      </c>
      <c r="L292" s="144">
        <v>20390114</v>
      </c>
      <c r="M292" s="144">
        <v>20160301</v>
      </c>
      <c r="N292" s="144">
        <v>20160301</v>
      </c>
      <c r="O292" s="145" t="s">
        <v>80</v>
      </c>
      <c r="P292" s="146">
        <v>55000000</v>
      </c>
      <c r="Q292" s="147" t="s">
        <v>80</v>
      </c>
      <c r="R292" s="146">
        <v>55000000</v>
      </c>
      <c r="S292" s="148">
        <v>55000000</v>
      </c>
      <c r="T292" s="148">
        <v>0</v>
      </c>
      <c r="U292" s="148">
        <v>55000000</v>
      </c>
      <c r="V292" s="148">
        <v>962994</v>
      </c>
      <c r="W292" s="149">
        <v>55962994</v>
      </c>
      <c r="X292" s="150"/>
    </row>
    <row r="293" spans="1:24" s="121" customFormat="1" ht="14.1" customHeight="1">
      <c r="A293" s="87"/>
      <c r="B293" s="137">
        <v>284</v>
      </c>
      <c r="C293" s="70"/>
      <c r="D293" s="138" t="s">
        <v>557</v>
      </c>
      <c r="E293" s="139" t="s">
        <v>152</v>
      </c>
      <c r="F293" s="140" t="s">
        <v>750</v>
      </c>
      <c r="G293" s="141" t="s">
        <v>968</v>
      </c>
      <c r="H293" s="142">
        <v>0</v>
      </c>
      <c r="I293" s="143">
        <v>0.06</v>
      </c>
      <c r="J293" s="143">
        <v>0.12</v>
      </c>
      <c r="K293" s="144">
        <v>20010706</v>
      </c>
      <c r="L293" s="144">
        <v>20160628</v>
      </c>
      <c r="M293" s="144">
        <v>20151006</v>
      </c>
      <c r="N293" s="144">
        <v>20151106</v>
      </c>
      <c r="O293" s="145" t="s">
        <v>80</v>
      </c>
      <c r="P293" s="353">
        <v>50000000</v>
      </c>
      <c r="Q293" s="147" t="s">
        <v>80</v>
      </c>
      <c r="R293" s="146">
        <v>50000000</v>
      </c>
      <c r="S293" s="148">
        <v>50000000</v>
      </c>
      <c r="T293" s="148">
        <v>361764</v>
      </c>
      <c r="U293" s="148">
        <v>50361764</v>
      </c>
      <c r="V293" s="148">
        <v>3366496</v>
      </c>
      <c r="W293" s="149">
        <v>53728260</v>
      </c>
      <c r="X293" s="150" t="s">
        <v>1172</v>
      </c>
    </row>
    <row r="294" spans="1:24" s="121" customFormat="1" ht="14.1" customHeight="1">
      <c r="A294" s="87"/>
      <c r="B294" s="137">
        <v>285</v>
      </c>
      <c r="C294" s="70"/>
      <c r="D294" s="138" t="s">
        <v>557</v>
      </c>
      <c r="E294" s="139" t="s">
        <v>152</v>
      </c>
      <c r="F294" s="140" t="s">
        <v>742</v>
      </c>
      <c r="G294" s="141" t="s">
        <v>762</v>
      </c>
      <c r="H294" s="142">
        <v>1</v>
      </c>
      <c r="I294" s="143">
        <v>2.3300000000000001E-2</v>
      </c>
      <c r="J294" s="143">
        <v>0.1033</v>
      </c>
      <c r="K294" s="144">
        <v>20101214</v>
      </c>
      <c r="L294" s="144">
        <v>20210614</v>
      </c>
      <c r="M294" s="144">
        <v>20151015</v>
      </c>
      <c r="N294" s="144">
        <v>20151015</v>
      </c>
      <c r="O294" s="145" t="s">
        <v>80</v>
      </c>
      <c r="P294" s="353">
        <v>60000000</v>
      </c>
      <c r="Q294" s="147" t="s">
        <v>80</v>
      </c>
      <c r="R294" s="146">
        <v>32857110</v>
      </c>
      <c r="S294" s="148">
        <v>32857110</v>
      </c>
      <c r="T294" s="148">
        <v>0</v>
      </c>
      <c r="U294" s="148">
        <v>32857110</v>
      </c>
      <c r="V294" s="148">
        <v>1372906</v>
      </c>
      <c r="W294" s="149">
        <v>34230016</v>
      </c>
      <c r="X294" s="150"/>
    </row>
    <row r="295" spans="1:24" s="121" customFormat="1" ht="14.1" customHeight="1">
      <c r="A295" s="87"/>
      <c r="B295" s="137">
        <v>286</v>
      </c>
      <c r="C295" s="70"/>
      <c r="D295" s="138" t="s">
        <v>557</v>
      </c>
      <c r="E295" s="139" t="s">
        <v>152</v>
      </c>
      <c r="F295" s="140" t="s">
        <v>740</v>
      </c>
      <c r="G295" s="141" t="s">
        <v>969</v>
      </c>
      <c r="H295" s="142">
        <v>1</v>
      </c>
      <c r="I295" s="143">
        <v>3.7499999999999999E-2</v>
      </c>
      <c r="J295" s="143">
        <v>0.11749999999999999</v>
      </c>
      <c r="K295" s="144">
        <v>20140226</v>
      </c>
      <c r="L295" s="144">
        <v>20190226</v>
      </c>
      <c r="M295" s="144">
        <v>20151001</v>
      </c>
      <c r="N295" s="144">
        <v>20151001</v>
      </c>
      <c r="O295" s="145" t="s">
        <v>80</v>
      </c>
      <c r="P295" s="353">
        <v>50000000</v>
      </c>
      <c r="Q295" s="147" t="s">
        <v>80</v>
      </c>
      <c r="R295" s="146">
        <v>34944708</v>
      </c>
      <c r="S295" s="148">
        <v>34944708</v>
      </c>
      <c r="T295" s="148">
        <v>0</v>
      </c>
      <c r="U295" s="148">
        <v>34944708</v>
      </c>
      <c r="V295" s="148">
        <v>1835015</v>
      </c>
      <c r="W295" s="149">
        <v>36779723</v>
      </c>
      <c r="X295" s="150"/>
    </row>
    <row r="296" spans="1:24" s="121" customFormat="1" ht="14.1" customHeight="1">
      <c r="A296" s="87"/>
      <c r="B296" s="137">
        <v>287</v>
      </c>
      <c r="C296" s="70"/>
      <c r="D296" s="138" t="s">
        <v>558</v>
      </c>
      <c r="E296" s="139" t="s">
        <v>202</v>
      </c>
      <c r="F296" s="140" t="s">
        <v>685</v>
      </c>
      <c r="G296" s="141" t="s">
        <v>870</v>
      </c>
      <c r="H296" s="142">
        <v>1</v>
      </c>
      <c r="I296" s="143">
        <v>2.1499999999999998E-2</v>
      </c>
      <c r="J296" s="143">
        <v>9.1499999999999998E-2</v>
      </c>
      <c r="K296" s="144">
        <v>20080111</v>
      </c>
      <c r="L296" s="144">
        <v>20180111</v>
      </c>
      <c r="M296" s="144">
        <v>20160114</v>
      </c>
      <c r="N296" s="144">
        <v>20160315</v>
      </c>
      <c r="O296" s="145" t="s">
        <v>80</v>
      </c>
      <c r="P296" s="146">
        <v>118000000</v>
      </c>
      <c r="Q296" s="147" t="s">
        <v>80</v>
      </c>
      <c r="R296" s="146">
        <v>117997875</v>
      </c>
      <c r="S296" s="148">
        <v>117997875</v>
      </c>
      <c r="T296" s="148">
        <v>0</v>
      </c>
      <c r="U296" s="148">
        <v>117997875</v>
      </c>
      <c r="V296" s="148">
        <v>1860179</v>
      </c>
      <c r="W296" s="149">
        <v>119858054</v>
      </c>
      <c r="X296" s="150"/>
    </row>
    <row r="297" spans="1:24" s="121" customFormat="1" ht="14.1" customHeight="1">
      <c r="A297" s="87"/>
      <c r="B297" s="137">
        <v>288</v>
      </c>
      <c r="C297" s="70"/>
      <c r="D297" s="138" t="s">
        <v>559</v>
      </c>
      <c r="E297" s="139" t="s">
        <v>168</v>
      </c>
      <c r="F297" s="140" t="s">
        <v>329</v>
      </c>
      <c r="G297" s="141" t="s">
        <v>970</v>
      </c>
      <c r="H297" s="142">
        <v>0</v>
      </c>
      <c r="I297" s="143">
        <v>6.9900000000000004E-2</v>
      </c>
      <c r="J297" s="143">
        <v>0.129963</v>
      </c>
      <c r="K297" s="144">
        <v>20110603</v>
      </c>
      <c r="L297" s="144">
        <v>20160530</v>
      </c>
      <c r="M297" s="144">
        <v>20160112</v>
      </c>
      <c r="N297" s="144">
        <v>20160217</v>
      </c>
      <c r="O297" s="145" t="s">
        <v>80</v>
      </c>
      <c r="P297" s="146">
        <v>19000000</v>
      </c>
      <c r="Q297" s="147" t="s">
        <v>80</v>
      </c>
      <c r="R297" s="146">
        <v>19000000</v>
      </c>
      <c r="S297" s="148">
        <v>19000000</v>
      </c>
      <c r="T297" s="148">
        <v>0</v>
      </c>
      <c r="U297" s="148">
        <v>19000000</v>
      </c>
      <c r="V297" s="148">
        <v>724164</v>
      </c>
      <c r="W297" s="149">
        <v>19724164</v>
      </c>
      <c r="X297" s="150"/>
    </row>
    <row r="298" spans="1:24" s="121" customFormat="1" ht="14.1" customHeight="1">
      <c r="A298" s="87"/>
      <c r="B298" s="137">
        <v>289</v>
      </c>
      <c r="C298" s="70"/>
      <c r="D298" s="138" t="s">
        <v>559</v>
      </c>
      <c r="E298" s="139" t="s">
        <v>168</v>
      </c>
      <c r="F298" s="140" t="s">
        <v>746</v>
      </c>
      <c r="G298" s="141" t="s">
        <v>971</v>
      </c>
      <c r="H298" s="142">
        <v>1</v>
      </c>
      <c r="I298" s="143">
        <v>2.3199999999999998E-2</v>
      </c>
      <c r="J298" s="143">
        <v>9.3200000000000005E-2</v>
      </c>
      <c r="K298" s="144">
        <v>20101015</v>
      </c>
      <c r="L298" s="144">
        <v>20251015</v>
      </c>
      <c r="M298" s="144">
        <v>20160116</v>
      </c>
      <c r="N298" s="144">
        <v>20160116</v>
      </c>
      <c r="O298" s="145" t="s">
        <v>80</v>
      </c>
      <c r="P298" s="146">
        <v>100000000</v>
      </c>
      <c r="Q298" s="147" t="s">
        <v>80</v>
      </c>
      <c r="R298" s="146">
        <v>98333294</v>
      </c>
      <c r="S298" s="148">
        <v>98333294</v>
      </c>
      <c r="T298" s="148">
        <v>0</v>
      </c>
      <c r="U298" s="148">
        <v>98333294</v>
      </c>
      <c r="V298" s="148">
        <v>2135116</v>
      </c>
      <c r="W298" s="149">
        <v>100468410</v>
      </c>
      <c r="X298" s="150"/>
    </row>
    <row r="299" spans="1:24" s="121" customFormat="1" ht="14.1" customHeight="1">
      <c r="A299" s="87"/>
      <c r="B299" s="137">
        <v>290</v>
      </c>
      <c r="C299" s="70"/>
      <c r="D299" s="138" t="s">
        <v>560</v>
      </c>
      <c r="E299" s="139" t="s">
        <v>670</v>
      </c>
      <c r="F299" s="140" t="s">
        <v>329</v>
      </c>
      <c r="G299" s="141" t="s">
        <v>972</v>
      </c>
      <c r="H299" s="142">
        <v>0</v>
      </c>
      <c r="I299" s="143">
        <v>4.5400000000000003E-2</v>
      </c>
      <c r="J299" s="143">
        <v>0.10546</v>
      </c>
      <c r="K299" s="144">
        <v>20071012</v>
      </c>
      <c r="L299" s="144">
        <v>20151002</v>
      </c>
      <c r="M299" s="144">
        <v>20150919</v>
      </c>
      <c r="N299" s="144">
        <v>20150919</v>
      </c>
      <c r="O299" s="145" t="s">
        <v>80</v>
      </c>
      <c r="P299" s="146">
        <v>200000000</v>
      </c>
      <c r="Q299" s="147" t="s">
        <v>80</v>
      </c>
      <c r="R299" s="146">
        <v>110575021</v>
      </c>
      <c r="S299" s="148">
        <v>110575021</v>
      </c>
      <c r="T299" s="148">
        <v>2605280</v>
      </c>
      <c r="U299" s="148">
        <v>113180301</v>
      </c>
      <c r="V299" s="148">
        <v>7698950</v>
      </c>
      <c r="W299" s="149">
        <v>120879251</v>
      </c>
      <c r="X299" s="150" t="s">
        <v>1168</v>
      </c>
    </row>
    <row r="300" spans="1:24" s="121" customFormat="1" ht="14.1" customHeight="1">
      <c r="A300" s="87"/>
      <c r="B300" s="137">
        <v>291</v>
      </c>
      <c r="C300" s="70"/>
      <c r="D300" s="138" t="s">
        <v>561</v>
      </c>
      <c r="E300" s="139" t="s">
        <v>168</v>
      </c>
      <c r="F300" s="140" t="s">
        <v>329</v>
      </c>
      <c r="G300" s="141" t="s">
        <v>973</v>
      </c>
      <c r="H300" s="142">
        <v>0</v>
      </c>
      <c r="I300" s="143">
        <v>0.11869</v>
      </c>
      <c r="J300" s="143">
        <v>0.15</v>
      </c>
      <c r="K300" s="144">
        <v>20021025</v>
      </c>
      <c r="L300" s="144">
        <v>20160205</v>
      </c>
      <c r="M300" s="144">
        <v>20160206</v>
      </c>
      <c r="N300" s="144">
        <v>20160206</v>
      </c>
      <c r="O300" s="145" t="s">
        <v>80</v>
      </c>
      <c r="P300" s="146">
        <v>19700000</v>
      </c>
      <c r="Q300" s="147" t="s">
        <v>80</v>
      </c>
      <c r="R300" s="146">
        <v>19700000</v>
      </c>
      <c r="S300" s="148">
        <v>19700000</v>
      </c>
      <c r="T300" s="148">
        <v>0</v>
      </c>
      <c r="U300" s="148">
        <v>19700000</v>
      </c>
      <c r="V300" s="148">
        <v>843106</v>
      </c>
      <c r="W300" s="149">
        <v>20543106</v>
      </c>
      <c r="X300" s="150"/>
    </row>
    <row r="301" spans="1:24" s="121" customFormat="1" ht="14.1" customHeight="1">
      <c r="A301" s="87"/>
      <c r="B301" s="137">
        <v>292</v>
      </c>
      <c r="C301" s="70"/>
      <c r="D301" s="138" t="s">
        <v>561</v>
      </c>
      <c r="E301" s="139" t="s">
        <v>168</v>
      </c>
      <c r="F301" s="140" t="s">
        <v>328</v>
      </c>
      <c r="G301" s="141" t="s">
        <v>974</v>
      </c>
      <c r="H301" s="142">
        <v>1</v>
      </c>
      <c r="I301" s="143">
        <v>0.12039999999999999</v>
      </c>
      <c r="J301" s="143">
        <v>0.15</v>
      </c>
      <c r="K301" s="144">
        <v>20130502</v>
      </c>
      <c r="L301" s="144">
        <v>20160205</v>
      </c>
      <c r="M301" s="144">
        <v>20160203</v>
      </c>
      <c r="N301" s="144">
        <v>20160206</v>
      </c>
      <c r="O301" s="145" t="s">
        <v>80</v>
      </c>
      <c r="P301" s="146">
        <v>80000000</v>
      </c>
      <c r="Q301" s="147" t="s">
        <v>80</v>
      </c>
      <c r="R301" s="146">
        <v>75000000</v>
      </c>
      <c r="S301" s="148">
        <v>75000000</v>
      </c>
      <c r="T301" s="148">
        <v>0</v>
      </c>
      <c r="U301" s="148">
        <v>75000000</v>
      </c>
      <c r="V301" s="148">
        <v>3379292</v>
      </c>
      <c r="W301" s="149">
        <v>78379292</v>
      </c>
      <c r="X301" s="150"/>
    </row>
    <row r="302" spans="1:24" s="121" customFormat="1" ht="14.1" customHeight="1">
      <c r="A302" s="87"/>
      <c r="B302" s="137">
        <v>293</v>
      </c>
      <c r="C302" s="70"/>
      <c r="D302" s="138" t="s">
        <v>561</v>
      </c>
      <c r="E302" s="139" t="s">
        <v>168</v>
      </c>
      <c r="F302" s="140" t="s">
        <v>328</v>
      </c>
      <c r="G302" s="141" t="s">
        <v>975</v>
      </c>
      <c r="H302" s="142">
        <v>1</v>
      </c>
      <c r="I302" s="143">
        <v>0.12039999999999999</v>
      </c>
      <c r="J302" s="143">
        <v>0.15</v>
      </c>
      <c r="K302" s="144">
        <v>20150324</v>
      </c>
      <c r="L302" s="144">
        <v>20160205</v>
      </c>
      <c r="M302" s="144">
        <v>20160203</v>
      </c>
      <c r="N302" s="144">
        <v>20160206</v>
      </c>
      <c r="O302" s="145" t="s">
        <v>80</v>
      </c>
      <c r="P302" s="146">
        <v>70000000</v>
      </c>
      <c r="Q302" s="147" t="s">
        <v>80</v>
      </c>
      <c r="R302" s="146">
        <v>17700000</v>
      </c>
      <c r="S302" s="148">
        <v>17700000</v>
      </c>
      <c r="T302" s="148">
        <v>0</v>
      </c>
      <c r="U302" s="148">
        <v>17700000</v>
      </c>
      <c r="V302" s="148">
        <v>797509</v>
      </c>
      <c r="W302" s="149">
        <v>18497509</v>
      </c>
      <c r="X302" s="150"/>
    </row>
    <row r="303" spans="1:24" s="121" customFormat="1" ht="14.1" customHeight="1">
      <c r="A303" s="87"/>
      <c r="B303" s="137">
        <v>294</v>
      </c>
      <c r="C303" s="70"/>
      <c r="D303" s="138" t="s">
        <v>562</v>
      </c>
      <c r="E303" s="139" t="s">
        <v>109</v>
      </c>
      <c r="F303" s="140" t="s">
        <v>740</v>
      </c>
      <c r="G303" s="141" t="s">
        <v>976</v>
      </c>
      <c r="H303" s="142">
        <v>1</v>
      </c>
      <c r="I303" s="143">
        <v>3.3500000000000002E-2</v>
      </c>
      <c r="J303" s="143">
        <v>0.10349999999999999</v>
      </c>
      <c r="K303" s="144">
        <v>20150206</v>
      </c>
      <c r="L303" s="144">
        <v>20450206</v>
      </c>
      <c r="M303" s="144">
        <v>20160107</v>
      </c>
      <c r="N303" s="144">
        <v>20160308</v>
      </c>
      <c r="O303" s="145" t="s">
        <v>80</v>
      </c>
      <c r="P303" s="146">
        <v>112000000</v>
      </c>
      <c r="Q303" s="147" t="s">
        <v>80</v>
      </c>
      <c r="R303" s="146">
        <v>110167773</v>
      </c>
      <c r="S303" s="148">
        <v>110167773</v>
      </c>
      <c r="T303" s="148">
        <v>0</v>
      </c>
      <c r="U303" s="148">
        <v>110167773</v>
      </c>
      <c r="V303" s="148">
        <v>2445261</v>
      </c>
      <c r="W303" s="149">
        <v>112613034</v>
      </c>
      <c r="X303" s="150"/>
    </row>
    <row r="304" spans="1:24" s="121" customFormat="1" ht="14.1" customHeight="1">
      <c r="A304" s="87"/>
      <c r="B304" s="137">
        <v>295</v>
      </c>
      <c r="C304" s="70"/>
      <c r="D304" s="138" t="s">
        <v>563</v>
      </c>
      <c r="E304" s="139" t="s">
        <v>109</v>
      </c>
      <c r="F304" s="140" t="s">
        <v>331</v>
      </c>
      <c r="G304" s="141" t="s">
        <v>890</v>
      </c>
      <c r="H304" s="142">
        <v>1</v>
      </c>
      <c r="I304" s="143">
        <v>0.12</v>
      </c>
      <c r="J304" s="143">
        <v>0.15</v>
      </c>
      <c r="K304" s="144">
        <v>20110325</v>
      </c>
      <c r="L304" s="144">
        <v>20160401</v>
      </c>
      <c r="M304" s="144">
        <v>20160126</v>
      </c>
      <c r="N304" s="144">
        <v>20160206</v>
      </c>
      <c r="O304" s="145" t="s">
        <v>80</v>
      </c>
      <c r="P304" s="146">
        <v>128000000</v>
      </c>
      <c r="Q304" s="147" t="s">
        <v>80</v>
      </c>
      <c r="R304" s="146">
        <v>109833981</v>
      </c>
      <c r="S304" s="148">
        <v>109833981</v>
      </c>
      <c r="T304" s="148">
        <v>2681324</v>
      </c>
      <c r="U304" s="148">
        <v>112515305</v>
      </c>
      <c r="V304" s="148">
        <v>5289234</v>
      </c>
      <c r="W304" s="149">
        <v>117804539</v>
      </c>
      <c r="X304" s="150" t="s">
        <v>1168</v>
      </c>
    </row>
    <row r="305" spans="1:24" s="121" customFormat="1" ht="14.1" customHeight="1">
      <c r="A305" s="87"/>
      <c r="B305" s="137">
        <v>296</v>
      </c>
      <c r="C305" s="70"/>
      <c r="D305" s="138" t="s">
        <v>564</v>
      </c>
      <c r="E305" s="139" t="s">
        <v>138</v>
      </c>
      <c r="F305" s="140" t="s">
        <v>686</v>
      </c>
      <c r="G305" s="141" t="s">
        <v>826</v>
      </c>
      <c r="H305" s="142">
        <v>1</v>
      </c>
      <c r="I305" s="143">
        <v>4.5999999999999999E-2</v>
      </c>
      <c r="J305" s="143">
        <v>0.126</v>
      </c>
      <c r="K305" s="144">
        <v>20120724</v>
      </c>
      <c r="L305" s="144">
        <v>20270724</v>
      </c>
      <c r="M305" s="144">
        <v>20151103</v>
      </c>
      <c r="N305" s="144">
        <v>20160105</v>
      </c>
      <c r="O305" s="145" t="s">
        <v>80</v>
      </c>
      <c r="P305" s="146">
        <v>50000000</v>
      </c>
      <c r="Q305" s="147" t="s">
        <v>80</v>
      </c>
      <c r="R305" s="146">
        <v>50000000</v>
      </c>
      <c r="S305" s="148">
        <v>50000000</v>
      </c>
      <c r="T305" s="148">
        <v>0</v>
      </c>
      <c r="U305" s="148">
        <v>50000000</v>
      </c>
      <c r="V305" s="148">
        <v>2398533</v>
      </c>
      <c r="W305" s="149">
        <v>52398533</v>
      </c>
      <c r="X305" s="150"/>
    </row>
    <row r="306" spans="1:24" s="121" customFormat="1" ht="14.1" customHeight="1">
      <c r="A306" s="87"/>
      <c r="B306" s="137">
        <v>297</v>
      </c>
      <c r="C306" s="70"/>
      <c r="D306" s="138" t="s">
        <v>564</v>
      </c>
      <c r="E306" s="139" t="s">
        <v>138</v>
      </c>
      <c r="F306" s="140" t="s">
        <v>740</v>
      </c>
      <c r="G306" s="141" t="s">
        <v>768</v>
      </c>
      <c r="H306" s="142">
        <v>1</v>
      </c>
      <c r="I306" s="143">
        <v>3.85E-2</v>
      </c>
      <c r="J306" s="143">
        <v>0.11849999999999999</v>
      </c>
      <c r="K306" s="144">
        <v>20141126</v>
      </c>
      <c r="L306" s="144">
        <v>20441126</v>
      </c>
      <c r="M306" s="144">
        <v>20151103</v>
      </c>
      <c r="N306" s="144">
        <v>20160105</v>
      </c>
      <c r="O306" s="145" t="s">
        <v>80</v>
      </c>
      <c r="P306" s="146">
        <v>56000000</v>
      </c>
      <c r="Q306" s="147" t="s">
        <v>80</v>
      </c>
      <c r="R306" s="146">
        <v>56000000</v>
      </c>
      <c r="S306" s="148">
        <v>56000000</v>
      </c>
      <c r="T306" s="148">
        <v>2496449</v>
      </c>
      <c r="U306" s="148">
        <v>58496449</v>
      </c>
      <c r="V306" s="148">
        <v>2444892</v>
      </c>
      <c r="W306" s="149">
        <v>60941341</v>
      </c>
      <c r="X306" s="150" t="s">
        <v>1168</v>
      </c>
    </row>
    <row r="307" spans="1:24" s="121" customFormat="1" ht="14.1" customHeight="1">
      <c r="A307" s="87"/>
      <c r="B307" s="137">
        <v>298</v>
      </c>
      <c r="C307" s="70"/>
      <c r="D307" s="138" t="s">
        <v>565</v>
      </c>
      <c r="E307" s="139" t="s">
        <v>109</v>
      </c>
      <c r="F307" s="140" t="s">
        <v>727</v>
      </c>
      <c r="G307" s="141" t="s">
        <v>977</v>
      </c>
      <c r="H307" s="142">
        <v>1</v>
      </c>
      <c r="I307" s="143">
        <v>2.7300000000000001E-2</v>
      </c>
      <c r="J307" s="143">
        <v>0.10730000000000001</v>
      </c>
      <c r="K307" s="144">
        <v>20150526</v>
      </c>
      <c r="L307" s="144">
        <v>20450526</v>
      </c>
      <c r="M307" s="144">
        <v>20151229</v>
      </c>
      <c r="N307" s="144">
        <v>20151229</v>
      </c>
      <c r="O307" s="145" t="s">
        <v>80</v>
      </c>
      <c r="P307" s="146">
        <v>105000000</v>
      </c>
      <c r="Q307" s="147" t="s">
        <v>80</v>
      </c>
      <c r="R307" s="146">
        <v>103208401</v>
      </c>
      <c r="S307" s="148">
        <v>103208401</v>
      </c>
      <c r="T307" s="148">
        <v>2493110</v>
      </c>
      <c r="U307" s="148">
        <v>105701511</v>
      </c>
      <c r="V307" s="148">
        <v>3205687</v>
      </c>
      <c r="W307" s="149">
        <v>108907198</v>
      </c>
      <c r="X307" s="150" t="s">
        <v>1168</v>
      </c>
    </row>
    <row r="308" spans="1:24" s="121" customFormat="1" ht="14.1" customHeight="1">
      <c r="A308" s="87"/>
      <c r="B308" s="137">
        <v>299</v>
      </c>
      <c r="C308" s="70"/>
      <c r="D308" s="138" t="s">
        <v>566</v>
      </c>
      <c r="E308" s="139" t="s">
        <v>109</v>
      </c>
      <c r="F308" s="140" t="s">
        <v>751</v>
      </c>
      <c r="G308" s="141" t="s">
        <v>326</v>
      </c>
      <c r="H308" s="142">
        <v>1</v>
      </c>
      <c r="I308" s="143">
        <v>4.9800000000000004E-2</v>
      </c>
      <c r="J308" s="143">
        <v>0.1198</v>
      </c>
      <c r="K308" s="144">
        <v>20120430</v>
      </c>
      <c r="L308" s="144">
        <v>20240430</v>
      </c>
      <c r="M308" s="144">
        <v>20160101</v>
      </c>
      <c r="N308" s="144">
        <v>20160101</v>
      </c>
      <c r="O308" s="145" t="s">
        <v>80</v>
      </c>
      <c r="P308" s="146">
        <v>150000000</v>
      </c>
      <c r="Q308" s="147" t="s">
        <v>80</v>
      </c>
      <c r="R308" s="146">
        <v>105208266</v>
      </c>
      <c r="S308" s="148">
        <v>105208266</v>
      </c>
      <c r="T308" s="148">
        <v>2384359</v>
      </c>
      <c r="U308" s="148">
        <v>107592625</v>
      </c>
      <c r="V308" s="148">
        <v>1664302</v>
      </c>
      <c r="W308" s="149">
        <v>109256927</v>
      </c>
      <c r="X308" s="150" t="s">
        <v>1168</v>
      </c>
    </row>
    <row r="309" spans="1:24" s="121" customFormat="1" ht="14.1" customHeight="1">
      <c r="A309" s="87"/>
      <c r="B309" s="137">
        <v>300</v>
      </c>
      <c r="C309" s="70"/>
      <c r="D309" s="138" t="s">
        <v>567</v>
      </c>
      <c r="E309" s="139" t="s">
        <v>234</v>
      </c>
      <c r="F309" s="140" t="s">
        <v>736</v>
      </c>
      <c r="G309" s="141" t="s">
        <v>344</v>
      </c>
      <c r="H309" s="142">
        <v>1</v>
      </c>
      <c r="I309" s="143">
        <v>3.5099999999999999E-2</v>
      </c>
      <c r="J309" s="143">
        <v>0.1051</v>
      </c>
      <c r="K309" s="144">
        <v>20141029</v>
      </c>
      <c r="L309" s="144">
        <v>20441029</v>
      </c>
      <c r="M309" s="144">
        <v>20151230</v>
      </c>
      <c r="N309" s="144">
        <v>20160301</v>
      </c>
      <c r="O309" s="145" t="s">
        <v>80</v>
      </c>
      <c r="P309" s="146">
        <v>60000000</v>
      </c>
      <c r="Q309" s="147" t="s">
        <v>80</v>
      </c>
      <c r="R309" s="146">
        <v>58574982</v>
      </c>
      <c r="S309" s="148">
        <v>58574982</v>
      </c>
      <c r="T309" s="148">
        <v>0</v>
      </c>
      <c r="U309" s="148">
        <v>58574982</v>
      </c>
      <c r="V309" s="148">
        <v>1101407</v>
      </c>
      <c r="W309" s="149">
        <v>59676389</v>
      </c>
      <c r="X309" s="150"/>
    </row>
    <row r="310" spans="1:24" s="121" customFormat="1" ht="14.1" customHeight="1">
      <c r="A310" s="87"/>
      <c r="B310" s="137">
        <v>301</v>
      </c>
      <c r="C310" s="70"/>
      <c r="D310" s="138" t="s">
        <v>567</v>
      </c>
      <c r="E310" s="139" t="s">
        <v>234</v>
      </c>
      <c r="F310" s="140" t="s">
        <v>736</v>
      </c>
      <c r="G310" s="141" t="s">
        <v>889</v>
      </c>
      <c r="H310" s="142">
        <v>1</v>
      </c>
      <c r="I310" s="143">
        <v>3.4099999999999998E-2</v>
      </c>
      <c r="J310" s="143">
        <v>0.1041</v>
      </c>
      <c r="K310" s="144">
        <v>20150109</v>
      </c>
      <c r="L310" s="144">
        <v>20450109</v>
      </c>
      <c r="M310" s="144">
        <v>20160112</v>
      </c>
      <c r="N310" s="144">
        <v>20160112</v>
      </c>
      <c r="O310" s="145" t="s">
        <v>80</v>
      </c>
      <c r="P310" s="146">
        <v>48000000</v>
      </c>
      <c r="Q310" s="147" t="s">
        <v>80</v>
      </c>
      <c r="R310" s="146">
        <v>46472726</v>
      </c>
      <c r="S310" s="148">
        <v>46472726</v>
      </c>
      <c r="T310" s="148">
        <v>0</v>
      </c>
      <c r="U310" s="148">
        <v>46472726</v>
      </c>
      <c r="V310" s="148">
        <v>707701</v>
      </c>
      <c r="W310" s="149">
        <v>47180427</v>
      </c>
      <c r="X310" s="150"/>
    </row>
    <row r="311" spans="1:24" s="121" customFormat="1" ht="14.1" customHeight="1">
      <c r="A311" s="87"/>
      <c r="B311" s="137">
        <v>302</v>
      </c>
      <c r="C311" s="70"/>
      <c r="D311" s="138" t="s">
        <v>568</v>
      </c>
      <c r="E311" s="139" t="s">
        <v>663</v>
      </c>
      <c r="F311" s="140" t="s">
        <v>740</v>
      </c>
      <c r="G311" s="141" t="s">
        <v>978</v>
      </c>
      <c r="H311" s="142">
        <v>1</v>
      </c>
      <c r="I311" s="143">
        <v>4.0999999999999995E-2</v>
      </c>
      <c r="J311" s="143">
        <v>0.121</v>
      </c>
      <c r="K311" s="144">
        <v>20121221</v>
      </c>
      <c r="L311" s="144">
        <v>20421221</v>
      </c>
      <c r="M311" s="144">
        <v>20151022</v>
      </c>
      <c r="N311" s="144">
        <v>20151022</v>
      </c>
      <c r="O311" s="145" t="s">
        <v>80</v>
      </c>
      <c r="P311" s="146">
        <v>105000000</v>
      </c>
      <c r="Q311" s="147" t="s">
        <v>80</v>
      </c>
      <c r="R311" s="146">
        <v>101139066</v>
      </c>
      <c r="S311" s="148">
        <v>101139066</v>
      </c>
      <c r="T311" s="148">
        <v>2439530</v>
      </c>
      <c r="U311" s="148">
        <v>103578596</v>
      </c>
      <c r="V311" s="148">
        <v>4982600</v>
      </c>
      <c r="W311" s="149">
        <v>108561196</v>
      </c>
      <c r="X311" s="150" t="s">
        <v>1168</v>
      </c>
    </row>
    <row r="312" spans="1:24" s="121" customFormat="1" ht="14.1" customHeight="1">
      <c r="A312" s="87"/>
      <c r="B312" s="137">
        <v>303</v>
      </c>
      <c r="C312" s="70"/>
      <c r="D312" s="138" t="s">
        <v>569</v>
      </c>
      <c r="E312" s="139" t="s">
        <v>109</v>
      </c>
      <c r="F312" s="140" t="s">
        <v>727</v>
      </c>
      <c r="G312" s="141" t="s">
        <v>979</v>
      </c>
      <c r="H312" s="142">
        <v>1</v>
      </c>
      <c r="I312" s="143">
        <v>2.9100000000000001E-2</v>
      </c>
      <c r="J312" s="143">
        <v>0.1091</v>
      </c>
      <c r="K312" s="144">
        <v>20150226</v>
      </c>
      <c r="L312" s="144">
        <v>20450226</v>
      </c>
      <c r="M312" s="144">
        <v>20151027</v>
      </c>
      <c r="N312" s="144">
        <v>20151229</v>
      </c>
      <c r="O312" s="145" t="s">
        <v>80</v>
      </c>
      <c r="P312" s="146">
        <v>84000000</v>
      </c>
      <c r="Q312" s="147" t="s">
        <v>80</v>
      </c>
      <c r="R312" s="146">
        <v>84000000</v>
      </c>
      <c r="S312" s="148">
        <v>84000000</v>
      </c>
      <c r="T312" s="148">
        <v>2360024</v>
      </c>
      <c r="U312" s="148">
        <v>86360024</v>
      </c>
      <c r="V312" s="148">
        <v>3354133</v>
      </c>
      <c r="W312" s="149">
        <v>89714157</v>
      </c>
      <c r="X312" s="150" t="s">
        <v>1168</v>
      </c>
    </row>
    <row r="313" spans="1:24" s="121" customFormat="1" ht="14.1" customHeight="1">
      <c r="A313" s="87"/>
      <c r="B313" s="137">
        <v>304</v>
      </c>
      <c r="C313" s="70"/>
      <c r="D313" s="138" t="s">
        <v>569</v>
      </c>
      <c r="E313" s="139" t="s">
        <v>109</v>
      </c>
      <c r="F313" s="140" t="s">
        <v>752</v>
      </c>
      <c r="G313" s="141" t="s">
        <v>980</v>
      </c>
      <c r="H313" s="142">
        <v>1</v>
      </c>
      <c r="I313" s="143">
        <v>7.7199999999999991E-2</v>
      </c>
      <c r="J313" s="143">
        <v>0.15</v>
      </c>
      <c r="K313" s="144">
        <v>20150604</v>
      </c>
      <c r="L313" s="144">
        <v>20200604</v>
      </c>
      <c r="M313" s="144">
        <v>20151006</v>
      </c>
      <c r="N313" s="144">
        <v>20151006</v>
      </c>
      <c r="O313" s="145" t="s">
        <v>80</v>
      </c>
      <c r="P313" s="146">
        <v>18000000</v>
      </c>
      <c r="Q313" s="147" t="s">
        <v>80</v>
      </c>
      <c r="R313" s="146">
        <v>16953121</v>
      </c>
      <c r="S313" s="148">
        <v>16953121</v>
      </c>
      <c r="T313" s="148">
        <v>0</v>
      </c>
      <c r="U313" s="148">
        <v>16953121</v>
      </c>
      <c r="V313" s="148">
        <v>1226610</v>
      </c>
      <c r="W313" s="149">
        <v>18179731</v>
      </c>
      <c r="X313" s="150"/>
    </row>
    <row r="314" spans="1:24" s="121" customFormat="1" ht="14.1" customHeight="1">
      <c r="A314" s="87"/>
      <c r="B314" s="137">
        <v>305</v>
      </c>
      <c r="C314" s="70"/>
      <c r="D314" s="138" t="s">
        <v>570</v>
      </c>
      <c r="E314" s="139" t="s">
        <v>226</v>
      </c>
      <c r="F314" s="140" t="s">
        <v>738</v>
      </c>
      <c r="G314" s="141" t="s">
        <v>981</v>
      </c>
      <c r="H314" s="142">
        <v>1</v>
      </c>
      <c r="I314" s="143">
        <v>3.6600000000000001E-2</v>
      </c>
      <c r="J314" s="143">
        <v>0.1166</v>
      </c>
      <c r="K314" s="144">
        <v>20060703</v>
      </c>
      <c r="L314" s="144">
        <v>20160103</v>
      </c>
      <c r="M314" s="144">
        <v>20151204</v>
      </c>
      <c r="N314" s="144">
        <v>20160105</v>
      </c>
      <c r="O314" s="145" t="s">
        <v>80</v>
      </c>
      <c r="P314" s="146">
        <v>100000000</v>
      </c>
      <c r="Q314" s="147" t="s">
        <v>80</v>
      </c>
      <c r="R314" s="146">
        <v>99400000</v>
      </c>
      <c r="S314" s="148">
        <v>99400000</v>
      </c>
      <c r="T314" s="148">
        <v>2653280</v>
      </c>
      <c r="U314" s="148">
        <v>102053280</v>
      </c>
      <c r="V314" s="148">
        <v>3918879</v>
      </c>
      <c r="W314" s="149">
        <v>105972159</v>
      </c>
      <c r="X314" s="150" t="s">
        <v>1168</v>
      </c>
    </row>
    <row r="315" spans="1:24" s="121" customFormat="1" ht="14.1" customHeight="1">
      <c r="A315" s="87"/>
      <c r="B315" s="137">
        <v>306</v>
      </c>
      <c r="C315" s="70"/>
      <c r="D315" s="138" t="s">
        <v>571</v>
      </c>
      <c r="E315" s="139" t="s">
        <v>671</v>
      </c>
      <c r="F315" s="140" t="s">
        <v>738</v>
      </c>
      <c r="G315" s="141" t="s">
        <v>982</v>
      </c>
      <c r="H315" s="142">
        <v>1</v>
      </c>
      <c r="I315" s="143">
        <v>5.5999999999999994E-2</v>
      </c>
      <c r="J315" s="143">
        <v>0.126</v>
      </c>
      <c r="K315" s="144">
        <v>20060919</v>
      </c>
      <c r="L315" s="144">
        <v>20160919</v>
      </c>
      <c r="M315" s="144">
        <v>20151231</v>
      </c>
      <c r="N315" s="144">
        <v>20160301</v>
      </c>
      <c r="O315" s="145" t="s">
        <v>80</v>
      </c>
      <c r="P315" s="146">
        <v>39990000</v>
      </c>
      <c r="Q315" s="147" t="s">
        <v>80</v>
      </c>
      <c r="R315" s="146">
        <v>39990000</v>
      </c>
      <c r="S315" s="148">
        <v>39990000</v>
      </c>
      <c r="T315" s="148">
        <v>0</v>
      </c>
      <c r="U315" s="148">
        <v>39990000</v>
      </c>
      <c r="V315" s="148">
        <v>1332508</v>
      </c>
      <c r="W315" s="149">
        <v>41322508</v>
      </c>
      <c r="X315" s="150"/>
    </row>
    <row r="316" spans="1:24" s="121" customFormat="1" ht="14.1" customHeight="1">
      <c r="A316" s="87"/>
      <c r="B316" s="137">
        <v>307</v>
      </c>
      <c r="C316" s="70"/>
      <c r="D316" s="138" t="s">
        <v>571</v>
      </c>
      <c r="E316" s="139" t="s">
        <v>671</v>
      </c>
      <c r="F316" s="140" t="s">
        <v>745</v>
      </c>
      <c r="G316" s="141" t="s">
        <v>983</v>
      </c>
      <c r="H316" s="142">
        <v>1</v>
      </c>
      <c r="I316" s="143">
        <v>2.81E-2</v>
      </c>
      <c r="J316" s="143">
        <v>9.8100000000000007E-2</v>
      </c>
      <c r="K316" s="144">
        <v>20071022</v>
      </c>
      <c r="L316" s="144">
        <v>20221022</v>
      </c>
      <c r="M316" s="144">
        <v>20160123</v>
      </c>
      <c r="N316" s="144">
        <v>20160123</v>
      </c>
      <c r="O316" s="145" t="s">
        <v>80</v>
      </c>
      <c r="P316" s="146">
        <v>20000000</v>
      </c>
      <c r="Q316" s="147" t="s">
        <v>80</v>
      </c>
      <c r="R316" s="146">
        <v>13666612</v>
      </c>
      <c r="S316" s="148">
        <v>13666612</v>
      </c>
      <c r="T316" s="148">
        <v>0</v>
      </c>
      <c r="U316" s="148">
        <v>13666612</v>
      </c>
      <c r="V316" s="148">
        <v>219867</v>
      </c>
      <c r="W316" s="149">
        <v>13886479</v>
      </c>
      <c r="X316" s="150"/>
    </row>
    <row r="317" spans="1:24" s="121" customFormat="1" ht="14.1" customHeight="1">
      <c r="A317" s="87"/>
      <c r="B317" s="137">
        <v>308</v>
      </c>
      <c r="C317" s="70"/>
      <c r="D317" s="138" t="s">
        <v>571</v>
      </c>
      <c r="E317" s="139" t="s">
        <v>671</v>
      </c>
      <c r="F317" s="140" t="s">
        <v>732</v>
      </c>
      <c r="G317" s="141" t="s">
        <v>984</v>
      </c>
      <c r="H317" s="142">
        <v>1</v>
      </c>
      <c r="I317" s="143">
        <v>3.0299999999999997E-2</v>
      </c>
      <c r="J317" s="143">
        <v>0.1003</v>
      </c>
      <c r="K317" s="144">
        <v>20080829</v>
      </c>
      <c r="L317" s="144">
        <v>20260829</v>
      </c>
      <c r="M317" s="144">
        <v>20151230</v>
      </c>
      <c r="N317" s="144">
        <v>20151230</v>
      </c>
      <c r="O317" s="145" t="s">
        <v>80</v>
      </c>
      <c r="P317" s="146">
        <v>40000000</v>
      </c>
      <c r="Q317" s="147" t="s">
        <v>80</v>
      </c>
      <c r="R317" s="146">
        <v>33076890</v>
      </c>
      <c r="S317" s="148">
        <v>33076890</v>
      </c>
      <c r="T317" s="148">
        <v>0</v>
      </c>
      <c r="U317" s="148">
        <v>33076890</v>
      </c>
      <c r="V317" s="148">
        <v>734295</v>
      </c>
      <c r="W317" s="149">
        <v>33811185</v>
      </c>
      <c r="X317" s="150"/>
    </row>
    <row r="318" spans="1:24" s="121" customFormat="1" ht="14.1" customHeight="1">
      <c r="A318" s="87"/>
      <c r="B318" s="137">
        <v>309</v>
      </c>
      <c r="C318" s="70"/>
      <c r="D318" s="138" t="s">
        <v>571</v>
      </c>
      <c r="E318" s="139" t="s">
        <v>671</v>
      </c>
      <c r="F318" s="140" t="s">
        <v>732</v>
      </c>
      <c r="G318" s="141" t="s">
        <v>985</v>
      </c>
      <c r="H318" s="142">
        <v>1</v>
      </c>
      <c r="I318" s="143">
        <v>3.8199999999999998E-2</v>
      </c>
      <c r="J318" s="143">
        <v>0.1082</v>
      </c>
      <c r="K318" s="144">
        <v>20100331</v>
      </c>
      <c r="L318" s="144">
        <v>20210331</v>
      </c>
      <c r="M318" s="144">
        <v>20160101</v>
      </c>
      <c r="N318" s="144">
        <v>20160101</v>
      </c>
      <c r="O318" s="145" t="s">
        <v>80</v>
      </c>
      <c r="P318" s="146">
        <v>20000000</v>
      </c>
      <c r="Q318" s="147" t="s">
        <v>80</v>
      </c>
      <c r="R318" s="146">
        <v>13333312</v>
      </c>
      <c r="S318" s="148">
        <v>13333312</v>
      </c>
      <c r="T318" s="148">
        <v>0</v>
      </c>
      <c r="U318" s="148">
        <v>13333312</v>
      </c>
      <c r="V318" s="148">
        <v>351671</v>
      </c>
      <c r="W318" s="149">
        <v>13684983</v>
      </c>
      <c r="X318" s="150"/>
    </row>
    <row r="319" spans="1:24" s="121" customFormat="1" ht="14.1" customHeight="1">
      <c r="A319" s="87"/>
      <c r="B319" s="137">
        <v>310</v>
      </c>
      <c r="C319" s="70"/>
      <c r="D319" s="138" t="s">
        <v>572</v>
      </c>
      <c r="E319" s="139" t="s">
        <v>179</v>
      </c>
      <c r="F319" s="140" t="s">
        <v>740</v>
      </c>
      <c r="G319" s="141" t="s">
        <v>986</v>
      </c>
      <c r="H319" s="142">
        <v>1</v>
      </c>
      <c r="I319" s="143">
        <v>3.3500000000000002E-2</v>
      </c>
      <c r="J319" s="143">
        <v>0.10349999999999999</v>
      </c>
      <c r="K319" s="144">
        <v>20141028</v>
      </c>
      <c r="L319" s="144">
        <v>20441028</v>
      </c>
      <c r="M319" s="144">
        <v>20151201</v>
      </c>
      <c r="N319" s="144">
        <v>20151201</v>
      </c>
      <c r="O319" s="145" t="s">
        <v>80</v>
      </c>
      <c r="P319" s="146">
        <v>115000000</v>
      </c>
      <c r="Q319" s="147" t="s">
        <v>80</v>
      </c>
      <c r="R319" s="146">
        <v>98529588</v>
      </c>
      <c r="S319" s="148">
        <v>98529588</v>
      </c>
      <c r="T319" s="148">
        <v>0</v>
      </c>
      <c r="U319" s="148">
        <v>98529588</v>
      </c>
      <c r="V319" s="148">
        <v>3273121</v>
      </c>
      <c r="W319" s="149">
        <v>101802709</v>
      </c>
      <c r="X319" s="150"/>
    </row>
    <row r="320" spans="1:24" s="121" customFormat="1" ht="14.1" customHeight="1">
      <c r="A320" s="87"/>
      <c r="B320" s="137">
        <v>311</v>
      </c>
      <c r="C320" s="70"/>
      <c r="D320" s="138" t="s">
        <v>573</v>
      </c>
      <c r="E320" s="139" t="s">
        <v>152</v>
      </c>
      <c r="F320" s="140" t="s">
        <v>736</v>
      </c>
      <c r="G320" s="141" t="s">
        <v>787</v>
      </c>
      <c r="H320" s="142">
        <v>1</v>
      </c>
      <c r="I320" s="143">
        <v>3.8100000000000002E-2</v>
      </c>
      <c r="J320" s="143">
        <v>0.1081</v>
      </c>
      <c r="K320" s="144">
        <v>20140729</v>
      </c>
      <c r="L320" s="144">
        <v>20440729</v>
      </c>
      <c r="M320" s="144">
        <v>20151201</v>
      </c>
      <c r="N320" s="144">
        <v>20160202</v>
      </c>
      <c r="O320" s="145" t="s">
        <v>80</v>
      </c>
      <c r="P320" s="146">
        <v>96000000</v>
      </c>
      <c r="Q320" s="147" t="s">
        <v>80</v>
      </c>
      <c r="R320" s="146">
        <v>93655628</v>
      </c>
      <c r="S320" s="148">
        <v>93655628</v>
      </c>
      <c r="T320" s="148">
        <v>2334050</v>
      </c>
      <c r="U320" s="148">
        <v>95989678</v>
      </c>
      <c r="V320" s="148">
        <v>2703875</v>
      </c>
      <c r="W320" s="149">
        <v>98693553</v>
      </c>
      <c r="X320" s="150" t="s">
        <v>1168</v>
      </c>
    </row>
    <row r="321" spans="1:24" s="121" customFormat="1" ht="14.1" customHeight="1">
      <c r="A321" s="87"/>
      <c r="B321" s="137">
        <v>312</v>
      </c>
      <c r="C321" s="70"/>
      <c r="D321" s="138" t="s">
        <v>574</v>
      </c>
      <c r="E321" s="139" t="s">
        <v>152</v>
      </c>
      <c r="F321" s="140" t="s">
        <v>736</v>
      </c>
      <c r="G321" s="141" t="s">
        <v>987</v>
      </c>
      <c r="H321" s="142">
        <v>1</v>
      </c>
      <c r="I321" s="143">
        <v>3.8100000000000002E-2</v>
      </c>
      <c r="J321" s="143">
        <v>0.1081</v>
      </c>
      <c r="K321" s="144">
        <v>20140627</v>
      </c>
      <c r="L321" s="144">
        <v>20440627</v>
      </c>
      <c r="M321" s="144">
        <v>20151128</v>
      </c>
      <c r="N321" s="144">
        <v>20160128</v>
      </c>
      <c r="O321" s="145" t="s">
        <v>80</v>
      </c>
      <c r="P321" s="146">
        <v>93000000</v>
      </c>
      <c r="Q321" s="147" t="s">
        <v>80</v>
      </c>
      <c r="R321" s="146">
        <v>90729352</v>
      </c>
      <c r="S321" s="148">
        <v>90729352</v>
      </c>
      <c r="T321" s="148">
        <v>0</v>
      </c>
      <c r="U321" s="148">
        <v>90729352</v>
      </c>
      <c r="V321" s="148">
        <v>3215218</v>
      </c>
      <c r="W321" s="149">
        <v>93944570</v>
      </c>
      <c r="X321" s="150"/>
    </row>
    <row r="322" spans="1:24" s="121" customFormat="1" ht="14.1" customHeight="1">
      <c r="A322" s="87"/>
      <c r="B322" s="137">
        <v>313</v>
      </c>
      <c r="C322" s="70"/>
      <c r="D322" s="138" t="s">
        <v>575</v>
      </c>
      <c r="E322" s="139" t="s">
        <v>151</v>
      </c>
      <c r="F322" s="140" t="s">
        <v>736</v>
      </c>
      <c r="G322" s="141" t="s">
        <v>988</v>
      </c>
      <c r="H322" s="142">
        <v>1</v>
      </c>
      <c r="I322" s="143">
        <v>4.5100000000000001E-2</v>
      </c>
      <c r="J322" s="143">
        <v>0.12509999999999999</v>
      </c>
      <c r="K322" s="144">
        <v>20140515</v>
      </c>
      <c r="L322" s="144">
        <v>20440515</v>
      </c>
      <c r="M322" s="144">
        <v>20151117</v>
      </c>
      <c r="N322" s="144">
        <v>20160119</v>
      </c>
      <c r="O322" s="145" t="s">
        <v>80</v>
      </c>
      <c r="P322" s="353">
        <v>240000000</v>
      </c>
      <c r="Q322" s="147" t="s">
        <v>80</v>
      </c>
      <c r="R322" s="146">
        <v>90000000</v>
      </c>
      <c r="S322" s="148">
        <v>90000000</v>
      </c>
      <c r="T322" s="148">
        <v>652980</v>
      </c>
      <c r="U322" s="148">
        <v>90652980</v>
      </c>
      <c r="V322" s="148">
        <v>3848758</v>
      </c>
      <c r="W322" s="149">
        <v>94501738</v>
      </c>
      <c r="X322" s="150" t="s">
        <v>1168</v>
      </c>
    </row>
    <row r="323" spans="1:24" s="121" customFormat="1" ht="14.1" customHeight="1">
      <c r="A323" s="87"/>
      <c r="B323" s="137">
        <v>314</v>
      </c>
      <c r="C323" s="70"/>
      <c r="D323" s="138" t="s">
        <v>576</v>
      </c>
      <c r="E323" s="139" t="s">
        <v>672</v>
      </c>
      <c r="F323" s="140" t="s">
        <v>741</v>
      </c>
      <c r="G323" s="141" t="s">
        <v>765</v>
      </c>
      <c r="H323" s="142">
        <v>1</v>
      </c>
      <c r="I323" s="143">
        <v>0.05</v>
      </c>
      <c r="J323" s="143">
        <v>0.13</v>
      </c>
      <c r="K323" s="144">
        <v>20111104</v>
      </c>
      <c r="L323" s="144">
        <v>20261104</v>
      </c>
      <c r="M323" s="144">
        <v>20151105</v>
      </c>
      <c r="N323" s="144">
        <v>20160105</v>
      </c>
      <c r="O323" s="145" t="s">
        <v>80</v>
      </c>
      <c r="P323" s="146">
        <v>30000000</v>
      </c>
      <c r="Q323" s="147" t="s">
        <v>80</v>
      </c>
      <c r="R323" s="146">
        <v>30000000</v>
      </c>
      <c r="S323" s="148">
        <v>30000000</v>
      </c>
      <c r="T323" s="148">
        <v>0</v>
      </c>
      <c r="U323" s="148">
        <v>30000000</v>
      </c>
      <c r="V323" s="148">
        <v>1498954</v>
      </c>
      <c r="W323" s="149">
        <v>31498954</v>
      </c>
      <c r="X323" s="150"/>
    </row>
    <row r="324" spans="1:24" s="121" customFormat="1" ht="14.1" customHeight="1">
      <c r="A324" s="87"/>
      <c r="B324" s="137">
        <v>315</v>
      </c>
      <c r="C324" s="70"/>
      <c r="D324" s="138" t="s">
        <v>576</v>
      </c>
      <c r="E324" s="139" t="s">
        <v>672</v>
      </c>
      <c r="F324" s="140" t="s">
        <v>736</v>
      </c>
      <c r="G324" s="141" t="s">
        <v>370</v>
      </c>
      <c r="H324" s="142">
        <v>1</v>
      </c>
      <c r="I324" s="143">
        <v>5.0999999999999997E-2</v>
      </c>
      <c r="J324" s="143">
        <v>0.13100000000000001</v>
      </c>
      <c r="K324" s="144">
        <v>20111121</v>
      </c>
      <c r="L324" s="144">
        <v>20261121</v>
      </c>
      <c r="M324" s="144">
        <v>20151022</v>
      </c>
      <c r="N324" s="144">
        <v>20151222</v>
      </c>
      <c r="O324" s="145" t="s">
        <v>80</v>
      </c>
      <c r="P324" s="146">
        <v>50000000</v>
      </c>
      <c r="Q324" s="147" t="s">
        <v>80</v>
      </c>
      <c r="R324" s="146">
        <v>31490000</v>
      </c>
      <c r="S324" s="148">
        <v>31490000</v>
      </c>
      <c r="T324" s="148">
        <v>0</v>
      </c>
      <c r="U324" s="148">
        <v>31490000</v>
      </c>
      <c r="V324" s="148">
        <v>1744876</v>
      </c>
      <c r="W324" s="149">
        <v>33234876</v>
      </c>
      <c r="X324" s="150"/>
    </row>
    <row r="325" spans="1:24" s="121" customFormat="1" ht="14.1" customHeight="1">
      <c r="A325" s="87"/>
      <c r="B325" s="137">
        <v>316</v>
      </c>
      <c r="C325" s="70"/>
      <c r="D325" s="138" t="s">
        <v>576</v>
      </c>
      <c r="E325" s="139" t="s">
        <v>672</v>
      </c>
      <c r="F325" s="140" t="s">
        <v>742</v>
      </c>
      <c r="G325" s="141" t="s">
        <v>989</v>
      </c>
      <c r="H325" s="142">
        <v>1</v>
      </c>
      <c r="I325" s="143">
        <v>3.5499999999999997E-2</v>
      </c>
      <c r="J325" s="143">
        <v>0.11550000000000001</v>
      </c>
      <c r="K325" s="144">
        <v>20120306</v>
      </c>
      <c r="L325" s="144">
        <v>20270306</v>
      </c>
      <c r="M325" s="144">
        <v>20151013</v>
      </c>
      <c r="N325" s="144">
        <v>20151215</v>
      </c>
      <c r="O325" s="145" t="s">
        <v>80</v>
      </c>
      <c r="P325" s="146">
        <v>28500000</v>
      </c>
      <c r="Q325" s="147" t="s">
        <v>80</v>
      </c>
      <c r="R325" s="146">
        <v>28500000</v>
      </c>
      <c r="S325" s="148">
        <v>28500000</v>
      </c>
      <c r="T325" s="148">
        <v>0</v>
      </c>
      <c r="U325" s="148">
        <v>28500000</v>
      </c>
      <c r="V325" s="148">
        <v>1373785</v>
      </c>
      <c r="W325" s="149">
        <v>29873785</v>
      </c>
      <c r="X325" s="150"/>
    </row>
    <row r="326" spans="1:24" s="121" customFormat="1" ht="14.1" customHeight="1">
      <c r="A326" s="87"/>
      <c r="B326" s="137">
        <v>317</v>
      </c>
      <c r="C326" s="70"/>
      <c r="D326" s="138" t="s">
        <v>577</v>
      </c>
      <c r="E326" s="139" t="s">
        <v>673</v>
      </c>
      <c r="F326" s="140" t="s">
        <v>686</v>
      </c>
      <c r="G326" s="141" t="s">
        <v>929</v>
      </c>
      <c r="H326" s="142">
        <v>1</v>
      </c>
      <c r="I326" s="143">
        <v>3.85E-2</v>
      </c>
      <c r="J326" s="143">
        <v>9.849999999999999E-2</v>
      </c>
      <c r="K326" s="144">
        <v>20140626</v>
      </c>
      <c r="L326" s="144">
        <v>20241226</v>
      </c>
      <c r="M326" s="144">
        <v>20160127</v>
      </c>
      <c r="N326" s="144">
        <v>20160127</v>
      </c>
      <c r="O326" s="145" t="s">
        <v>80</v>
      </c>
      <c r="P326" s="146">
        <v>60000000</v>
      </c>
      <c r="Q326" s="147" t="s">
        <v>80</v>
      </c>
      <c r="R326" s="146">
        <v>51428520</v>
      </c>
      <c r="S326" s="148">
        <v>51428520</v>
      </c>
      <c r="T326" s="148">
        <v>0</v>
      </c>
      <c r="U326" s="148">
        <v>51428520</v>
      </c>
      <c r="V326" s="148">
        <v>936174</v>
      </c>
      <c r="W326" s="149">
        <v>52364694</v>
      </c>
      <c r="X326" s="150"/>
    </row>
    <row r="327" spans="1:24" s="121" customFormat="1" ht="14.1" customHeight="1">
      <c r="A327" s="87"/>
      <c r="B327" s="137">
        <v>318</v>
      </c>
      <c r="C327" s="70"/>
      <c r="D327" s="138" t="s">
        <v>577</v>
      </c>
      <c r="E327" s="139" t="s">
        <v>673</v>
      </c>
      <c r="F327" s="140" t="s">
        <v>740</v>
      </c>
      <c r="G327" s="141" t="s">
        <v>323</v>
      </c>
      <c r="H327" s="142">
        <v>1</v>
      </c>
      <c r="I327" s="143">
        <v>3.5000000000000003E-2</v>
      </c>
      <c r="J327" s="143">
        <v>0.105</v>
      </c>
      <c r="K327" s="144">
        <v>20141015</v>
      </c>
      <c r="L327" s="144">
        <v>20241015</v>
      </c>
      <c r="M327" s="144">
        <v>20160116</v>
      </c>
      <c r="N327" s="144">
        <v>20160116</v>
      </c>
      <c r="O327" s="145" t="s">
        <v>80</v>
      </c>
      <c r="P327" s="146">
        <v>40000000</v>
      </c>
      <c r="Q327" s="147" t="s">
        <v>80</v>
      </c>
      <c r="R327" s="146">
        <v>35333298</v>
      </c>
      <c r="S327" s="148">
        <v>35333298</v>
      </c>
      <c r="T327" s="148">
        <v>0</v>
      </c>
      <c r="U327" s="148">
        <v>35333298</v>
      </c>
      <c r="V327" s="148">
        <v>723837</v>
      </c>
      <c r="W327" s="149">
        <v>36057135</v>
      </c>
      <c r="X327" s="150"/>
    </row>
    <row r="328" spans="1:24" s="121" customFormat="1" ht="14.1" customHeight="1">
      <c r="A328" s="87"/>
      <c r="B328" s="137">
        <v>319</v>
      </c>
      <c r="C328" s="70"/>
      <c r="D328" s="138" t="s">
        <v>578</v>
      </c>
      <c r="E328" s="139" t="s">
        <v>148</v>
      </c>
      <c r="F328" s="140" t="s">
        <v>736</v>
      </c>
      <c r="G328" s="141" t="s">
        <v>990</v>
      </c>
      <c r="H328" s="142">
        <v>1</v>
      </c>
      <c r="I328" s="143">
        <v>3.61E-2</v>
      </c>
      <c r="J328" s="143">
        <v>3.61E-2</v>
      </c>
      <c r="K328" s="144">
        <v>20141024</v>
      </c>
      <c r="L328" s="144">
        <v>20441024</v>
      </c>
      <c r="M328" s="144">
        <v>20160325</v>
      </c>
      <c r="N328" s="144">
        <v>20160325</v>
      </c>
      <c r="O328" s="145" t="s">
        <v>80</v>
      </c>
      <c r="P328" s="353">
        <v>85000000</v>
      </c>
      <c r="Q328" s="147" t="s">
        <v>80</v>
      </c>
      <c r="R328" s="146">
        <v>81222184</v>
      </c>
      <c r="S328" s="148">
        <v>81222184</v>
      </c>
      <c r="T328" s="148">
        <v>0</v>
      </c>
      <c r="U328" s="148">
        <v>81222184</v>
      </c>
      <c r="V328" s="148">
        <v>516318</v>
      </c>
      <c r="W328" s="149">
        <v>81738502</v>
      </c>
      <c r="X328" s="150"/>
    </row>
    <row r="329" spans="1:24" s="121" customFormat="1" ht="14.1" customHeight="1">
      <c r="A329" s="87"/>
      <c r="B329" s="137">
        <v>320</v>
      </c>
      <c r="C329" s="70"/>
      <c r="D329" s="138" t="s">
        <v>579</v>
      </c>
      <c r="E329" s="139" t="s">
        <v>152</v>
      </c>
      <c r="F329" s="140" t="s">
        <v>743</v>
      </c>
      <c r="G329" s="141" t="s">
        <v>788</v>
      </c>
      <c r="H329" s="142">
        <v>1</v>
      </c>
      <c r="I329" s="143">
        <v>3.1200000000000002E-2</v>
      </c>
      <c r="J329" s="143">
        <v>0.1012</v>
      </c>
      <c r="K329" s="144">
        <v>20150213</v>
      </c>
      <c r="L329" s="144">
        <v>20160213</v>
      </c>
      <c r="M329" s="144">
        <v>20151229</v>
      </c>
      <c r="N329" s="144">
        <v>20160216</v>
      </c>
      <c r="O329" s="145" t="s">
        <v>80</v>
      </c>
      <c r="P329" s="146">
        <v>80000000</v>
      </c>
      <c r="Q329" s="147" t="s">
        <v>80</v>
      </c>
      <c r="R329" s="146">
        <v>80000000</v>
      </c>
      <c r="S329" s="148">
        <v>80000000</v>
      </c>
      <c r="T329" s="148">
        <v>619550</v>
      </c>
      <c r="U329" s="148">
        <v>80619550</v>
      </c>
      <c r="V329" s="148">
        <v>2073223</v>
      </c>
      <c r="W329" s="149">
        <v>82692773</v>
      </c>
      <c r="X329" s="150" t="s">
        <v>1168</v>
      </c>
    </row>
    <row r="330" spans="1:24" s="121" customFormat="1" ht="14.1" customHeight="1">
      <c r="A330" s="87"/>
      <c r="B330" s="137">
        <v>321</v>
      </c>
      <c r="C330" s="70"/>
      <c r="D330" s="138" t="s">
        <v>580</v>
      </c>
      <c r="E330" s="139" t="s">
        <v>214</v>
      </c>
      <c r="F330" s="140" t="s">
        <v>736</v>
      </c>
      <c r="G330" s="141" t="s">
        <v>991</v>
      </c>
      <c r="H330" s="142">
        <v>1</v>
      </c>
      <c r="I330" s="143">
        <v>3.56E-2</v>
      </c>
      <c r="J330" s="143">
        <v>0.1056</v>
      </c>
      <c r="K330" s="144">
        <v>20140926</v>
      </c>
      <c r="L330" s="144">
        <v>20440926</v>
      </c>
      <c r="M330" s="144">
        <v>20151127</v>
      </c>
      <c r="N330" s="144">
        <v>20160127</v>
      </c>
      <c r="O330" s="145" t="s">
        <v>80</v>
      </c>
      <c r="P330" s="146">
        <v>80000000</v>
      </c>
      <c r="Q330" s="147" t="s">
        <v>80</v>
      </c>
      <c r="R330" s="146">
        <v>78351222</v>
      </c>
      <c r="S330" s="148">
        <v>78351222</v>
      </c>
      <c r="T330" s="148">
        <v>2111380</v>
      </c>
      <c r="U330" s="148">
        <v>80462602</v>
      </c>
      <c r="V330" s="148">
        <v>2682096</v>
      </c>
      <c r="W330" s="149">
        <v>83144698</v>
      </c>
      <c r="X330" s="150" t="s">
        <v>1168</v>
      </c>
    </row>
    <row r="331" spans="1:24" s="121" customFormat="1" ht="14.1" customHeight="1">
      <c r="A331" s="87"/>
      <c r="B331" s="137">
        <v>322</v>
      </c>
      <c r="C331" s="70"/>
      <c r="D331" s="138" t="s">
        <v>581</v>
      </c>
      <c r="E331" s="139" t="s">
        <v>674</v>
      </c>
      <c r="F331" s="140" t="s">
        <v>743</v>
      </c>
      <c r="G331" s="141" t="s">
        <v>992</v>
      </c>
      <c r="H331" s="142">
        <v>1</v>
      </c>
      <c r="I331" s="143">
        <v>3.4300000000000004E-2</v>
      </c>
      <c r="J331" s="143">
        <v>0.1043</v>
      </c>
      <c r="K331" s="144">
        <v>20131118</v>
      </c>
      <c r="L331" s="144">
        <v>20231118</v>
      </c>
      <c r="M331" s="144">
        <v>20151219</v>
      </c>
      <c r="N331" s="144">
        <v>20160219</v>
      </c>
      <c r="O331" s="145" t="s">
        <v>80</v>
      </c>
      <c r="P331" s="146">
        <v>80000000</v>
      </c>
      <c r="Q331" s="147" t="s">
        <v>80</v>
      </c>
      <c r="R331" s="146">
        <v>80000000</v>
      </c>
      <c r="S331" s="148">
        <v>80000000</v>
      </c>
      <c r="T331" s="148">
        <v>0</v>
      </c>
      <c r="U331" s="148">
        <v>80000000</v>
      </c>
      <c r="V331" s="148">
        <v>2211458</v>
      </c>
      <c r="W331" s="149">
        <v>82211458</v>
      </c>
      <c r="X331" s="150"/>
    </row>
    <row r="332" spans="1:24" s="121" customFormat="1" ht="14.1" customHeight="1">
      <c r="A332" s="87"/>
      <c r="B332" s="137">
        <v>323</v>
      </c>
      <c r="C332" s="70"/>
      <c r="D332" s="138" t="s">
        <v>582</v>
      </c>
      <c r="E332" s="139" t="s">
        <v>175</v>
      </c>
      <c r="F332" s="140" t="s">
        <v>686</v>
      </c>
      <c r="G332" s="141" t="s">
        <v>993</v>
      </c>
      <c r="H332" s="142">
        <v>1</v>
      </c>
      <c r="I332" s="143">
        <v>3.9E-2</v>
      </c>
      <c r="J332" s="143">
        <v>0.11900000000000001</v>
      </c>
      <c r="K332" s="144">
        <v>20130520</v>
      </c>
      <c r="L332" s="144">
        <v>20430520</v>
      </c>
      <c r="M332" s="144">
        <v>20150922</v>
      </c>
      <c r="N332" s="144">
        <v>20150922</v>
      </c>
      <c r="O332" s="145" t="s">
        <v>80</v>
      </c>
      <c r="P332" s="146">
        <v>85000000</v>
      </c>
      <c r="Q332" s="147" t="s">
        <v>80</v>
      </c>
      <c r="R332" s="146">
        <v>78564896</v>
      </c>
      <c r="S332" s="148">
        <v>78564896</v>
      </c>
      <c r="T332" s="148">
        <v>603270</v>
      </c>
      <c r="U332" s="148">
        <v>79168166</v>
      </c>
      <c r="V332" s="148">
        <v>2441521</v>
      </c>
      <c r="W332" s="149">
        <v>81609687</v>
      </c>
      <c r="X332" s="150" t="s">
        <v>1168</v>
      </c>
    </row>
    <row r="333" spans="1:24" s="121" customFormat="1" ht="14.1" customHeight="1">
      <c r="A333" s="87"/>
      <c r="B333" s="137">
        <v>324</v>
      </c>
      <c r="C333" s="70"/>
      <c r="D333" s="138" t="s">
        <v>583</v>
      </c>
      <c r="E333" s="139" t="s">
        <v>152</v>
      </c>
      <c r="F333" s="140" t="s">
        <v>753</v>
      </c>
      <c r="G333" s="141" t="s">
        <v>994</v>
      </c>
      <c r="H333" s="142">
        <v>0</v>
      </c>
      <c r="I333" s="143">
        <v>5.7999999999999996E-2</v>
      </c>
      <c r="J333" s="143">
        <v>0.11799999999999999</v>
      </c>
      <c r="K333" s="144">
        <v>20020607</v>
      </c>
      <c r="L333" s="144">
        <v>20160530</v>
      </c>
      <c r="M333" s="144">
        <v>20151208</v>
      </c>
      <c r="N333" s="144">
        <v>20160212</v>
      </c>
      <c r="O333" s="145" t="s">
        <v>80</v>
      </c>
      <c r="P333" s="146">
        <v>75000000</v>
      </c>
      <c r="Q333" s="147" t="s">
        <v>80</v>
      </c>
      <c r="R333" s="146">
        <v>75000000</v>
      </c>
      <c r="S333" s="148">
        <v>75000000</v>
      </c>
      <c r="T333" s="148">
        <v>0</v>
      </c>
      <c r="U333" s="148">
        <v>75000000</v>
      </c>
      <c r="V333" s="148">
        <v>2994401</v>
      </c>
      <c r="W333" s="149">
        <v>77994401</v>
      </c>
      <c r="X333" s="150"/>
    </row>
    <row r="334" spans="1:24" s="121" customFormat="1" ht="14.1" customHeight="1">
      <c r="A334" s="87"/>
      <c r="B334" s="137">
        <v>325</v>
      </c>
      <c r="C334" s="70"/>
      <c r="D334" s="138" t="s">
        <v>584</v>
      </c>
      <c r="E334" s="139" t="s">
        <v>214</v>
      </c>
      <c r="F334" s="140" t="s">
        <v>742</v>
      </c>
      <c r="G334" s="141" t="s">
        <v>995</v>
      </c>
      <c r="H334" s="142">
        <v>1</v>
      </c>
      <c r="I334" s="143">
        <v>4.8499999999999995E-2</v>
      </c>
      <c r="J334" s="143">
        <v>0.1285</v>
      </c>
      <c r="K334" s="144">
        <v>20090729</v>
      </c>
      <c r="L334" s="144">
        <v>20390729</v>
      </c>
      <c r="M334" s="144">
        <v>20151105</v>
      </c>
      <c r="N334" s="144">
        <v>20160105</v>
      </c>
      <c r="O334" s="145" t="s">
        <v>80</v>
      </c>
      <c r="P334" s="146">
        <v>75000000</v>
      </c>
      <c r="Q334" s="147" t="s">
        <v>80</v>
      </c>
      <c r="R334" s="146">
        <v>75000000</v>
      </c>
      <c r="S334" s="148">
        <v>75000000</v>
      </c>
      <c r="T334" s="148">
        <v>0</v>
      </c>
      <c r="U334" s="148">
        <v>75000000</v>
      </c>
      <c r="V334" s="148">
        <v>3667535</v>
      </c>
      <c r="W334" s="149">
        <v>78667535</v>
      </c>
      <c r="X334" s="150"/>
    </row>
    <row r="335" spans="1:24" s="121" customFormat="1" ht="14.1" customHeight="1">
      <c r="A335" s="87"/>
      <c r="B335" s="137">
        <v>326</v>
      </c>
      <c r="C335" s="70"/>
      <c r="D335" s="138" t="s">
        <v>585</v>
      </c>
      <c r="E335" s="139" t="s">
        <v>221</v>
      </c>
      <c r="F335" s="140" t="s">
        <v>740</v>
      </c>
      <c r="G335" s="141" t="s">
        <v>996</v>
      </c>
      <c r="H335" s="142">
        <v>1</v>
      </c>
      <c r="I335" s="143">
        <v>3.7499999999999999E-2</v>
      </c>
      <c r="J335" s="143">
        <v>0.1075</v>
      </c>
      <c r="K335" s="144">
        <v>20140721</v>
      </c>
      <c r="L335" s="144">
        <v>20440721</v>
      </c>
      <c r="M335" s="144">
        <v>20160122</v>
      </c>
      <c r="N335" s="144">
        <v>20160122</v>
      </c>
      <c r="O335" s="145" t="s">
        <v>80</v>
      </c>
      <c r="P335" s="146">
        <v>58000000</v>
      </c>
      <c r="Q335" s="147" t="s">
        <v>80</v>
      </c>
      <c r="R335" s="146">
        <v>37575650</v>
      </c>
      <c r="S335" s="148">
        <v>37575650</v>
      </c>
      <c r="T335" s="148">
        <v>0</v>
      </c>
      <c r="U335" s="148">
        <v>37575650</v>
      </c>
      <c r="V335" s="148">
        <v>734531</v>
      </c>
      <c r="W335" s="149">
        <v>38310181</v>
      </c>
      <c r="X335" s="150"/>
    </row>
    <row r="336" spans="1:24" s="121" customFormat="1" ht="14.1" customHeight="1">
      <c r="A336" s="87"/>
      <c r="B336" s="137">
        <v>327</v>
      </c>
      <c r="C336" s="70"/>
      <c r="D336" s="138" t="s">
        <v>585</v>
      </c>
      <c r="E336" s="139" t="s">
        <v>221</v>
      </c>
      <c r="F336" s="140" t="s">
        <v>740</v>
      </c>
      <c r="G336" s="141" t="s">
        <v>997</v>
      </c>
      <c r="H336" s="142">
        <v>1</v>
      </c>
      <c r="I336" s="143">
        <v>3.3500000000000002E-2</v>
      </c>
      <c r="J336" s="143">
        <v>9.35E-2</v>
      </c>
      <c r="K336" s="144">
        <v>20141209</v>
      </c>
      <c r="L336" s="144">
        <v>20441209</v>
      </c>
      <c r="M336" s="144">
        <v>20160212</v>
      </c>
      <c r="N336" s="144">
        <v>20160412</v>
      </c>
      <c r="O336" s="145" t="s">
        <v>80</v>
      </c>
      <c r="P336" s="146">
        <v>37500000</v>
      </c>
      <c r="Q336" s="147" t="s">
        <v>80</v>
      </c>
      <c r="R336" s="146">
        <v>36694662</v>
      </c>
      <c r="S336" s="148">
        <v>36694662</v>
      </c>
      <c r="T336" s="148">
        <v>0</v>
      </c>
      <c r="U336" s="148">
        <v>36694662</v>
      </c>
      <c r="V336" s="148">
        <v>470825</v>
      </c>
      <c r="W336" s="149">
        <v>37165487</v>
      </c>
      <c r="X336" s="150"/>
    </row>
    <row r="337" spans="1:24" s="121" customFormat="1" ht="14.1" customHeight="1">
      <c r="A337" s="87"/>
      <c r="B337" s="137">
        <v>328</v>
      </c>
      <c r="C337" s="70"/>
      <c r="D337" s="138" t="s">
        <v>586</v>
      </c>
      <c r="E337" s="139" t="s">
        <v>92</v>
      </c>
      <c r="F337" s="140" t="s">
        <v>732</v>
      </c>
      <c r="G337" s="141" t="s">
        <v>998</v>
      </c>
      <c r="H337" s="142">
        <v>1</v>
      </c>
      <c r="I337" s="143">
        <v>3.4500000000000003E-2</v>
      </c>
      <c r="J337" s="143">
        <v>0.1045</v>
      </c>
      <c r="K337" s="144">
        <v>20080806</v>
      </c>
      <c r="L337" s="144">
        <v>20380806</v>
      </c>
      <c r="M337" s="144">
        <v>20151215</v>
      </c>
      <c r="N337" s="144">
        <v>20160216</v>
      </c>
      <c r="O337" s="145" t="s">
        <v>80</v>
      </c>
      <c r="P337" s="146">
        <v>100000000</v>
      </c>
      <c r="Q337" s="147" t="s">
        <v>80</v>
      </c>
      <c r="R337" s="146">
        <v>70000000</v>
      </c>
      <c r="S337" s="148">
        <v>70000000</v>
      </c>
      <c r="T337" s="148">
        <v>2082059</v>
      </c>
      <c r="U337" s="148">
        <v>72082059</v>
      </c>
      <c r="V337" s="148">
        <v>2007414</v>
      </c>
      <c r="W337" s="149">
        <v>74089473</v>
      </c>
      <c r="X337" s="150" t="s">
        <v>1168</v>
      </c>
    </row>
    <row r="338" spans="1:24" s="121" customFormat="1" ht="14.1" customHeight="1">
      <c r="A338" s="87"/>
      <c r="B338" s="137">
        <v>329</v>
      </c>
      <c r="C338" s="70"/>
      <c r="D338" s="138" t="s">
        <v>587</v>
      </c>
      <c r="E338" s="139" t="s">
        <v>152</v>
      </c>
      <c r="F338" s="140" t="s">
        <v>742</v>
      </c>
      <c r="G338" s="141" t="s">
        <v>999</v>
      </c>
      <c r="H338" s="142">
        <v>1</v>
      </c>
      <c r="I338" s="143">
        <v>2.87E-2</v>
      </c>
      <c r="J338" s="143">
        <v>9.8699999999999996E-2</v>
      </c>
      <c r="K338" s="144">
        <v>20140414</v>
      </c>
      <c r="L338" s="144">
        <v>20440414</v>
      </c>
      <c r="M338" s="144">
        <v>20151217</v>
      </c>
      <c r="N338" s="144">
        <v>20160217</v>
      </c>
      <c r="O338" s="145" t="s">
        <v>80</v>
      </c>
      <c r="P338" s="146">
        <v>70000000</v>
      </c>
      <c r="Q338" s="147" t="s">
        <v>80</v>
      </c>
      <c r="R338" s="146">
        <v>70000000</v>
      </c>
      <c r="S338" s="148">
        <v>70000000</v>
      </c>
      <c r="T338" s="148">
        <v>578790</v>
      </c>
      <c r="U338" s="148">
        <v>70578790</v>
      </c>
      <c r="V338" s="148">
        <v>1297063</v>
      </c>
      <c r="W338" s="149">
        <v>71875853</v>
      </c>
      <c r="X338" s="150" t="s">
        <v>1168</v>
      </c>
    </row>
    <row r="339" spans="1:24" s="121" customFormat="1" ht="14.1" customHeight="1">
      <c r="A339" s="87"/>
      <c r="B339" s="137">
        <v>330</v>
      </c>
      <c r="C339" s="70"/>
      <c r="D339" s="138" t="s">
        <v>588</v>
      </c>
      <c r="E339" s="139" t="s">
        <v>152</v>
      </c>
      <c r="F339" s="140" t="s">
        <v>736</v>
      </c>
      <c r="G339" s="141" t="s">
        <v>352</v>
      </c>
      <c r="H339" s="142">
        <v>1</v>
      </c>
      <c r="I339" s="143">
        <v>4.3099999999999999E-2</v>
      </c>
      <c r="J339" s="143">
        <v>0.11310000000000001</v>
      </c>
      <c r="K339" s="144">
        <v>20140805</v>
      </c>
      <c r="L339" s="144">
        <v>20440805</v>
      </c>
      <c r="M339" s="144">
        <v>20151201</v>
      </c>
      <c r="N339" s="144">
        <v>20160202</v>
      </c>
      <c r="O339" s="145" t="s">
        <v>80</v>
      </c>
      <c r="P339" s="146">
        <v>28200000</v>
      </c>
      <c r="Q339" s="147" t="s">
        <v>80</v>
      </c>
      <c r="R339" s="146">
        <v>28199033</v>
      </c>
      <c r="S339" s="148">
        <v>28199033</v>
      </c>
      <c r="T339" s="148">
        <v>0</v>
      </c>
      <c r="U339" s="148">
        <v>28199033</v>
      </c>
      <c r="V339" s="148">
        <v>1052097</v>
      </c>
      <c r="W339" s="149">
        <v>29251130</v>
      </c>
      <c r="X339" s="150"/>
    </row>
    <row r="340" spans="1:24" s="121" customFormat="1" ht="14.1" customHeight="1">
      <c r="A340" s="87"/>
      <c r="B340" s="137">
        <v>331</v>
      </c>
      <c r="C340" s="70"/>
      <c r="D340" s="138" t="s">
        <v>588</v>
      </c>
      <c r="E340" s="139" t="s">
        <v>152</v>
      </c>
      <c r="F340" s="140" t="s">
        <v>736</v>
      </c>
      <c r="G340" s="141" t="s">
        <v>1000</v>
      </c>
      <c r="H340" s="142">
        <v>1</v>
      </c>
      <c r="I340" s="143">
        <v>4.0599999999999997E-2</v>
      </c>
      <c r="J340" s="143">
        <v>0.1106</v>
      </c>
      <c r="K340" s="144">
        <v>20140917</v>
      </c>
      <c r="L340" s="144">
        <v>20340917</v>
      </c>
      <c r="M340" s="144">
        <v>20151218</v>
      </c>
      <c r="N340" s="144">
        <v>20160218</v>
      </c>
      <c r="O340" s="145" t="s">
        <v>80</v>
      </c>
      <c r="P340" s="146">
        <v>39000000</v>
      </c>
      <c r="Q340" s="147" t="s">
        <v>80</v>
      </c>
      <c r="R340" s="146">
        <v>38997755</v>
      </c>
      <c r="S340" s="148">
        <v>38997755</v>
      </c>
      <c r="T340" s="148">
        <v>1995530</v>
      </c>
      <c r="U340" s="148">
        <v>40993285</v>
      </c>
      <c r="V340" s="148">
        <v>1199339</v>
      </c>
      <c r="W340" s="149">
        <v>42192624</v>
      </c>
      <c r="X340" s="150" t="s">
        <v>1168</v>
      </c>
    </row>
    <row r="341" spans="1:24" s="121" customFormat="1" ht="14.1" customHeight="1">
      <c r="A341" s="87"/>
      <c r="B341" s="137">
        <v>332</v>
      </c>
      <c r="C341" s="70"/>
      <c r="D341" s="138" t="s">
        <v>589</v>
      </c>
      <c r="E341" s="139" t="s">
        <v>130</v>
      </c>
      <c r="F341" s="140" t="s">
        <v>742</v>
      </c>
      <c r="G341" s="141" t="s">
        <v>982</v>
      </c>
      <c r="H341" s="142">
        <v>1</v>
      </c>
      <c r="I341" s="143">
        <v>2.7300000000000001E-2</v>
      </c>
      <c r="J341" s="143">
        <v>9.7299999999999998E-2</v>
      </c>
      <c r="K341" s="144">
        <v>20060907</v>
      </c>
      <c r="L341" s="144">
        <v>20360905</v>
      </c>
      <c r="M341" s="144">
        <v>20151106</v>
      </c>
      <c r="N341" s="144">
        <v>20151106</v>
      </c>
      <c r="O341" s="145" t="s">
        <v>80</v>
      </c>
      <c r="P341" s="146">
        <v>93000000</v>
      </c>
      <c r="Q341" s="147" t="s">
        <v>80</v>
      </c>
      <c r="R341" s="146">
        <v>69060529</v>
      </c>
      <c r="S341" s="148">
        <v>69060529</v>
      </c>
      <c r="T341" s="148">
        <v>0</v>
      </c>
      <c r="U341" s="148">
        <v>69060529</v>
      </c>
      <c r="V341" s="148">
        <v>875955</v>
      </c>
      <c r="W341" s="149">
        <v>69936484</v>
      </c>
      <c r="X341" s="150"/>
    </row>
    <row r="342" spans="1:24" s="121" customFormat="1" ht="14.1" customHeight="1">
      <c r="A342" s="87"/>
      <c r="B342" s="137">
        <v>333</v>
      </c>
      <c r="C342" s="70"/>
      <c r="D342" s="138" t="s">
        <v>590</v>
      </c>
      <c r="E342" s="139" t="s">
        <v>672</v>
      </c>
      <c r="F342" s="140" t="s">
        <v>741</v>
      </c>
      <c r="G342" s="141" t="s">
        <v>941</v>
      </c>
      <c r="H342" s="142">
        <v>1</v>
      </c>
      <c r="I342" s="143">
        <v>4.4000000000000004E-2</v>
      </c>
      <c r="J342" s="143">
        <v>0.114</v>
      </c>
      <c r="K342" s="144">
        <v>20130308</v>
      </c>
      <c r="L342" s="144">
        <v>20430308</v>
      </c>
      <c r="M342" s="144">
        <v>20160223</v>
      </c>
      <c r="N342" s="144">
        <v>20160223</v>
      </c>
      <c r="O342" s="145" t="s">
        <v>80</v>
      </c>
      <c r="P342" s="146">
        <v>66000000</v>
      </c>
      <c r="Q342" s="147" t="s">
        <v>80</v>
      </c>
      <c r="R342" s="146">
        <v>66000000</v>
      </c>
      <c r="S342" s="148">
        <v>66000000</v>
      </c>
      <c r="T342" s="148">
        <v>0</v>
      </c>
      <c r="U342" s="148">
        <v>66000000</v>
      </c>
      <c r="V342" s="148">
        <v>738262</v>
      </c>
      <c r="W342" s="149">
        <v>66738262</v>
      </c>
      <c r="X342" s="150"/>
    </row>
    <row r="343" spans="1:24" s="121" customFormat="1" ht="14.1" customHeight="1">
      <c r="A343" s="87"/>
      <c r="B343" s="137">
        <v>334</v>
      </c>
      <c r="C343" s="70"/>
      <c r="D343" s="138" t="s">
        <v>591</v>
      </c>
      <c r="E343" s="139" t="s">
        <v>675</v>
      </c>
      <c r="F343" s="140" t="s">
        <v>741</v>
      </c>
      <c r="G343" s="141" t="s">
        <v>1001</v>
      </c>
      <c r="H343" s="142">
        <v>1</v>
      </c>
      <c r="I343" s="143">
        <v>3.2099999999999997E-2</v>
      </c>
      <c r="J343" s="143">
        <v>0.10210000000000001</v>
      </c>
      <c r="K343" s="144">
        <v>20150511</v>
      </c>
      <c r="L343" s="144">
        <v>20450511</v>
      </c>
      <c r="M343" s="144">
        <v>20151112</v>
      </c>
      <c r="N343" s="144">
        <v>20160112</v>
      </c>
      <c r="O343" s="145" t="s">
        <v>80</v>
      </c>
      <c r="P343" s="146">
        <v>64000000</v>
      </c>
      <c r="Q343" s="147" t="s">
        <v>80</v>
      </c>
      <c r="R343" s="146">
        <v>63467517</v>
      </c>
      <c r="S343" s="148">
        <v>63467517</v>
      </c>
      <c r="T343" s="148">
        <v>1907450</v>
      </c>
      <c r="U343" s="148">
        <v>65374967</v>
      </c>
      <c r="V343" s="148">
        <v>1919113</v>
      </c>
      <c r="W343" s="149">
        <v>67294080</v>
      </c>
      <c r="X343" s="150" t="s">
        <v>1168</v>
      </c>
    </row>
    <row r="344" spans="1:24" s="121" customFormat="1" ht="14.1" customHeight="1">
      <c r="A344" s="87"/>
      <c r="B344" s="137">
        <v>335</v>
      </c>
      <c r="C344" s="70"/>
      <c r="D344" s="138" t="s">
        <v>592</v>
      </c>
      <c r="E344" s="139" t="s">
        <v>208</v>
      </c>
      <c r="F344" s="140" t="s">
        <v>686</v>
      </c>
      <c r="G344" s="141" t="s">
        <v>364</v>
      </c>
      <c r="H344" s="142">
        <v>1</v>
      </c>
      <c r="I344" s="143">
        <v>4.2500000000000003E-2</v>
      </c>
      <c r="J344" s="143">
        <v>0.1125</v>
      </c>
      <c r="K344" s="144">
        <v>20130220</v>
      </c>
      <c r="L344" s="144">
        <v>20430220</v>
      </c>
      <c r="M344" s="144">
        <v>20151222</v>
      </c>
      <c r="N344" s="144">
        <v>20160223</v>
      </c>
      <c r="O344" s="145" t="s">
        <v>80</v>
      </c>
      <c r="P344" s="146">
        <v>35000000</v>
      </c>
      <c r="Q344" s="147" t="s">
        <v>80</v>
      </c>
      <c r="R344" s="146">
        <v>35000000</v>
      </c>
      <c r="S344" s="148">
        <v>35000000</v>
      </c>
      <c r="T344" s="148">
        <v>0</v>
      </c>
      <c r="U344" s="148">
        <v>35000000</v>
      </c>
      <c r="V344" s="148">
        <v>1060688</v>
      </c>
      <c r="W344" s="149">
        <v>36060688</v>
      </c>
      <c r="X344" s="150"/>
    </row>
    <row r="345" spans="1:24" s="121" customFormat="1" ht="14.1" customHeight="1">
      <c r="A345" s="87"/>
      <c r="B345" s="137">
        <v>336</v>
      </c>
      <c r="C345" s="70"/>
      <c r="D345" s="138" t="s">
        <v>592</v>
      </c>
      <c r="E345" s="139" t="s">
        <v>208</v>
      </c>
      <c r="F345" s="140" t="s">
        <v>686</v>
      </c>
      <c r="G345" s="141" t="s">
        <v>1002</v>
      </c>
      <c r="H345" s="142">
        <v>1</v>
      </c>
      <c r="I345" s="143">
        <v>4.4000000000000004E-2</v>
      </c>
      <c r="J345" s="143">
        <v>0.114</v>
      </c>
      <c r="K345" s="144">
        <v>20130329</v>
      </c>
      <c r="L345" s="144">
        <v>20430329</v>
      </c>
      <c r="M345" s="144">
        <v>20151230</v>
      </c>
      <c r="N345" s="144">
        <v>20160301</v>
      </c>
      <c r="O345" s="145" t="s">
        <v>80</v>
      </c>
      <c r="P345" s="146">
        <v>10000000</v>
      </c>
      <c r="Q345" s="147" t="s">
        <v>80</v>
      </c>
      <c r="R345" s="146">
        <v>10000000</v>
      </c>
      <c r="S345" s="148">
        <v>10000000</v>
      </c>
      <c r="T345" s="148">
        <v>0</v>
      </c>
      <c r="U345" s="148">
        <v>10000000</v>
      </c>
      <c r="V345" s="148">
        <v>284843</v>
      </c>
      <c r="W345" s="149">
        <v>10284843</v>
      </c>
      <c r="X345" s="150"/>
    </row>
    <row r="346" spans="1:24" s="121" customFormat="1" ht="14.1" customHeight="1">
      <c r="A346" s="87"/>
      <c r="B346" s="137">
        <v>337</v>
      </c>
      <c r="C346" s="70"/>
      <c r="D346" s="138" t="s">
        <v>592</v>
      </c>
      <c r="E346" s="139" t="s">
        <v>208</v>
      </c>
      <c r="F346" s="140" t="s">
        <v>686</v>
      </c>
      <c r="G346" s="141" t="s">
        <v>318</v>
      </c>
      <c r="H346" s="142">
        <v>1</v>
      </c>
      <c r="I346" s="143">
        <v>4.2000000000000003E-2</v>
      </c>
      <c r="J346" s="143">
        <v>0.11199999999999999</v>
      </c>
      <c r="K346" s="144">
        <v>20130522</v>
      </c>
      <c r="L346" s="144">
        <v>20430522</v>
      </c>
      <c r="M346" s="144">
        <v>20151223</v>
      </c>
      <c r="N346" s="144">
        <v>20160223</v>
      </c>
      <c r="O346" s="145" t="s">
        <v>80</v>
      </c>
      <c r="P346" s="146">
        <v>10000000</v>
      </c>
      <c r="Q346" s="147" t="s">
        <v>80</v>
      </c>
      <c r="R346" s="146">
        <v>10000000</v>
      </c>
      <c r="S346" s="148">
        <v>10000000</v>
      </c>
      <c r="T346" s="148">
        <v>0</v>
      </c>
      <c r="U346" s="148">
        <v>10000000</v>
      </c>
      <c r="V346" s="148">
        <v>298511</v>
      </c>
      <c r="W346" s="149">
        <v>10298511</v>
      </c>
      <c r="X346" s="150"/>
    </row>
    <row r="347" spans="1:24" s="121" customFormat="1" ht="14.1" customHeight="1">
      <c r="A347" s="87"/>
      <c r="B347" s="137">
        <v>338</v>
      </c>
      <c r="C347" s="70"/>
      <c r="D347" s="138" t="s">
        <v>592</v>
      </c>
      <c r="E347" s="139" t="s">
        <v>208</v>
      </c>
      <c r="F347" s="140" t="s">
        <v>740</v>
      </c>
      <c r="G347" s="141" t="s">
        <v>336</v>
      </c>
      <c r="H347" s="142">
        <v>1</v>
      </c>
      <c r="I347" s="143">
        <v>4.2000000000000003E-2</v>
      </c>
      <c r="J347" s="143">
        <v>0.11199999999999999</v>
      </c>
      <c r="K347" s="144">
        <v>20130719</v>
      </c>
      <c r="L347" s="144">
        <v>20430719</v>
      </c>
      <c r="M347" s="144">
        <v>20151222</v>
      </c>
      <c r="N347" s="144">
        <v>20160223</v>
      </c>
      <c r="O347" s="145" t="s">
        <v>80</v>
      </c>
      <c r="P347" s="146">
        <v>10000000</v>
      </c>
      <c r="Q347" s="147" t="s">
        <v>80</v>
      </c>
      <c r="R347" s="146">
        <v>10000000</v>
      </c>
      <c r="S347" s="148">
        <v>10000000</v>
      </c>
      <c r="T347" s="148">
        <v>0</v>
      </c>
      <c r="U347" s="148">
        <v>10000000</v>
      </c>
      <c r="V347" s="148">
        <v>299684</v>
      </c>
      <c r="W347" s="149">
        <v>10299684</v>
      </c>
      <c r="X347" s="150"/>
    </row>
    <row r="348" spans="1:24" s="121" customFormat="1" ht="14.1" customHeight="1">
      <c r="A348" s="87"/>
      <c r="B348" s="137">
        <v>339</v>
      </c>
      <c r="C348" s="70"/>
      <c r="D348" s="138" t="s">
        <v>593</v>
      </c>
      <c r="E348" s="139" t="s">
        <v>175</v>
      </c>
      <c r="F348" s="140" t="s">
        <v>736</v>
      </c>
      <c r="G348" s="141" t="s">
        <v>766</v>
      </c>
      <c r="H348" s="142">
        <v>1</v>
      </c>
      <c r="I348" s="143">
        <v>3.9E-2</v>
      </c>
      <c r="J348" s="143">
        <v>0.109</v>
      </c>
      <c r="K348" s="144">
        <v>20130605</v>
      </c>
      <c r="L348" s="144">
        <v>20330605</v>
      </c>
      <c r="M348" s="144">
        <v>20160106</v>
      </c>
      <c r="N348" s="144">
        <v>20160106</v>
      </c>
      <c r="O348" s="145" t="s">
        <v>80</v>
      </c>
      <c r="P348" s="146">
        <v>26000000</v>
      </c>
      <c r="Q348" s="147" t="s">
        <v>80</v>
      </c>
      <c r="R348" s="146">
        <v>22749930</v>
      </c>
      <c r="S348" s="148">
        <v>22749930</v>
      </c>
      <c r="T348" s="148">
        <v>0</v>
      </c>
      <c r="U348" s="148">
        <v>22749930</v>
      </c>
      <c r="V348" s="148">
        <v>557567</v>
      </c>
      <c r="W348" s="149">
        <v>23307497</v>
      </c>
      <c r="X348" s="150"/>
    </row>
    <row r="349" spans="1:24" s="121" customFormat="1" ht="14.1" customHeight="1">
      <c r="A349" s="87"/>
      <c r="B349" s="137">
        <v>340</v>
      </c>
      <c r="C349" s="70"/>
      <c r="D349" s="138" t="s">
        <v>593</v>
      </c>
      <c r="E349" s="139" t="s">
        <v>175</v>
      </c>
      <c r="F349" s="140" t="s">
        <v>754</v>
      </c>
      <c r="G349" s="141" t="s">
        <v>989</v>
      </c>
      <c r="H349" s="142">
        <v>1</v>
      </c>
      <c r="I349" s="143">
        <v>2.6000000000000002E-2</v>
      </c>
      <c r="J349" s="143">
        <v>9.6000000000000002E-2</v>
      </c>
      <c r="K349" s="144">
        <v>20130605</v>
      </c>
      <c r="L349" s="144">
        <v>20330605</v>
      </c>
      <c r="M349" s="144">
        <v>20151231</v>
      </c>
      <c r="N349" s="144">
        <v>20160301</v>
      </c>
      <c r="O349" s="145" t="s">
        <v>80</v>
      </c>
      <c r="P349" s="146">
        <v>40000000</v>
      </c>
      <c r="Q349" s="147" t="s">
        <v>80</v>
      </c>
      <c r="R349" s="146">
        <v>40000000</v>
      </c>
      <c r="S349" s="148">
        <v>40000000</v>
      </c>
      <c r="T349" s="148">
        <v>1880841</v>
      </c>
      <c r="U349" s="148">
        <v>41880841</v>
      </c>
      <c r="V349" s="148">
        <v>837156</v>
      </c>
      <c r="W349" s="149">
        <v>42717997</v>
      </c>
      <c r="X349" s="150" t="s">
        <v>1168</v>
      </c>
    </row>
    <row r="350" spans="1:24" s="121" customFormat="1" ht="14.1" customHeight="1">
      <c r="A350" s="87"/>
      <c r="B350" s="137">
        <v>341</v>
      </c>
      <c r="C350" s="70"/>
      <c r="D350" s="138" t="s">
        <v>594</v>
      </c>
      <c r="E350" s="139" t="s">
        <v>173</v>
      </c>
      <c r="F350" s="140" t="s">
        <v>736</v>
      </c>
      <c r="G350" s="141" t="s">
        <v>1003</v>
      </c>
      <c r="H350" s="142">
        <v>1</v>
      </c>
      <c r="I350" s="143">
        <v>3.4099999999999998E-2</v>
      </c>
      <c r="J350" s="143">
        <v>9.4100000000000003E-2</v>
      </c>
      <c r="K350" s="144">
        <v>20150528</v>
      </c>
      <c r="L350" s="144">
        <v>20450528</v>
      </c>
      <c r="M350" s="144">
        <v>20160129</v>
      </c>
      <c r="N350" s="144">
        <v>20160129</v>
      </c>
      <c r="O350" s="145" t="s">
        <v>80</v>
      </c>
      <c r="P350" s="353">
        <v>65000000</v>
      </c>
      <c r="Q350" s="147" t="s">
        <v>80</v>
      </c>
      <c r="R350" s="146">
        <v>63640510</v>
      </c>
      <c r="S350" s="148">
        <v>63640510</v>
      </c>
      <c r="T350" s="148">
        <v>0</v>
      </c>
      <c r="U350" s="148">
        <v>63640510</v>
      </c>
      <c r="V350" s="148">
        <v>1043850</v>
      </c>
      <c r="W350" s="149">
        <v>64684360</v>
      </c>
      <c r="X350" s="150"/>
    </row>
    <row r="351" spans="1:24" s="121" customFormat="1" ht="14.1" customHeight="1">
      <c r="A351" s="87"/>
      <c r="B351" s="137">
        <v>342</v>
      </c>
      <c r="C351" s="70"/>
      <c r="D351" s="138" t="s">
        <v>595</v>
      </c>
      <c r="E351" s="139" t="s">
        <v>676</v>
      </c>
      <c r="F351" s="140" t="s">
        <v>722</v>
      </c>
      <c r="G351" s="141" t="s">
        <v>770</v>
      </c>
      <c r="H351" s="142">
        <v>1</v>
      </c>
      <c r="I351" s="143">
        <v>4.4500000000000005E-2</v>
      </c>
      <c r="J351" s="143">
        <v>0.11449999999999999</v>
      </c>
      <c r="K351" s="144">
        <v>20110209</v>
      </c>
      <c r="L351" s="144">
        <v>20160209</v>
      </c>
      <c r="M351" s="144">
        <v>20160212</v>
      </c>
      <c r="N351" s="144">
        <v>20160212</v>
      </c>
      <c r="O351" s="145" t="s">
        <v>80</v>
      </c>
      <c r="P351" s="146">
        <v>60000000</v>
      </c>
      <c r="Q351" s="147" t="s">
        <v>80</v>
      </c>
      <c r="R351" s="146">
        <v>60000000</v>
      </c>
      <c r="S351" s="148">
        <v>60000000</v>
      </c>
      <c r="T351" s="148">
        <v>1869310</v>
      </c>
      <c r="U351" s="148">
        <v>61869310</v>
      </c>
      <c r="V351" s="148">
        <v>1570933</v>
      </c>
      <c r="W351" s="149">
        <v>63440243</v>
      </c>
      <c r="X351" s="150" t="s">
        <v>1168</v>
      </c>
    </row>
    <row r="352" spans="1:24" s="121" customFormat="1" ht="14.1" customHeight="1">
      <c r="A352" s="87"/>
      <c r="B352" s="137">
        <v>343</v>
      </c>
      <c r="C352" s="70"/>
      <c r="D352" s="138" t="s">
        <v>596</v>
      </c>
      <c r="E352" s="139" t="s">
        <v>130</v>
      </c>
      <c r="F352" s="140" t="s">
        <v>740</v>
      </c>
      <c r="G352" s="141" t="s">
        <v>358</v>
      </c>
      <c r="H352" s="142">
        <v>1</v>
      </c>
      <c r="I352" s="143">
        <v>3.7499999999999999E-2</v>
      </c>
      <c r="J352" s="143">
        <v>0.1075</v>
      </c>
      <c r="K352" s="144">
        <v>20140603</v>
      </c>
      <c r="L352" s="144">
        <v>20440603</v>
      </c>
      <c r="M352" s="144">
        <v>20160105</v>
      </c>
      <c r="N352" s="144">
        <v>20160105</v>
      </c>
      <c r="O352" s="145" t="s">
        <v>80</v>
      </c>
      <c r="P352" s="146">
        <v>69000000</v>
      </c>
      <c r="Q352" s="147" t="s">
        <v>80</v>
      </c>
      <c r="R352" s="146">
        <v>60937902</v>
      </c>
      <c r="S352" s="148">
        <v>60937902</v>
      </c>
      <c r="T352" s="148">
        <v>0</v>
      </c>
      <c r="U352" s="148">
        <v>60937902</v>
      </c>
      <c r="V352" s="148">
        <v>1514160</v>
      </c>
      <c r="W352" s="149">
        <v>62452062</v>
      </c>
      <c r="X352" s="150"/>
    </row>
    <row r="353" spans="1:24" s="121" customFormat="1" ht="14.1" customHeight="1">
      <c r="A353" s="87"/>
      <c r="B353" s="137">
        <v>344</v>
      </c>
      <c r="C353" s="70"/>
      <c r="D353" s="138" t="s">
        <v>597</v>
      </c>
      <c r="E353" s="139" t="s">
        <v>208</v>
      </c>
      <c r="F353" s="140" t="s">
        <v>746</v>
      </c>
      <c r="G353" s="141" t="s">
        <v>858</v>
      </c>
      <c r="H353" s="142">
        <v>1</v>
      </c>
      <c r="I353" s="143">
        <v>3.2500000000000001E-2</v>
      </c>
      <c r="J353" s="143">
        <v>3.2500000000000001E-2</v>
      </c>
      <c r="K353" s="144">
        <v>20080530</v>
      </c>
      <c r="L353" s="144">
        <v>20280530</v>
      </c>
      <c r="M353" s="144">
        <v>20160301</v>
      </c>
      <c r="N353" s="144">
        <v>20160301</v>
      </c>
      <c r="O353" s="145" t="s">
        <v>80</v>
      </c>
      <c r="P353" s="146">
        <v>50000000</v>
      </c>
      <c r="Q353" s="147" t="s">
        <v>80</v>
      </c>
      <c r="R353" s="146">
        <v>36171983</v>
      </c>
      <c r="S353" s="148">
        <v>36171983</v>
      </c>
      <c r="T353" s="148">
        <v>0</v>
      </c>
      <c r="U353" s="148">
        <v>36171983</v>
      </c>
      <c r="V353" s="148">
        <v>160845</v>
      </c>
      <c r="W353" s="149">
        <v>36332828</v>
      </c>
      <c r="X353" s="150"/>
    </row>
    <row r="354" spans="1:24" s="121" customFormat="1" ht="14.1" customHeight="1">
      <c r="A354" s="87"/>
      <c r="B354" s="137">
        <v>345</v>
      </c>
      <c r="C354" s="70"/>
      <c r="D354" s="138" t="s">
        <v>597</v>
      </c>
      <c r="E354" s="139" t="s">
        <v>208</v>
      </c>
      <c r="F354" s="140" t="s">
        <v>732</v>
      </c>
      <c r="G354" s="141" t="s">
        <v>1004</v>
      </c>
      <c r="H354" s="142">
        <v>1</v>
      </c>
      <c r="I354" s="143">
        <v>5.3099999999999994E-2</v>
      </c>
      <c r="J354" s="143">
        <v>0.11310000000000001</v>
      </c>
      <c r="K354" s="144">
        <v>20091009</v>
      </c>
      <c r="L354" s="144">
        <v>20201009</v>
      </c>
      <c r="M354" s="144">
        <v>20160212</v>
      </c>
      <c r="N354" s="144">
        <v>20160212</v>
      </c>
      <c r="O354" s="145" t="s">
        <v>80</v>
      </c>
      <c r="P354" s="146">
        <v>30000000</v>
      </c>
      <c r="Q354" s="147" t="s">
        <v>80</v>
      </c>
      <c r="R354" s="146">
        <v>17509191</v>
      </c>
      <c r="S354" s="148">
        <v>17509191</v>
      </c>
      <c r="T354" s="148">
        <v>0</v>
      </c>
      <c r="U354" s="148">
        <v>17509191</v>
      </c>
      <c r="V354" s="148">
        <v>94714</v>
      </c>
      <c r="W354" s="149">
        <v>17603905</v>
      </c>
      <c r="X354" s="150"/>
    </row>
    <row r="355" spans="1:24" s="121" customFormat="1" ht="14.1" customHeight="1">
      <c r="A355" s="87"/>
      <c r="B355" s="137">
        <v>346</v>
      </c>
      <c r="C355" s="70"/>
      <c r="D355" s="138" t="s">
        <v>598</v>
      </c>
      <c r="E355" s="139" t="s">
        <v>676</v>
      </c>
      <c r="F355" s="140" t="s">
        <v>736</v>
      </c>
      <c r="G355" s="141" t="s">
        <v>1005</v>
      </c>
      <c r="H355" s="142">
        <v>1</v>
      </c>
      <c r="I355" s="143">
        <v>3.7100000000000001E-2</v>
      </c>
      <c r="J355" s="143">
        <v>0.11710000000000001</v>
      </c>
      <c r="K355" s="144">
        <v>20141107</v>
      </c>
      <c r="L355" s="144">
        <v>20441107</v>
      </c>
      <c r="M355" s="144">
        <v>20150908</v>
      </c>
      <c r="N355" s="144">
        <v>20150908</v>
      </c>
      <c r="O355" s="145" t="s">
        <v>80</v>
      </c>
      <c r="P355" s="146">
        <v>55000000</v>
      </c>
      <c r="Q355" s="147" t="s">
        <v>80</v>
      </c>
      <c r="R355" s="146">
        <v>53624727</v>
      </c>
      <c r="S355" s="148">
        <v>53624727</v>
      </c>
      <c r="T355" s="148">
        <v>0</v>
      </c>
      <c r="U355" s="148">
        <v>53624727</v>
      </c>
      <c r="V355" s="148">
        <v>3245398</v>
      </c>
      <c r="W355" s="149">
        <v>56870125</v>
      </c>
      <c r="X355" s="150"/>
    </row>
    <row r="356" spans="1:24" s="121" customFormat="1" ht="14.1" customHeight="1">
      <c r="A356" s="87"/>
      <c r="B356" s="137">
        <v>347</v>
      </c>
      <c r="C356" s="70"/>
      <c r="D356" s="138" t="s">
        <v>599</v>
      </c>
      <c r="E356" s="139" t="s">
        <v>677</v>
      </c>
      <c r="F356" s="140" t="s">
        <v>740</v>
      </c>
      <c r="G356" s="141" t="s">
        <v>366</v>
      </c>
      <c r="H356" s="142">
        <v>1</v>
      </c>
      <c r="I356" s="143">
        <v>4.4500000000000005E-2</v>
      </c>
      <c r="J356" s="143">
        <v>0.1245</v>
      </c>
      <c r="K356" s="144">
        <v>20121031</v>
      </c>
      <c r="L356" s="144">
        <v>20421031</v>
      </c>
      <c r="M356" s="144">
        <v>20151008</v>
      </c>
      <c r="N356" s="144">
        <v>20151008</v>
      </c>
      <c r="O356" s="145" t="s">
        <v>80</v>
      </c>
      <c r="P356" s="146">
        <v>45000000</v>
      </c>
      <c r="Q356" s="147" t="s">
        <v>80</v>
      </c>
      <c r="R356" s="146">
        <v>44999367</v>
      </c>
      <c r="S356" s="148">
        <v>44999367</v>
      </c>
      <c r="T356" s="148">
        <v>0</v>
      </c>
      <c r="U356" s="148">
        <v>44999367</v>
      </c>
      <c r="V356" s="148">
        <v>2995239</v>
      </c>
      <c r="W356" s="149">
        <v>47994606</v>
      </c>
      <c r="X356" s="150"/>
    </row>
    <row r="357" spans="1:24" s="121" customFormat="1" ht="14.1" customHeight="1">
      <c r="A357" s="87"/>
      <c r="B357" s="137">
        <v>348</v>
      </c>
      <c r="C357" s="70"/>
      <c r="D357" s="138" t="s">
        <v>599</v>
      </c>
      <c r="E357" s="139" t="s">
        <v>677</v>
      </c>
      <c r="F357" s="140" t="s">
        <v>328</v>
      </c>
      <c r="G357" s="141" t="s">
        <v>926</v>
      </c>
      <c r="H357" s="142">
        <v>1</v>
      </c>
      <c r="I357" s="143"/>
      <c r="J357" s="143"/>
      <c r="K357" s="144">
        <v>20121207</v>
      </c>
      <c r="L357" s="144">
        <v>20151204</v>
      </c>
      <c r="M357" s="144"/>
      <c r="N357" s="144"/>
      <c r="O357" s="145" t="s">
        <v>80</v>
      </c>
      <c r="P357" s="146">
        <v>0</v>
      </c>
      <c r="Q357" s="147" t="s">
        <v>80</v>
      </c>
      <c r="R357" s="146">
        <v>0</v>
      </c>
      <c r="S357" s="148">
        <v>0</v>
      </c>
      <c r="T357" s="148">
        <v>0</v>
      </c>
      <c r="U357" s="148">
        <v>0</v>
      </c>
      <c r="V357" s="148">
        <v>480549</v>
      </c>
      <c r="W357" s="149">
        <v>480549</v>
      </c>
      <c r="X357" s="150"/>
    </row>
    <row r="358" spans="1:24" s="121" customFormat="1" ht="14.1" customHeight="1">
      <c r="A358" s="87"/>
      <c r="B358" s="137">
        <v>349</v>
      </c>
      <c r="C358" s="70"/>
      <c r="D358" s="138" t="s">
        <v>599</v>
      </c>
      <c r="E358" s="139" t="s">
        <v>677</v>
      </c>
      <c r="F358" s="140" t="s">
        <v>354</v>
      </c>
      <c r="G358" s="141" t="s">
        <v>1006</v>
      </c>
      <c r="H358" s="142">
        <v>1</v>
      </c>
      <c r="I358" s="143">
        <v>7.5880000000000003E-2</v>
      </c>
      <c r="J358" s="143">
        <v>0.15</v>
      </c>
      <c r="K358" s="144">
        <v>20140915</v>
      </c>
      <c r="L358" s="144">
        <v>20160915</v>
      </c>
      <c r="M358" s="144">
        <v>20150916</v>
      </c>
      <c r="N358" s="144">
        <v>20150916</v>
      </c>
      <c r="O358" s="145" t="s">
        <v>80</v>
      </c>
      <c r="P358" s="146">
        <v>15000000</v>
      </c>
      <c r="Q358" s="147" t="s">
        <v>80</v>
      </c>
      <c r="R358" s="146">
        <v>8012234</v>
      </c>
      <c r="S358" s="148">
        <v>8012234</v>
      </c>
      <c r="T358" s="148">
        <v>0</v>
      </c>
      <c r="U358" s="148">
        <v>8012234</v>
      </c>
      <c r="V358" s="148">
        <v>701798</v>
      </c>
      <c r="W358" s="149">
        <v>8714032</v>
      </c>
      <c r="X358" s="150"/>
    </row>
    <row r="359" spans="1:24" s="121" customFormat="1" ht="14.1" customHeight="1">
      <c r="A359" s="87"/>
      <c r="B359" s="137">
        <v>350</v>
      </c>
      <c r="C359" s="70"/>
      <c r="D359" s="138" t="s">
        <v>600</v>
      </c>
      <c r="E359" s="139" t="s">
        <v>141</v>
      </c>
      <c r="F359" s="140" t="s">
        <v>732</v>
      </c>
      <c r="G359" s="141" t="s">
        <v>1007</v>
      </c>
      <c r="H359" s="142">
        <v>1</v>
      </c>
      <c r="I359" s="143">
        <v>3.1300000000000001E-2</v>
      </c>
      <c r="J359" s="143">
        <v>0.11130000000000001</v>
      </c>
      <c r="K359" s="144">
        <v>20060818</v>
      </c>
      <c r="L359" s="144">
        <v>20360818</v>
      </c>
      <c r="M359" s="144">
        <v>20151204</v>
      </c>
      <c r="N359" s="144">
        <v>20160113</v>
      </c>
      <c r="O359" s="145" t="s">
        <v>80</v>
      </c>
      <c r="P359" s="146">
        <v>60000000</v>
      </c>
      <c r="Q359" s="147" t="s">
        <v>80</v>
      </c>
      <c r="R359" s="146">
        <v>51537709</v>
      </c>
      <c r="S359" s="148">
        <v>51537709</v>
      </c>
      <c r="T359" s="148">
        <v>0</v>
      </c>
      <c r="U359" s="148">
        <v>51537709</v>
      </c>
      <c r="V359" s="148">
        <v>1795675</v>
      </c>
      <c r="W359" s="149">
        <v>53333384</v>
      </c>
      <c r="X359" s="150"/>
    </row>
    <row r="360" spans="1:24" s="121" customFormat="1" ht="14.1" customHeight="1">
      <c r="A360" s="87"/>
      <c r="B360" s="137">
        <v>351</v>
      </c>
      <c r="C360" s="70"/>
      <c r="D360" s="138" t="s">
        <v>601</v>
      </c>
      <c r="E360" s="139" t="s">
        <v>152</v>
      </c>
      <c r="F360" s="140" t="s">
        <v>727</v>
      </c>
      <c r="G360" s="141" t="s">
        <v>1008</v>
      </c>
      <c r="H360" s="142">
        <v>1</v>
      </c>
      <c r="I360" s="143">
        <v>3.7100000000000001E-2</v>
      </c>
      <c r="J360" s="143">
        <v>0.10710000000000001</v>
      </c>
      <c r="K360" s="144">
        <v>20141211</v>
      </c>
      <c r="L360" s="144">
        <v>20441211</v>
      </c>
      <c r="M360" s="144">
        <v>20160112</v>
      </c>
      <c r="N360" s="144">
        <v>20160312</v>
      </c>
      <c r="O360" s="145" t="s">
        <v>80</v>
      </c>
      <c r="P360" s="146">
        <v>51400000</v>
      </c>
      <c r="Q360" s="147" t="s">
        <v>80</v>
      </c>
      <c r="R360" s="146">
        <v>51400000</v>
      </c>
      <c r="S360" s="148">
        <v>51400000</v>
      </c>
      <c r="T360" s="148">
        <v>0</v>
      </c>
      <c r="U360" s="148">
        <v>51400000</v>
      </c>
      <c r="V360" s="148">
        <v>1145678</v>
      </c>
      <c r="W360" s="149">
        <v>52545678</v>
      </c>
      <c r="X360" s="150"/>
    </row>
    <row r="361" spans="1:24" s="121" customFormat="1" ht="14.1" customHeight="1">
      <c r="A361" s="87"/>
      <c r="B361" s="137">
        <v>352</v>
      </c>
      <c r="C361" s="70"/>
      <c r="D361" s="138" t="s">
        <v>602</v>
      </c>
      <c r="E361" s="139" t="s">
        <v>135</v>
      </c>
      <c r="F361" s="140" t="s">
        <v>740</v>
      </c>
      <c r="G361" s="141" t="s">
        <v>1009</v>
      </c>
      <c r="H361" s="142">
        <v>1</v>
      </c>
      <c r="I361" s="143">
        <v>3.5499999999999997E-2</v>
      </c>
      <c r="J361" s="143">
        <v>0.10550000000000001</v>
      </c>
      <c r="K361" s="144">
        <v>20141107</v>
      </c>
      <c r="L361" s="144">
        <v>20441107</v>
      </c>
      <c r="M361" s="144">
        <v>20151208</v>
      </c>
      <c r="N361" s="144">
        <v>20151208</v>
      </c>
      <c r="O361" s="145" t="s">
        <v>80</v>
      </c>
      <c r="P361" s="146">
        <v>50000000</v>
      </c>
      <c r="Q361" s="147" t="s">
        <v>80</v>
      </c>
      <c r="R361" s="146">
        <v>48333024</v>
      </c>
      <c r="S361" s="148">
        <v>48333024</v>
      </c>
      <c r="T361" s="148">
        <v>1621678</v>
      </c>
      <c r="U361" s="148">
        <v>49954702</v>
      </c>
      <c r="V361" s="148">
        <v>1481198</v>
      </c>
      <c r="W361" s="149">
        <v>51435900</v>
      </c>
      <c r="X361" s="150" t="s">
        <v>1168</v>
      </c>
    </row>
    <row r="362" spans="1:24" s="121" customFormat="1" ht="14.1" customHeight="1">
      <c r="A362" s="87"/>
      <c r="B362" s="137">
        <v>353</v>
      </c>
      <c r="C362" s="70"/>
      <c r="D362" s="138" t="s">
        <v>603</v>
      </c>
      <c r="E362" s="139" t="s">
        <v>678</v>
      </c>
      <c r="F362" s="140" t="s">
        <v>329</v>
      </c>
      <c r="G362" s="141" t="s">
        <v>1010</v>
      </c>
      <c r="H362" s="142">
        <v>0</v>
      </c>
      <c r="I362" s="143">
        <v>3.95E-2</v>
      </c>
      <c r="J362" s="143">
        <v>9.9564E-2</v>
      </c>
      <c r="K362" s="144">
        <v>20130201</v>
      </c>
      <c r="L362" s="144">
        <v>20160129</v>
      </c>
      <c r="M362" s="144">
        <v>20160130</v>
      </c>
      <c r="N362" s="144">
        <v>20160130</v>
      </c>
      <c r="O362" s="145" t="s">
        <v>80</v>
      </c>
      <c r="P362" s="146">
        <v>50000000</v>
      </c>
      <c r="Q362" s="147" t="s">
        <v>80</v>
      </c>
      <c r="R362" s="146">
        <v>50000000</v>
      </c>
      <c r="S362" s="148">
        <v>50000000</v>
      </c>
      <c r="T362" s="148">
        <v>0</v>
      </c>
      <c r="U362" s="148">
        <v>50000000</v>
      </c>
      <c r="V362" s="148">
        <v>1223138</v>
      </c>
      <c r="W362" s="149">
        <v>51223138</v>
      </c>
      <c r="X362" s="150"/>
    </row>
    <row r="363" spans="1:24" s="121" customFormat="1" ht="14.1" customHeight="1">
      <c r="A363" s="87"/>
      <c r="B363" s="137">
        <v>354</v>
      </c>
      <c r="C363" s="70"/>
      <c r="D363" s="138" t="s">
        <v>604</v>
      </c>
      <c r="E363" s="139" t="s">
        <v>679</v>
      </c>
      <c r="F363" s="140" t="s">
        <v>328</v>
      </c>
      <c r="G363" s="141" t="s">
        <v>1011</v>
      </c>
      <c r="H363" s="142">
        <v>1</v>
      </c>
      <c r="I363" s="143">
        <v>5.9699999999999996E-2</v>
      </c>
      <c r="J363" s="143">
        <v>0.13970000000000002</v>
      </c>
      <c r="K363" s="144">
        <v>20151020</v>
      </c>
      <c r="L363" s="144">
        <v>20160120</v>
      </c>
      <c r="M363" s="144">
        <v>20160105</v>
      </c>
      <c r="N363" s="144">
        <v>20160119</v>
      </c>
      <c r="O363" s="145" t="s">
        <v>80</v>
      </c>
      <c r="P363" s="146">
        <v>50000000</v>
      </c>
      <c r="Q363" s="147" t="s">
        <v>80</v>
      </c>
      <c r="R363" s="146">
        <v>50000000</v>
      </c>
      <c r="S363" s="148">
        <v>50000000</v>
      </c>
      <c r="T363" s="148">
        <v>0</v>
      </c>
      <c r="U363" s="148">
        <v>50000000</v>
      </c>
      <c r="V363" s="148">
        <v>2116018</v>
      </c>
      <c r="W363" s="149">
        <v>52116018</v>
      </c>
      <c r="X363" s="150"/>
    </row>
    <row r="364" spans="1:24" s="121" customFormat="1" ht="14.1" customHeight="1">
      <c r="A364" s="87"/>
      <c r="B364" s="137">
        <v>355</v>
      </c>
      <c r="C364" s="70"/>
      <c r="D364" s="138" t="s">
        <v>605</v>
      </c>
      <c r="E364" s="139" t="s">
        <v>109</v>
      </c>
      <c r="F364" s="140" t="s">
        <v>736</v>
      </c>
      <c r="G364" s="141" t="s">
        <v>1012</v>
      </c>
      <c r="H364" s="142">
        <v>1</v>
      </c>
      <c r="I364" s="143"/>
      <c r="J364" s="143">
        <v>0.1101</v>
      </c>
      <c r="K364" s="144">
        <v>20140710</v>
      </c>
      <c r="L364" s="144">
        <v>20440710</v>
      </c>
      <c r="M364" s="144">
        <v>20160223</v>
      </c>
      <c r="N364" s="144">
        <v>20160223</v>
      </c>
      <c r="O364" s="145" t="s">
        <v>80</v>
      </c>
      <c r="P364" s="146">
        <v>19900000</v>
      </c>
      <c r="Q364" s="147" t="s">
        <v>80</v>
      </c>
      <c r="R364" s="146">
        <v>19339526</v>
      </c>
      <c r="S364" s="148">
        <v>19339526</v>
      </c>
      <c r="T364" s="148">
        <v>0</v>
      </c>
      <c r="U364" s="148">
        <v>19339526</v>
      </c>
      <c r="V364" s="148">
        <v>389843</v>
      </c>
      <c r="W364" s="149">
        <v>19729369</v>
      </c>
      <c r="X364" s="150"/>
    </row>
    <row r="365" spans="1:24" s="121" customFormat="1" ht="14.1" customHeight="1">
      <c r="A365" s="87"/>
      <c r="B365" s="137">
        <v>356</v>
      </c>
      <c r="C365" s="70"/>
      <c r="D365" s="138" t="s">
        <v>605</v>
      </c>
      <c r="E365" s="139" t="s">
        <v>109</v>
      </c>
      <c r="F365" s="140" t="s">
        <v>736</v>
      </c>
      <c r="G365" s="141" t="s">
        <v>347</v>
      </c>
      <c r="H365" s="142">
        <v>1</v>
      </c>
      <c r="I365" s="143">
        <v>4.5100000000000001E-2</v>
      </c>
      <c r="J365" s="143">
        <v>0.12509999999999999</v>
      </c>
      <c r="K365" s="144">
        <v>20140818</v>
      </c>
      <c r="L365" s="144">
        <v>20340818</v>
      </c>
      <c r="M365" s="144">
        <v>20150919</v>
      </c>
      <c r="N365" s="144">
        <v>20151119</v>
      </c>
      <c r="O365" s="145" t="s">
        <v>80</v>
      </c>
      <c r="P365" s="146">
        <v>29000000</v>
      </c>
      <c r="Q365" s="147" t="s">
        <v>80</v>
      </c>
      <c r="R365" s="146">
        <v>28792821</v>
      </c>
      <c r="S365" s="148">
        <v>28792821</v>
      </c>
      <c r="T365" s="148">
        <v>1706250</v>
      </c>
      <c r="U365" s="148">
        <v>30499071</v>
      </c>
      <c r="V365" s="148">
        <v>1826737</v>
      </c>
      <c r="W365" s="149">
        <v>32325808</v>
      </c>
      <c r="X365" s="150" t="s">
        <v>1168</v>
      </c>
    </row>
    <row r="366" spans="1:24" s="121" customFormat="1" ht="14.1" customHeight="1">
      <c r="A366" s="87"/>
      <c r="B366" s="137">
        <v>357</v>
      </c>
      <c r="C366" s="70"/>
      <c r="D366" s="138" t="s">
        <v>606</v>
      </c>
      <c r="E366" s="139" t="s">
        <v>152</v>
      </c>
      <c r="F366" s="140" t="s">
        <v>736</v>
      </c>
      <c r="G366" s="141" t="s">
        <v>1013</v>
      </c>
      <c r="H366" s="142">
        <v>1</v>
      </c>
      <c r="I366" s="143">
        <v>4.0099999999999997E-2</v>
      </c>
      <c r="J366" s="143">
        <v>0.1201</v>
      </c>
      <c r="K366" s="144">
        <v>20140523</v>
      </c>
      <c r="L366" s="144">
        <v>20440523</v>
      </c>
      <c r="M366" s="144">
        <v>20151024</v>
      </c>
      <c r="N366" s="144">
        <v>20151024</v>
      </c>
      <c r="O366" s="145" t="s">
        <v>80</v>
      </c>
      <c r="P366" s="146">
        <v>48000000</v>
      </c>
      <c r="Q366" s="147" t="s">
        <v>80</v>
      </c>
      <c r="R366" s="146">
        <v>47143983</v>
      </c>
      <c r="S366" s="148">
        <v>47143983</v>
      </c>
      <c r="T366" s="148">
        <v>1632728</v>
      </c>
      <c r="U366" s="148">
        <v>48776711</v>
      </c>
      <c r="V366" s="148">
        <v>2123514</v>
      </c>
      <c r="W366" s="149">
        <v>50900225</v>
      </c>
      <c r="X366" s="150" t="s">
        <v>1168</v>
      </c>
    </row>
    <row r="367" spans="1:24" s="121" customFormat="1" ht="14.1" customHeight="1">
      <c r="A367" s="87"/>
      <c r="B367" s="137">
        <v>358</v>
      </c>
      <c r="C367" s="70"/>
      <c r="D367" s="138" t="s">
        <v>607</v>
      </c>
      <c r="E367" s="139" t="s">
        <v>208</v>
      </c>
      <c r="F367" s="140" t="s">
        <v>738</v>
      </c>
      <c r="G367" s="141" t="s">
        <v>1014</v>
      </c>
      <c r="H367" s="142">
        <v>1</v>
      </c>
      <c r="I367" s="143">
        <v>0.04</v>
      </c>
      <c r="J367" s="143">
        <v>0.12</v>
      </c>
      <c r="K367" s="144">
        <v>20120105</v>
      </c>
      <c r="L367" s="144">
        <v>20160703</v>
      </c>
      <c r="M367" s="144">
        <v>20150122</v>
      </c>
      <c r="N367" s="144">
        <v>20150122</v>
      </c>
      <c r="O367" s="145" t="s">
        <v>80</v>
      </c>
      <c r="P367" s="146">
        <v>48000000</v>
      </c>
      <c r="Q367" s="147" t="s">
        <v>80</v>
      </c>
      <c r="R367" s="146">
        <v>48000000</v>
      </c>
      <c r="S367" s="148">
        <v>48000000</v>
      </c>
      <c r="T367" s="148">
        <v>551990</v>
      </c>
      <c r="U367" s="148">
        <v>48551990</v>
      </c>
      <c r="V367" s="148">
        <v>2781801</v>
      </c>
      <c r="W367" s="149">
        <v>51333791</v>
      </c>
      <c r="X367" s="150" t="s">
        <v>1168</v>
      </c>
    </row>
    <row r="368" spans="1:24" s="121" customFormat="1" ht="14.1" customHeight="1">
      <c r="A368" s="87"/>
      <c r="B368" s="137">
        <v>359</v>
      </c>
      <c r="C368" s="70"/>
      <c r="D368" s="138" t="s">
        <v>608</v>
      </c>
      <c r="E368" s="139" t="s">
        <v>221</v>
      </c>
      <c r="F368" s="140" t="s">
        <v>751</v>
      </c>
      <c r="G368" s="141" t="s">
        <v>946</v>
      </c>
      <c r="H368" s="142">
        <v>1</v>
      </c>
      <c r="I368" s="143">
        <v>3.6499999999999998E-2</v>
      </c>
      <c r="J368" s="143">
        <v>0.1065</v>
      </c>
      <c r="K368" s="144">
        <v>20140217</v>
      </c>
      <c r="L368" s="144">
        <v>20440217</v>
      </c>
      <c r="M368" s="144">
        <v>20151218</v>
      </c>
      <c r="N368" s="144">
        <v>20160119</v>
      </c>
      <c r="O368" s="145" t="s">
        <v>80</v>
      </c>
      <c r="P368" s="146">
        <v>50000000</v>
      </c>
      <c r="Q368" s="147" t="s">
        <v>80</v>
      </c>
      <c r="R368" s="146">
        <v>48435345</v>
      </c>
      <c r="S368" s="148">
        <v>48435345</v>
      </c>
      <c r="T368" s="148">
        <v>0</v>
      </c>
      <c r="U368" s="148">
        <v>48435345</v>
      </c>
      <c r="V368" s="148">
        <v>1280998</v>
      </c>
      <c r="W368" s="149">
        <v>49716343</v>
      </c>
      <c r="X368" s="150"/>
    </row>
    <row r="369" spans="1:24" s="121" customFormat="1" ht="14.1" customHeight="1">
      <c r="A369" s="87"/>
      <c r="B369" s="137">
        <v>360</v>
      </c>
      <c r="C369" s="70"/>
      <c r="D369" s="138" t="s">
        <v>609</v>
      </c>
      <c r="E369" s="139" t="s">
        <v>183</v>
      </c>
      <c r="F369" s="140" t="s">
        <v>686</v>
      </c>
      <c r="G369" s="141" t="s">
        <v>823</v>
      </c>
      <c r="H369" s="142">
        <v>1</v>
      </c>
      <c r="I369" s="143">
        <v>3.9E-2</v>
      </c>
      <c r="J369" s="143">
        <v>0.11900000000000001</v>
      </c>
      <c r="K369" s="144">
        <v>20130524</v>
      </c>
      <c r="L369" s="144">
        <v>20430524</v>
      </c>
      <c r="M369" s="144">
        <v>20151125</v>
      </c>
      <c r="N369" s="144">
        <v>20151125</v>
      </c>
      <c r="O369" s="145" t="s">
        <v>80</v>
      </c>
      <c r="P369" s="146">
        <v>44000000</v>
      </c>
      <c r="Q369" s="147" t="s">
        <v>80</v>
      </c>
      <c r="R369" s="146">
        <v>40455482</v>
      </c>
      <c r="S369" s="148">
        <v>40455482</v>
      </c>
      <c r="T369" s="148">
        <v>0</v>
      </c>
      <c r="U369" s="148">
        <v>40455482</v>
      </c>
      <c r="V369" s="148">
        <v>1498419</v>
      </c>
      <c r="W369" s="149">
        <v>41953901</v>
      </c>
      <c r="X369" s="150"/>
    </row>
    <row r="370" spans="1:24" s="121" customFormat="1" ht="14.1" customHeight="1">
      <c r="A370" s="87"/>
      <c r="B370" s="137">
        <v>361</v>
      </c>
      <c r="C370" s="70"/>
      <c r="D370" s="138" t="s">
        <v>609</v>
      </c>
      <c r="E370" s="139" t="s">
        <v>183</v>
      </c>
      <c r="F370" s="140" t="s">
        <v>354</v>
      </c>
      <c r="G370" s="141" t="s">
        <v>1015</v>
      </c>
      <c r="H370" s="142">
        <v>1</v>
      </c>
      <c r="I370" s="143"/>
      <c r="J370" s="143"/>
      <c r="K370" s="144">
        <v>20140425</v>
      </c>
      <c r="L370" s="144">
        <v>20160425</v>
      </c>
      <c r="M370" s="144">
        <v>0</v>
      </c>
      <c r="N370" s="144">
        <v>0</v>
      </c>
      <c r="O370" s="145" t="s">
        <v>80</v>
      </c>
      <c r="P370" s="146">
        <v>0</v>
      </c>
      <c r="Q370" s="147" t="s">
        <v>80</v>
      </c>
      <c r="R370" s="146">
        <v>0</v>
      </c>
      <c r="S370" s="148">
        <v>0</v>
      </c>
      <c r="T370" s="148">
        <v>0</v>
      </c>
      <c r="U370" s="148">
        <v>0</v>
      </c>
      <c r="V370" s="148">
        <v>32080</v>
      </c>
      <c r="W370" s="149">
        <v>32080</v>
      </c>
      <c r="X370" s="150"/>
    </row>
    <row r="371" spans="1:24" s="121" customFormat="1" ht="14.1" customHeight="1">
      <c r="A371" s="87"/>
      <c r="B371" s="137">
        <v>362</v>
      </c>
      <c r="C371" s="70"/>
      <c r="D371" s="138" t="s">
        <v>609</v>
      </c>
      <c r="E371" s="139" t="s">
        <v>183</v>
      </c>
      <c r="F371" s="140" t="s">
        <v>755</v>
      </c>
      <c r="G371" s="141" t="s">
        <v>1016</v>
      </c>
      <c r="H371" s="142">
        <v>1</v>
      </c>
      <c r="I371" s="143">
        <v>6.0599999999999994E-2</v>
      </c>
      <c r="J371" s="143">
        <v>0.13059999999999999</v>
      </c>
      <c r="K371" s="144">
        <v>20150428</v>
      </c>
      <c r="L371" s="144">
        <v>20180428</v>
      </c>
      <c r="M371" s="144">
        <v>20151201</v>
      </c>
      <c r="N371" s="144">
        <v>20151201</v>
      </c>
      <c r="O371" s="145" t="s">
        <v>80</v>
      </c>
      <c r="P371" s="146">
        <v>8600000</v>
      </c>
      <c r="Q371" s="147" t="s">
        <v>80</v>
      </c>
      <c r="R371" s="146">
        <v>7166640</v>
      </c>
      <c r="S371" s="148">
        <v>7166640</v>
      </c>
      <c r="T371" s="148">
        <v>0</v>
      </c>
      <c r="U371" s="148">
        <v>7166640</v>
      </c>
      <c r="V371" s="148">
        <v>340617</v>
      </c>
      <c r="W371" s="149">
        <v>7507257</v>
      </c>
      <c r="X371" s="150"/>
    </row>
    <row r="372" spans="1:24" s="121" customFormat="1" ht="14.1" customHeight="1">
      <c r="A372" s="87"/>
      <c r="B372" s="137">
        <v>363</v>
      </c>
      <c r="C372" s="70"/>
      <c r="D372" s="138" t="s">
        <v>610</v>
      </c>
      <c r="E372" s="139" t="s">
        <v>109</v>
      </c>
      <c r="F372" s="140" t="s">
        <v>738</v>
      </c>
      <c r="G372" s="141" t="s">
        <v>862</v>
      </c>
      <c r="H372" s="142">
        <v>1</v>
      </c>
      <c r="I372" s="143">
        <v>5.4000000000000006E-2</v>
      </c>
      <c r="J372" s="143">
        <v>0.13400000000000001</v>
      </c>
      <c r="K372" s="144">
        <v>20100407</v>
      </c>
      <c r="L372" s="144">
        <v>20160111</v>
      </c>
      <c r="M372" s="144">
        <v>20160108</v>
      </c>
      <c r="N372" s="144">
        <v>20160112</v>
      </c>
      <c r="O372" s="145" t="s">
        <v>80</v>
      </c>
      <c r="P372" s="146">
        <v>45000000</v>
      </c>
      <c r="Q372" s="147" t="s">
        <v>80</v>
      </c>
      <c r="R372" s="146">
        <v>45000000</v>
      </c>
      <c r="S372" s="148">
        <v>45000000</v>
      </c>
      <c r="T372" s="148">
        <v>1720880</v>
      </c>
      <c r="U372" s="148">
        <v>46720880</v>
      </c>
      <c r="V372" s="148">
        <v>1302048</v>
      </c>
      <c r="W372" s="149">
        <v>48022928</v>
      </c>
      <c r="X372" s="150" t="s">
        <v>1168</v>
      </c>
    </row>
    <row r="373" spans="1:24" s="121" customFormat="1" ht="14.1" customHeight="1">
      <c r="A373" s="87"/>
      <c r="B373" s="137">
        <v>364</v>
      </c>
      <c r="C373" s="70"/>
      <c r="D373" s="138" t="s">
        <v>611</v>
      </c>
      <c r="E373" s="139" t="s">
        <v>135</v>
      </c>
      <c r="F373" s="140" t="s">
        <v>331</v>
      </c>
      <c r="G373" s="141" t="s">
        <v>1017</v>
      </c>
      <c r="H373" s="142">
        <v>1</v>
      </c>
      <c r="I373" s="143">
        <v>5.7000000000000002E-2</v>
      </c>
      <c r="J373" s="143">
        <v>0.127</v>
      </c>
      <c r="K373" s="144">
        <v>20120829</v>
      </c>
      <c r="L373" s="144">
        <v>20160129</v>
      </c>
      <c r="M373" s="144">
        <v>20160130</v>
      </c>
      <c r="N373" s="144">
        <v>20160130</v>
      </c>
      <c r="O373" s="145" t="s">
        <v>80</v>
      </c>
      <c r="P373" s="146">
        <v>45000000</v>
      </c>
      <c r="Q373" s="147" t="s">
        <v>80</v>
      </c>
      <c r="R373" s="146">
        <v>44948712</v>
      </c>
      <c r="S373" s="148">
        <v>44948712</v>
      </c>
      <c r="T373" s="148">
        <v>0</v>
      </c>
      <c r="U373" s="148">
        <v>44948712</v>
      </c>
      <c r="V373" s="148">
        <v>1357129</v>
      </c>
      <c r="W373" s="149">
        <v>46305841</v>
      </c>
      <c r="X373" s="150"/>
    </row>
    <row r="374" spans="1:24" s="121" customFormat="1" ht="14.1" customHeight="1">
      <c r="A374" s="87"/>
      <c r="B374" s="137">
        <v>365</v>
      </c>
      <c r="C374" s="70"/>
      <c r="D374" s="138" t="s">
        <v>612</v>
      </c>
      <c r="E374" s="139" t="s">
        <v>646</v>
      </c>
      <c r="F374" s="140" t="s">
        <v>727</v>
      </c>
      <c r="G374" s="141" t="s">
        <v>1018</v>
      </c>
      <c r="H374" s="142">
        <v>1</v>
      </c>
      <c r="I374" s="143">
        <v>2.8199999999999999E-2</v>
      </c>
      <c r="J374" s="143">
        <v>0.1082</v>
      </c>
      <c r="K374" s="144">
        <v>20140409</v>
      </c>
      <c r="L374" s="144">
        <v>20440409</v>
      </c>
      <c r="M374" s="144">
        <v>20151013</v>
      </c>
      <c r="N374" s="144">
        <v>20151215</v>
      </c>
      <c r="O374" s="145" t="s">
        <v>80</v>
      </c>
      <c r="P374" s="146">
        <v>40200000</v>
      </c>
      <c r="Q374" s="147" t="s">
        <v>80</v>
      </c>
      <c r="R374" s="146">
        <v>40200000</v>
      </c>
      <c r="S374" s="148">
        <v>40200000</v>
      </c>
      <c r="T374" s="148">
        <v>1556650</v>
      </c>
      <c r="U374" s="148">
        <v>41756650</v>
      </c>
      <c r="V374" s="148">
        <v>1836718</v>
      </c>
      <c r="W374" s="149">
        <v>43593368</v>
      </c>
      <c r="X374" s="150" t="s">
        <v>1168</v>
      </c>
    </row>
    <row r="375" spans="1:24" s="121" customFormat="1" ht="14.1" customHeight="1">
      <c r="A375" s="87"/>
      <c r="B375" s="137">
        <v>366</v>
      </c>
      <c r="C375" s="70"/>
      <c r="D375" s="138" t="s">
        <v>613</v>
      </c>
      <c r="E375" s="139" t="s">
        <v>109</v>
      </c>
      <c r="F375" s="140" t="s">
        <v>343</v>
      </c>
      <c r="G375" s="141" t="s">
        <v>364</v>
      </c>
      <c r="H375" s="142">
        <v>1</v>
      </c>
      <c r="I375" s="143">
        <v>3.9100000000000003E-2</v>
      </c>
      <c r="J375" s="143">
        <v>0.1191</v>
      </c>
      <c r="K375" s="144">
        <v>20141127</v>
      </c>
      <c r="L375" s="144">
        <v>20441127</v>
      </c>
      <c r="M375" s="144">
        <v>20150901</v>
      </c>
      <c r="N375" s="144">
        <v>20151103</v>
      </c>
      <c r="O375" s="145" t="s">
        <v>80</v>
      </c>
      <c r="P375" s="146">
        <v>39000000</v>
      </c>
      <c r="Q375" s="147" t="s">
        <v>80</v>
      </c>
      <c r="R375" s="146">
        <v>39000000</v>
      </c>
      <c r="S375" s="148">
        <v>39000000</v>
      </c>
      <c r="T375" s="148">
        <v>1534240</v>
      </c>
      <c r="U375" s="148">
        <v>40534240</v>
      </c>
      <c r="V375" s="148">
        <v>2524956</v>
      </c>
      <c r="W375" s="149">
        <v>43059196</v>
      </c>
      <c r="X375" s="150" t="s">
        <v>1168</v>
      </c>
    </row>
    <row r="376" spans="1:24" s="121" customFormat="1" ht="14.1" customHeight="1">
      <c r="A376" s="87"/>
      <c r="B376" s="137">
        <v>367</v>
      </c>
      <c r="C376" s="70"/>
      <c r="D376" s="138" t="s">
        <v>614</v>
      </c>
      <c r="E376" s="139" t="s">
        <v>152</v>
      </c>
      <c r="F376" s="140" t="s">
        <v>722</v>
      </c>
      <c r="G376" s="141" t="s">
        <v>365</v>
      </c>
      <c r="H376" s="142">
        <v>1</v>
      </c>
      <c r="I376" s="143">
        <v>4.8499999999999995E-2</v>
      </c>
      <c r="J376" s="143">
        <v>0.1285</v>
      </c>
      <c r="K376" s="144">
        <v>20070314</v>
      </c>
      <c r="L376" s="144">
        <v>20151031</v>
      </c>
      <c r="M376" s="144">
        <v>20151103</v>
      </c>
      <c r="N376" s="144">
        <v>20151103</v>
      </c>
      <c r="O376" s="145" t="s">
        <v>80</v>
      </c>
      <c r="P376" s="146">
        <v>180000000</v>
      </c>
      <c r="Q376" s="147" t="s">
        <v>80</v>
      </c>
      <c r="R376" s="146">
        <v>39890000</v>
      </c>
      <c r="S376" s="148">
        <v>39890000</v>
      </c>
      <c r="T376" s="148">
        <v>0</v>
      </c>
      <c r="U376" s="148">
        <v>39890000</v>
      </c>
      <c r="V376" s="148">
        <v>2464759</v>
      </c>
      <c r="W376" s="149">
        <v>42354759</v>
      </c>
      <c r="X376" s="150"/>
    </row>
    <row r="377" spans="1:24" s="121" customFormat="1" ht="14.1" customHeight="1">
      <c r="A377" s="87"/>
      <c r="B377" s="137">
        <v>368</v>
      </c>
      <c r="C377" s="70"/>
      <c r="D377" s="138" t="s">
        <v>615</v>
      </c>
      <c r="E377" s="139" t="s">
        <v>168</v>
      </c>
      <c r="F377" s="140" t="s">
        <v>736</v>
      </c>
      <c r="G377" s="141" t="s">
        <v>1019</v>
      </c>
      <c r="H377" s="142">
        <v>1</v>
      </c>
      <c r="I377" s="143">
        <v>4.3099999999999999E-2</v>
      </c>
      <c r="J377" s="143">
        <v>0.11310000000000001</v>
      </c>
      <c r="K377" s="144">
        <v>20140814</v>
      </c>
      <c r="L377" s="144">
        <v>20340814</v>
      </c>
      <c r="M377" s="144">
        <v>20151215</v>
      </c>
      <c r="N377" s="144">
        <v>20160216</v>
      </c>
      <c r="O377" s="145" t="s">
        <v>80</v>
      </c>
      <c r="P377" s="146">
        <v>37000000</v>
      </c>
      <c r="Q377" s="147" t="s">
        <v>80</v>
      </c>
      <c r="R377" s="146">
        <v>37000000</v>
      </c>
      <c r="S377" s="148">
        <v>37000000</v>
      </c>
      <c r="T377" s="148">
        <v>1463133</v>
      </c>
      <c r="U377" s="148">
        <v>38463133</v>
      </c>
      <c r="V377" s="148">
        <v>1206799</v>
      </c>
      <c r="W377" s="149">
        <v>39669932</v>
      </c>
      <c r="X377" s="150" t="s">
        <v>1168</v>
      </c>
    </row>
    <row r="378" spans="1:24" s="121" customFormat="1" ht="14.1" customHeight="1">
      <c r="A378" s="87"/>
      <c r="B378" s="137">
        <v>369</v>
      </c>
      <c r="C378" s="70"/>
      <c r="D378" s="138" t="s">
        <v>616</v>
      </c>
      <c r="E378" s="139" t="s">
        <v>168</v>
      </c>
      <c r="F378" s="140" t="s">
        <v>736</v>
      </c>
      <c r="G378" s="141" t="s">
        <v>1020</v>
      </c>
      <c r="H378" s="142">
        <v>1</v>
      </c>
      <c r="I378" s="143">
        <v>3.4099999999999998E-2</v>
      </c>
      <c r="J378" s="143">
        <v>0.1041</v>
      </c>
      <c r="K378" s="144">
        <v>20141222</v>
      </c>
      <c r="L378" s="144">
        <v>20441222</v>
      </c>
      <c r="M378" s="144">
        <v>20151223</v>
      </c>
      <c r="N378" s="144">
        <v>20160223</v>
      </c>
      <c r="O378" s="145" t="s">
        <v>80</v>
      </c>
      <c r="P378" s="146">
        <v>39000000</v>
      </c>
      <c r="Q378" s="147" t="s">
        <v>80</v>
      </c>
      <c r="R378" s="146">
        <v>38304329</v>
      </c>
      <c r="S378" s="148">
        <v>38304329</v>
      </c>
      <c r="T378" s="148">
        <v>1459304</v>
      </c>
      <c r="U378" s="148">
        <v>39763633</v>
      </c>
      <c r="V378" s="148">
        <v>987334</v>
      </c>
      <c r="W378" s="149">
        <v>40750967</v>
      </c>
      <c r="X378" s="150" t="s">
        <v>1168</v>
      </c>
    </row>
    <row r="379" spans="1:24" s="121" customFormat="1" ht="14.1" customHeight="1">
      <c r="A379" s="87"/>
      <c r="B379" s="137">
        <v>370</v>
      </c>
      <c r="C379" s="70"/>
      <c r="D379" s="138" t="s">
        <v>617</v>
      </c>
      <c r="E379" s="139" t="s">
        <v>152</v>
      </c>
      <c r="F379" s="140" t="s">
        <v>743</v>
      </c>
      <c r="G379" s="141" t="s">
        <v>1021</v>
      </c>
      <c r="H379" s="142">
        <v>1</v>
      </c>
      <c r="I379" s="143">
        <v>3.6499999999999998E-2</v>
      </c>
      <c r="J379" s="143">
        <v>9.6500000000000002E-2</v>
      </c>
      <c r="K379" s="144">
        <v>20140901</v>
      </c>
      <c r="L379" s="144">
        <v>20240901</v>
      </c>
      <c r="M379" s="144">
        <v>20160202</v>
      </c>
      <c r="N379" s="144">
        <v>20160402</v>
      </c>
      <c r="O379" s="145" t="s">
        <v>80</v>
      </c>
      <c r="P379" s="146">
        <v>38000000</v>
      </c>
      <c r="Q379" s="147" t="s">
        <v>80</v>
      </c>
      <c r="R379" s="146">
        <v>37998855</v>
      </c>
      <c r="S379" s="148">
        <v>37998855</v>
      </c>
      <c r="T379" s="148">
        <v>0</v>
      </c>
      <c r="U379" s="148">
        <v>37998855</v>
      </c>
      <c r="V379" s="148">
        <v>606253</v>
      </c>
      <c r="W379" s="149">
        <v>38605108</v>
      </c>
      <c r="X379" s="150"/>
    </row>
    <row r="380" spans="1:24" s="121" customFormat="1" ht="14.1" customHeight="1">
      <c r="A380" s="87"/>
      <c r="B380" s="137">
        <v>371</v>
      </c>
      <c r="C380" s="70"/>
      <c r="D380" s="138" t="s">
        <v>618</v>
      </c>
      <c r="E380" s="139" t="s">
        <v>92</v>
      </c>
      <c r="F380" s="140" t="s">
        <v>736</v>
      </c>
      <c r="G380" s="141" t="s">
        <v>1022</v>
      </c>
      <c r="H380" s="142">
        <v>1</v>
      </c>
      <c r="I380" s="143">
        <v>3.61E-2</v>
      </c>
      <c r="J380" s="143">
        <v>0.1061</v>
      </c>
      <c r="K380" s="144">
        <v>20141211</v>
      </c>
      <c r="L380" s="144">
        <v>20441211</v>
      </c>
      <c r="M380" s="144">
        <v>20160212</v>
      </c>
      <c r="N380" s="144">
        <v>20160212</v>
      </c>
      <c r="O380" s="145" t="s">
        <v>80</v>
      </c>
      <c r="P380" s="146">
        <v>39000000</v>
      </c>
      <c r="Q380" s="147" t="s">
        <v>80</v>
      </c>
      <c r="R380" s="146">
        <v>37591551</v>
      </c>
      <c r="S380" s="148">
        <v>37591551</v>
      </c>
      <c r="T380" s="148">
        <v>0</v>
      </c>
      <c r="U380" s="148">
        <v>37591551</v>
      </c>
      <c r="V380" s="148">
        <v>714018</v>
      </c>
      <c r="W380" s="149">
        <v>38305569</v>
      </c>
      <c r="X380" s="150"/>
    </row>
    <row r="381" spans="1:24" s="121" customFormat="1" ht="14.1" customHeight="1">
      <c r="A381" s="87"/>
      <c r="B381" s="137">
        <v>372</v>
      </c>
      <c r="C381" s="70"/>
      <c r="D381" s="138" t="s">
        <v>619</v>
      </c>
      <c r="E381" s="139" t="s">
        <v>109</v>
      </c>
      <c r="F381" s="140" t="s">
        <v>727</v>
      </c>
      <c r="G381" s="141" t="s">
        <v>1023</v>
      </c>
      <c r="H381" s="142">
        <v>1</v>
      </c>
      <c r="I381" s="143">
        <v>4.4900000000000002E-2</v>
      </c>
      <c r="J381" s="143">
        <v>0.1149</v>
      </c>
      <c r="K381" s="144">
        <v>20090629</v>
      </c>
      <c r="L381" s="144">
        <v>20290629</v>
      </c>
      <c r="M381" s="144">
        <v>20151201</v>
      </c>
      <c r="N381" s="144">
        <v>20160202</v>
      </c>
      <c r="O381" s="145" t="s">
        <v>80</v>
      </c>
      <c r="P381" s="146">
        <v>87000000</v>
      </c>
      <c r="Q381" s="147" t="s">
        <v>80</v>
      </c>
      <c r="R381" s="146">
        <v>37000000</v>
      </c>
      <c r="S381" s="148">
        <v>37000000</v>
      </c>
      <c r="T381" s="148">
        <v>0</v>
      </c>
      <c r="U381" s="148">
        <v>37000000</v>
      </c>
      <c r="V381" s="148">
        <v>1373945</v>
      </c>
      <c r="W381" s="149">
        <v>38373945</v>
      </c>
      <c r="X381" s="150"/>
    </row>
    <row r="382" spans="1:24" s="121" customFormat="1" ht="14.1" customHeight="1">
      <c r="A382" s="87"/>
      <c r="B382" s="137">
        <v>373</v>
      </c>
      <c r="C382" s="70"/>
      <c r="D382" s="138" t="s">
        <v>620</v>
      </c>
      <c r="E382" s="139" t="s">
        <v>661</v>
      </c>
      <c r="F382" s="140" t="s">
        <v>736</v>
      </c>
      <c r="G382" s="141" t="s">
        <v>1024</v>
      </c>
      <c r="H382" s="142">
        <v>1</v>
      </c>
      <c r="I382" s="143">
        <v>4.3099999999999999E-2</v>
      </c>
      <c r="J382" s="143">
        <v>0.1231</v>
      </c>
      <c r="K382" s="144">
        <v>20140729</v>
      </c>
      <c r="L382" s="144">
        <v>20440729</v>
      </c>
      <c r="M382" s="144">
        <v>20151001</v>
      </c>
      <c r="N382" s="144">
        <v>20151201</v>
      </c>
      <c r="O382" s="145" t="s">
        <v>80</v>
      </c>
      <c r="P382" s="146">
        <v>34800000</v>
      </c>
      <c r="Q382" s="147" t="s">
        <v>80</v>
      </c>
      <c r="R382" s="146">
        <v>34799168</v>
      </c>
      <c r="S382" s="148">
        <v>34799168</v>
      </c>
      <c r="T382" s="148">
        <v>1458690</v>
      </c>
      <c r="U382" s="148">
        <v>36257858</v>
      </c>
      <c r="V382" s="148">
        <v>2016639</v>
      </c>
      <c r="W382" s="149">
        <v>38274497</v>
      </c>
      <c r="X382" s="150" t="s">
        <v>1168</v>
      </c>
    </row>
    <row r="383" spans="1:24" s="121" customFormat="1" ht="14.1" customHeight="1">
      <c r="A383" s="87"/>
      <c r="B383" s="137">
        <v>374</v>
      </c>
      <c r="C383" s="70"/>
      <c r="D383" s="138" t="s">
        <v>621</v>
      </c>
      <c r="E383" s="139" t="s">
        <v>680</v>
      </c>
      <c r="F383" s="140" t="s">
        <v>756</v>
      </c>
      <c r="G383" s="141" t="s">
        <v>937</v>
      </c>
      <c r="H383" s="142">
        <v>1</v>
      </c>
      <c r="I383" s="143">
        <v>0.12</v>
      </c>
      <c r="J383" s="143">
        <v>0.15</v>
      </c>
      <c r="K383" s="144">
        <v>20120502</v>
      </c>
      <c r="L383" s="144">
        <v>20150803</v>
      </c>
      <c r="M383" s="144">
        <v>20150707</v>
      </c>
      <c r="N383" s="144">
        <v>20150721</v>
      </c>
      <c r="O383" s="145" t="s">
        <v>80</v>
      </c>
      <c r="P383" s="146">
        <v>40000000</v>
      </c>
      <c r="Q383" s="147" t="s">
        <v>80</v>
      </c>
      <c r="R383" s="146">
        <v>34665328</v>
      </c>
      <c r="S383" s="148">
        <v>34665328</v>
      </c>
      <c r="T383" s="148">
        <v>0</v>
      </c>
      <c r="U383" s="148">
        <v>34665328</v>
      </c>
      <c r="V383" s="148">
        <v>4247400</v>
      </c>
      <c r="W383" s="149">
        <v>38912728</v>
      </c>
      <c r="X383" s="150"/>
    </row>
    <row r="384" spans="1:24" s="121" customFormat="1" ht="14.1" customHeight="1">
      <c r="A384" s="87"/>
      <c r="B384" s="137">
        <v>375</v>
      </c>
      <c r="C384" s="70"/>
      <c r="D384" s="138" t="s">
        <v>622</v>
      </c>
      <c r="E384" s="139" t="s">
        <v>141</v>
      </c>
      <c r="F384" s="140" t="s">
        <v>736</v>
      </c>
      <c r="G384" s="141" t="s">
        <v>1025</v>
      </c>
      <c r="H384" s="142">
        <v>1</v>
      </c>
      <c r="I384" s="143">
        <v>3.7599999999999995E-2</v>
      </c>
      <c r="J384" s="143">
        <v>0.1176</v>
      </c>
      <c r="K384" s="144">
        <v>20140828</v>
      </c>
      <c r="L384" s="144">
        <v>20440828</v>
      </c>
      <c r="M384" s="144">
        <v>20151001</v>
      </c>
      <c r="N384" s="144">
        <v>20151001</v>
      </c>
      <c r="O384" s="145" t="s">
        <v>80</v>
      </c>
      <c r="P384" s="146">
        <v>32500000</v>
      </c>
      <c r="Q384" s="147" t="s">
        <v>80</v>
      </c>
      <c r="R384" s="146">
        <v>32064941</v>
      </c>
      <c r="S384" s="148">
        <v>32064941</v>
      </c>
      <c r="T384" s="148">
        <v>1476150</v>
      </c>
      <c r="U384" s="148">
        <v>33541091</v>
      </c>
      <c r="V384" s="148">
        <v>1744308</v>
      </c>
      <c r="W384" s="149">
        <v>35285399</v>
      </c>
      <c r="X384" s="150" t="s">
        <v>1168</v>
      </c>
    </row>
    <row r="385" spans="1:24" s="121" customFormat="1" ht="14.1" customHeight="1">
      <c r="A385" s="87"/>
      <c r="B385" s="137">
        <v>376</v>
      </c>
      <c r="C385" s="70"/>
      <c r="D385" s="138" t="s">
        <v>623</v>
      </c>
      <c r="E385" s="139" t="s">
        <v>141</v>
      </c>
      <c r="F385" s="140" t="s">
        <v>732</v>
      </c>
      <c r="G385" s="141" t="s">
        <v>687</v>
      </c>
      <c r="H385" s="142">
        <v>1</v>
      </c>
      <c r="I385" s="143">
        <v>4.1100000000000005E-2</v>
      </c>
      <c r="J385" s="143">
        <v>0.1211</v>
      </c>
      <c r="K385" s="144">
        <v>20040426</v>
      </c>
      <c r="L385" s="144">
        <v>20340426</v>
      </c>
      <c r="M385" s="144">
        <v>20151230</v>
      </c>
      <c r="N385" s="144">
        <v>20151230</v>
      </c>
      <c r="O385" s="145" t="s">
        <v>80</v>
      </c>
      <c r="P385" s="146">
        <v>60000000</v>
      </c>
      <c r="Q385" s="147" t="s">
        <v>80</v>
      </c>
      <c r="R385" s="146">
        <v>32541520</v>
      </c>
      <c r="S385" s="148">
        <v>32541520</v>
      </c>
      <c r="T385" s="148">
        <v>1629960</v>
      </c>
      <c r="U385" s="148">
        <v>34171480</v>
      </c>
      <c r="V385" s="148">
        <v>1099037</v>
      </c>
      <c r="W385" s="149">
        <v>35270517</v>
      </c>
      <c r="X385" s="150" t="s">
        <v>1168</v>
      </c>
    </row>
    <row r="386" spans="1:24" s="121" customFormat="1" ht="14.1" customHeight="1">
      <c r="A386" s="87"/>
      <c r="B386" s="137">
        <v>377</v>
      </c>
      <c r="C386" s="70"/>
      <c r="D386" s="138" t="s">
        <v>624</v>
      </c>
      <c r="E386" s="139" t="s">
        <v>221</v>
      </c>
      <c r="F386" s="140" t="s">
        <v>328</v>
      </c>
      <c r="G386" s="141" t="s">
        <v>1026</v>
      </c>
      <c r="H386" s="142">
        <v>1</v>
      </c>
      <c r="I386" s="143">
        <v>6.6199999999999995E-2</v>
      </c>
      <c r="J386" s="143">
        <v>0.1462</v>
      </c>
      <c r="K386" s="144">
        <v>20141127</v>
      </c>
      <c r="L386" s="144">
        <v>20151127</v>
      </c>
      <c r="M386" s="144">
        <v>20150609</v>
      </c>
      <c r="N386" s="144">
        <v>20150623</v>
      </c>
      <c r="O386" s="145" t="s">
        <v>80</v>
      </c>
      <c r="P386" s="146">
        <v>30000000</v>
      </c>
      <c r="Q386" s="147" t="s">
        <v>80</v>
      </c>
      <c r="R386" s="146">
        <v>30000000</v>
      </c>
      <c r="S386" s="148">
        <v>30000000</v>
      </c>
      <c r="T386" s="148">
        <v>1444070</v>
      </c>
      <c r="U386" s="148">
        <v>31444070</v>
      </c>
      <c r="V386" s="148">
        <v>3892073</v>
      </c>
      <c r="W386" s="149">
        <v>35336143</v>
      </c>
      <c r="X386" s="150" t="s">
        <v>1168</v>
      </c>
    </row>
    <row r="387" spans="1:24" s="121" customFormat="1" ht="14.1" customHeight="1">
      <c r="A387" s="87"/>
      <c r="B387" s="137">
        <v>378</v>
      </c>
      <c r="C387" s="70"/>
      <c r="D387" s="138" t="s">
        <v>625</v>
      </c>
      <c r="E387" s="139" t="s">
        <v>681</v>
      </c>
      <c r="F387" s="140" t="s">
        <v>736</v>
      </c>
      <c r="G387" s="141" t="s">
        <v>361</v>
      </c>
      <c r="H387" s="142">
        <v>1</v>
      </c>
      <c r="I387" s="143">
        <v>3.56E-2</v>
      </c>
      <c r="J387" s="143">
        <v>0.1056</v>
      </c>
      <c r="K387" s="144">
        <v>20141015</v>
      </c>
      <c r="L387" s="144">
        <v>20441015</v>
      </c>
      <c r="M387" s="144">
        <v>20151216</v>
      </c>
      <c r="N387" s="144">
        <v>20160216</v>
      </c>
      <c r="O387" s="145" t="s">
        <v>80</v>
      </c>
      <c r="P387" s="146">
        <v>31200000</v>
      </c>
      <c r="Q387" s="147" t="s">
        <v>80</v>
      </c>
      <c r="R387" s="146">
        <v>30556982</v>
      </c>
      <c r="S387" s="148">
        <v>30556982</v>
      </c>
      <c r="T387" s="148">
        <v>1481120</v>
      </c>
      <c r="U387" s="148">
        <v>32038102</v>
      </c>
      <c r="V387" s="148">
        <v>876610</v>
      </c>
      <c r="W387" s="149">
        <v>32914712</v>
      </c>
      <c r="X387" s="150" t="s">
        <v>1168</v>
      </c>
    </row>
    <row r="388" spans="1:24" s="121" customFormat="1" ht="14.1" customHeight="1">
      <c r="A388" s="87"/>
      <c r="B388" s="137">
        <v>379</v>
      </c>
      <c r="C388" s="70"/>
      <c r="D388" s="138" t="s">
        <v>626</v>
      </c>
      <c r="E388" s="139" t="s">
        <v>137</v>
      </c>
      <c r="F388" s="140" t="s">
        <v>732</v>
      </c>
      <c r="G388" s="141" t="s">
        <v>1027</v>
      </c>
      <c r="H388" s="142">
        <v>1</v>
      </c>
      <c r="I388" s="143">
        <v>3.7699999999999997E-2</v>
      </c>
      <c r="J388" s="143">
        <v>0.1177</v>
      </c>
      <c r="K388" s="144">
        <v>20150206</v>
      </c>
      <c r="L388" s="144">
        <v>20350206</v>
      </c>
      <c r="M388" s="144">
        <v>20151107</v>
      </c>
      <c r="N388" s="144">
        <v>20151107</v>
      </c>
      <c r="O388" s="145" t="s">
        <v>80</v>
      </c>
      <c r="P388" s="146">
        <v>30000000</v>
      </c>
      <c r="Q388" s="147" t="s">
        <v>80</v>
      </c>
      <c r="R388" s="146">
        <v>29000000</v>
      </c>
      <c r="S388" s="148">
        <v>29000000</v>
      </c>
      <c r="T388" s="148">
        <v>449910</v>
      </c>
      <c r="U388" s="148">
        <v>29449910</v>
      </c>
      <c r="V388" s="148">
        <v>1229550</v>
      </c>
      <c r="W388" s="149">
        <v>30679460</v>
      </c>
      <c r="X388" s="150" t="s">
        <v>1168</v>
      </c>
    </row>
    <row r="389" spans="1:24" s="121" customFormat="1" ht="14.1" customHeight="1">
      <c r="A389" s="87"/>
      <c r="B389" s="137">
        <v>380</v>
      </c>
      <c r="C389" s="70"/>
      <c r="D389" s="138" t="s">
        <v>627</v>
      </c>
      <c r="E389" s="139" t="s">
        <v>109</v>
      </c>
      <c r="F389" s="140" t="s">
        <v>740</v>
      </c>
      <c r="G389" s="141" t="s">
        <v>1028</v>
      </c>
      <c r="H389" s="142">
        <v>1</v>
      </c>
      <c r="I389" s="143">
        <v>3.6499999999999998E-2</v>
      </c>
      <c r="J389" s="143">
        <v>0.11650000000000001</v>
      </c>
      <c r="K389" s="144">
        <v>20150715</v>
      </c>
      <c r="L389" s="144">
        <v>20250715</v>
      </c>
      <c r="M389" s="144">
        <v>20150916</v>
      </c>
      <c r="N389" s="144">
        <v>20151117</v>
      </c>
      <c r="O389" s="145" t="s">
        <v>80</v>
      </c>
      <c r="P389" s="146">
        <v>26600000</v>
      </c>
      <c r="Q389" s="147" t="s">
        <v>80</v>
      </c>
      <c r="R389" s="146">
        <v>26600000</v>
      </c>
      <c r="S389" s="148">
        <v>26600000</v>
      </c>
      <c r="T389" s="148">
        <v>1319600</v>
      </c>
      <c r="U389" s="148">
        <v>27919600</v>
      </c>
      <c r="V389" s="148">
        <v>1543083</v>
      </c>
      <c r="W389" s="149">
        <v>29462683</v>
      </c>
      <c r="X389" s="150" t="s">
        <v>1168</v>
      </c>
    </row>
    <row r="390" spans="1:24" s="121" customFormat="1" ht="14.1" customHeight="1">
      <c r="A390" s="87"/>
      <c r="B390" s="137">
        <v>381</v>
      </c>
      <c r="C390" s="70"/>
      <c r="D390" s="138" t="s">
        <v>628</v>
      </c>
      <c r="E390" s="139" t="s">
        <v>152</v>
      </c>
      <c r="F390" s="140" t="s">
        <v>736</v>
      </c>
      <c r="G390" s="141" t="s">
        <v>1029</v>
      </c>
      <c r="H390" s="142">
        <v>1</v>
      </c>
      <c r="I390" s="143">
        <v>3.8100000000000002E-2</v>
      </c>
      <c r="J390" s="143">
        <v>0.11810000000000001</v>
      </c>
      <c r="K390" s="144">
        <v>20140516</v>
      </c>
      <c r="L390" s="144">
        <v>20440516</v>
      </c>
      <c r="M390" s="144">
        <v>20151117</v>
      </c>
      <c r="N390" s="144">
        <v>20151117</v>
      </c>
      <c r="O390" s="145" t="s">
        <v>80</v>
      </c>
      <c r="P390" s="146">
        <v>27000000</v>
      </c>
      <c r="Q390" s="147" t="s">
        <v>80</v>
      </c>
      <c r="R390" s="146">
        <v>25725000</v>
      </c>
      <c r="S390" s="148">
        <v>25725000</v>
      </c>
      <c r="T390" s="148">
        <v>1229375</v>
      </c>
      <c r="U390" s="148">
        <v>26954375</v>
      </c>
      <c r="V390" s="148">
        <v>987713</v>
      </c>
      <c r="W390" s="149">
        <v>27942088</v>
      </c>
      <c r="X390" s="150" t="s">
        <v>1168</v>
      </c>
    </row>
    <row r="391" spans="1:24" s="121" customFormat="1" ht="14.1" customHeight="1">
      <c r="A391" s="87"/>
      <c r="B391" s="137">
        <v>382</v>
      </c>
      <c r="C391" s="70"/>
      <c r="D391" s="138" t="s">
        <v>629</v>
      </c>
      <c r="E391" s="139" t="s">
        <v>234</v>
      </c>
      <c r="F391" s="140" t="s">
        <v>736</v>
      </c>
      <c r="G391" s="141" t="s">
        <v>1030</v>
      </c>
      <c r="H391" s="142">
        <v>1</v>
      </c>
      <c r="I391" s="143">
        <v>4.0599999999999997E-2</v>
      </c>
      <c r="J391" s="143">
        <v>0.1206</v>
      </c>
      <c r="K391" s="144">
        <v>20141022</v>
      </c>
      <c r="L391" s="144">
        <v>20341022</v>
      </c>
      <c r="M391" s="144">
        <v>20151124</v>
      </c>
      <c r="N391" s="144">
        <v>20160126</v>
      </c>
      <c r="O391" s="145" t="s">
        <v>80</v>
      </c>
      <c r="P391" s="146">
        <v>25000000</v>
      </c>
      <c r="Q391" s="147" t="s">
        <v>80</v>
      </c>
      <c r="R391" s="146">
        <v>24997321</v>
      </c>
      <c r="S391" s="148">
        <v>24997321</v>
      </c>
      <c r="T391" s="148">
        <v>1213679</v>
      </c>
      <c r="U391" s="148">
        <v>26211000</v>
      </c>
      <c r="V391" s="148">
        <v>950568</v>
      </c>
      <c r="W391" s="149">
        <v>27161568</v>
      </c>
      <c r="X391" s="150" t="s">
        <v>1168</v>
      </c>
    </row>
    <row r="392" spans="1:24" s="121" customFormat="1" ht="14.1" customHeight="1">
      <c r="A392" s="87"/>
      <c r="B392" s="137">
        <v>383</v>
      </c>
      <c r="C392" s="70"/>
      <c r="D392" s="138" t="s">
        <v>630</v>
      </c>
      <c r="E392" s="139" t="s">
        <v>168</v>
      </c>
      <c r="F392" s="140" t="s">
        <v>727</v>
      </c>
      <c r="G392" s="141" t="s">
        <v>856</v>
      </c>
      <c r="H392" s="142">
        <v>1</v>
      </c>
      <c r="I392" s="143">
        <v>3.2199999999999999E-2</v>
      </c>
      <c r="J392" s="143">
        <v>0.11220000000000001</v>
      </c>
      <c r="K392" s="144">
        <v>20110705</v>
      </c>
      <c r="L392" s="144">
        <v>20310705</v>
      </c>
      <c r="M392" s="144">
        <v>20151106</v>
      </c>
      <c r="N392" s="144">
        <v>20151106</v>
      </c>
      <c r="O392" s="145" t="s">
        <v>80</v>
      </c>
      <c r="P392" s="146">
        <v>25200000</v>
      </c>
      <c r="Q392" s="147" t="s">
        <v>80</v>
      </c>
      <c r="R392" s="146">
        <v>19845000</v>
      </c>
      <c r="S392" s="148">
        <v>19845000</v>
      </c>
      <c r="T392" s="148">
        <v>1223960</v>
      </c>
      <c r="U392" s="148">
        <v>21068960</v>
      </c>
      <c r="V392" s="148">
        <v>802188</v>
      </c>
      <c r="W392" s="149">
        <v>21871148</v>
      </c>
      <c r="X392" s="150" t="s">
        <v>1168</v>
      </c>
    </row>
    <row r="393" spans="1:24" s="121" customFormat="1" ht="14.1" customHeight="1">
      <c r="A393" s="87"/>
      <c r="B393" s="137">
        <v>384</v>
      </c>
      <c r="C393" s="70"/>
      <c r="D393" s="138" t="s">
        <v>631</v>
      </c>
      <c r="E393" s="139" t="s">
        <v>151</v>
      </c>
      <c r="F393" s="140" t="s">
        <v>740</v>
      </c>
      <c r="G393" s="141" t="s">
        <v>323</v>
      </c>
      <c r="H393" s="142">
        <v>1</v>
      </c>
      <c r="I393" s="143">
        <v>3.7999999999999999E-2</v>
      </c>
      <c r="J393" s="143">
        <v>0.11800000000000001</v>
      </c>
      <c r="K393" s="144">
        <v>20140918</v>
      </c>
      <c r="L393" s="144">
        <v>20290918</v>
      </c>
      <c r="M393" s="144">
        <v>20151119</v>
      </c>
      <c r="N393" s="144">
        <v>20160119</v>
      </c>
      <c r="O393" s="145" t="s">
        <v>80</v>
      </c>
      <c r="P393" s="146">
        <v>37000000</v>
      </c>
      <c r="Q393" s="147" t="s">
        <v>80</v>
      </c>
      <c r="R393" s="146">
        <v>10000000</v>
      </c>
      <c r="S393" s="148">
        <v>10000000</v>
      </c>
      <c r="T393" s="148">
        <v>0</v>
      </c>
      <c r="U393" s="148">
        <v>10000000</v>
      </c>
      <c r="V393" s="148">
        <v>386128</v>
      </c>
      <c r="W393" s="149">
        <v>10386128</v>
      </c>
      <c r="X393" s="150"/>
    </row>
    <row r="394" spans="1:24" s="121" customFormat="1" ht="14.1" customHeight="1">
      <c r="A394" s="87"/>
      <c r="B394" s="137">
        <v>385</v>
      </c>
      <c r="C394" s="70"/>
      <c r="D394" s="138" t="s">
        <v>631</v>
      </c>
      <c r="E394" s="139" t="s">
        <v>151</v>
      </c>
      <c r="F394" s="140" t="s">
        <v>747</v>
      </c>
      <c r="G394" s="141" t="s">
        <v>371</v>
      </c>
      <c r="H394" s="142">
        <v>1</v>
      </c>
      <c r="I394" s="143">
        <v>9.5000000000000001E-2</v>
      </c>
      <c r="J394" s="143">
        <v>0.15</v>
      </c>
      <c r="K394" s="144">
        <v>20140918</v>
      </c>
      <c r="L394" s="144">
        <v>20160918</v>
      </c>
      <c r="M394" s="144">
        <v>20151119</v>
      </c>
      <c r="N394" s="144">
        <v>20151219</v>
      </c>
      <c r="O394" s="145" t="s">
        <v>80</v>
      </c>
      <c r="P394" s="146">
        <v>10000000</v>
      </c>
      <c r="Q394" s="147" t="s">
        <v>80</v>
      </c>
      <c r="R394" s="146">
        <v>10000000</v>
      </c>
      <c r="S394" s="148">
        <v>10000000</v>
      </c>
      <c r="T394" s="148">
        <v>1201440</v>
      </c>
      <c r="U394" s="148">
        <v>11201440</v>
      </c>
      <c r="V394" s="148">
        <v>699391</v>
      </c>
      <c r="W394" s="149">
        <v>11900831</v>
      </c>
      <c r="X394" s="150" t="s">
        <v>1172</v>
      </c>
    </row>
    <row r="395" spans="1:24" s="121" customFormat="1" ht="14.1" customHeight="1">
      <c r="A395" s="87"/>
      <c r="B395" s="137">
        <v>386</v>
      </c>
      <c r="C395" s="70"/>
      <c r="D395" s="138" t="s">
        <v>632</v>
      </c>
      <c r="E395" s="139" t="s">
        <v>205</v>
      </c>
      <c r="F395" s="140" t="s">
        <v>749</v>
      </c>
      <c r="G395" s="141" t="s">
        <v>1031</v>
      </c>
      <c r="H395" s="142">
        <v>1</v>
      </c>
      <c r="I395" s="143">
        <v>3.9100000000000003E-2</v>
      </c>
      <c r="J395" s="143">
        <v>0.1091</v>
      </c>
      <c r="K395" s="144">
        <v>20150925</v>
      </c>
      <c r="L395" s="144">
        <v>20161025</v>
      </c>
      <c r="M395" s="144">
        <v>20160126</v>
      </c>
      <c r="N395" s="144">
        <v>20160126</v>
      </c>
      <c r="O395" s="145" t="s">
        <v>80</v>
      </c>
      <c r="P395" s="146">
        <v>26000000</v>
      </c>
      <c r="Q395" s="147" t="s">
        <v>80</v>
      </c>
      <c r="R395" s="146">
        <v>20000000</v>
      </c>
      <c r="S395" s="148">
        <v>20000000</v>
      </c>
      <c r="T395" s="148">
        <v>0</v>
      </c>
      <c r="U395" s="148">
        <v>20000000</v>
      </c>
      <c r="V395" s="148">
        <v>512825</v>
      </c>
      <c r="W395" s="149">
        <v>20512825</v>
      </c>
      <c r="X395" s="150"/>
    </row>
    <row r="396" spans="1:24" s="121" customFormat="1" ht="14.1" customHeight="1">
      <c r="A396" s="87"/>
      <c r="B396" s="137">
        <v>387</v>
      </c>
      <c r="C396" s="70"/>
      <c r="D396" s="138" t="s">
        <v>633</v>
      </c>
      <c r="E396" s="139" t="s">
        <v>152</v>
      </c>
      <c r="F396" s="140" t="s">
        <v>329</v>
      </c>
      <c r="G396" s="141" t="s">
        <v>1032</v>
      </c>
      <c r="H396" s="142">
        <v>0</v>
      </c>
      <c r="I396" s="143">
        <v>0.12</v>
      </c>
      <c r="J396" s="143">
        <v>0.15</v>
      </c>
      <c r="K396" s="144">
        <v>20120517</v>
      </c>
      <c r="L396" s="144">
        <v>20151116</v>
      </c>
      <c r="M396" s="144">
        <v>20151110</v>
      </c>
      <c r="N396" s="144">
        <v>20151117</v>
      </c>
      <c r="O396" s="145" t="s">
        <v>80</v>
      </c>
      <c r="P396" s="146">
        <v>9600000</v>
      </c>
      <c r="Q396" s="147" t="s">
        <v>80</v>
      </c>
      <c r="R396" s="146">
        <v>9433155</v>
      </c>
      <c r="S396" s="148">
        <v>9433155</v>
      </c>
      <c r="T396" s="148">
        <v>0</v>
      </c>
      <c r="U396" s="148">
        <v>9433155</v>
      </c>
      <c r="V396" s="148">
        <v>773398</v>
      </c>
      <c r="W396" s="149">
        <v>10206553</v>
      </c>
      <c r="X396" s="150"/>
    </row>
    <row r="397" spans="1:24" s="121" customFormat="1" ht="14.1" customHeight="1">
      <c r="A397" s="87"/>
      <c r="B397" s="137">
        <v>388</v>
      </c>
      <c r="C397" s="70"/>
      <c r="D397" s="138" t="s">
        <v>633</v>
      </c>
      <c r="E397" s="139" t="s">
        <v>152</v>
      </c>
      <c r="F397" s="140" t="s">
        <v>354</v>
      </c>
      <c r="G397" s="141" t="s">
        <v>1033</v>
      </c>
      <c r="H397" s="142">
        <v>1</v>
      </c>
      <c r="I397" s="143">
        <v>5.0199999999999995E-2</v>
      </c>
      <c r="J397" s="143">
        <v>0.13019999999999998</v>
      </c>
      <c r="K397" s="144">
        <v>20130523</v>
      </c>
      <c r="L397" s="144">
        <v>20160523</v>
      </c>
      <c r="M397" s="144">
        <v>20151124</v>
      </c>
      <c r="N397" s="144">
        <v>20151124</v>
      </c>
      <c r="O397" s="145" t="s">
        <v>80</v>
      </c>
      <c r="P397" s="146">
        <v>30000000</v>
      </c>
      <c r="Q397" s="147" t="s">
        <v>80</v>
      </c>
      <c r="R397" s="146">
        <v>5833331</v>
      </c>
      <c r="S397" s="148">
        <v>5833331</v>
      </c>
      <c r="T397" s="148">
        <v>1269890</v>
      </c>
      <c r="U397" s="148">
        <v>7103221</v>
      </c>
      <c r="V397" s="148">
        <v>274735</v>
      </c>
      <c r="W397" s="149">
        <v>7377956</v>
      </c>
      <c r="X397" s="150" t="s">
        <v>1168</v>
      </c>
    </row>
    <row r="398" spans="1:24" s="121" customFormat="1" ht="14.1" customHeight="1">
      <c r="A398" s="87"/>
      <c r="B398" s="137">
        <v>389</v>
      </c>
      <c r="C398" s="70"/>
      <c r="D398" s="138" t="s">
        <v>634</v>
      </c>
      <c r="E398" s="139" t="s">
        <v>152</v>
      </c>
      <c r="F398" s="140" t="s">
        <v>334</v>
      </c>
      <c r="G398" s="141" t="s">
        <v>1034</v>
      </c>
      <c r="H398" s="142">
        <v>0</v>
      </c>
      <c r="I398" s="143">
        <v>7.8700000000000006E-2</v>
      </c>
      <c r="J398" s="143">
        <v>0.13869999999999999</v>
      </c>
      <c r="K398" s="144">
        <v>20061228</v>
      </c>
      <c r="L398" s="144">
        <v>20151220</v>
      </c>
      <c r="M398" s="144">
        <v>20151208</v>
      </c>
      <c r="N398" s="144">
        <v>20151222</v>
      </c>
      <c r="O398" s="145" t="s">
        <v>80</v>
      </c>
      <c r="P398" s="146">
        <v>10000000</v>
      </c>
      <c r="Q398" s="147" t="s">
        <v>80</v>
      </c>
      <c r="R398" s="146">
        <v>9800000</v>
      </c>
      <c r="S398" s="148">
        <v>9800000</v>
      </c>
      <c r="T398" s="148">
        <v>1070420</v>
      </c>
      <c r="U398" s="148">
        <v>10870420</v>
      </c>
      <c r="V398" s="148">
        <v>570026</v>
      </c>
      <c r="W398" s="149">
        <v>11440446</v>
      </c>
      <c r="X398" s="150" t="s">
        <v>1168</v>
      </c>
    </row>
    <row r="399" spans="1:24" s="121" customFormat="1" ht="14.1" customHeight="1">
      <c r="A399" s="87"/>
      <c r="B399" s="137">
        <v>390</v>
      </c>
      <c r="C399" s="70"/>
      <c r="D399" s="138" t="s">
        <v>634</v>
      </c>
      <c r="E399" s="139" t="s">
        <v>152</v>
      </c>
      <c r="F399" s="140" t="s">
        <v>742</v>
      </c>
      <c r="G399" s="141" t="s">
        <v>1035</v>
      </c>
      <c r="H399" s="142">
        <v>2</v>
      </c>
      <c r="I399" s="143">
        <v>2.8300000000000002E-2</v>
      </c>
      <c r="J399" s="143">
        <v>2.8300000000000002E-2</v>
      </c>
      <c r="K399" s="144">
        <v>20051215</v>
      </c>
      <c r="L399" s="144">
        <v>20261214</v>
      </c>
      <c r="M399" s="144">
        <v>20160415</v>
      </c>
      <c r="N399" s="144">
        <v>20160415</v>
      </c>
      <c r="O399" s="145" t="s">
        <v>80</v>
      </c>
      <c r="P399" s="146">
        <v>120000000</v>
      </c>
      <c r="Q399" s="147" t="s">
        <v>80</v>
      </c>
      <c r="R399" s="146">
        <v>4555125</v>
      </c>
      <c r="S399" s="148">
        <v>4555125</v>
      </c>
      <c r="T399" s="148">
        <v>0</v>
      </c>
      <c r="U399" s="148">
        <v>4555125</v>
      </c>
      <c r="V399" s="148">
        <v>4954</v>
      </c>
      <c r="W399" s="149">
        <v>4560079</v>
      </c>
      <c r="X399" s="150"/>
    </row>
    <row r="400" spans="1:24" s="121" customFormat="1" ht="14.1" customHeight="1">
      <c r="A400" s="87"/>
      <c r="B400" s="137">
        <v>391</v>
      </c>
      <c r="C400" s="70"/>
      <c r="D400" s="138" t="s">
        <v>635</v>
      </c>
      <c r="E400" s="139" t="s">
        <v>152</v>
      </c>
      <c r="F400" s="140" t="s">
        <v>732</v>
      </c>
      <c r="G400" s="141" t="s">
        <v>1036</v>
      </c>
      <c r="H400" s="142">
        <v>1</v>
      </c>
      <c r="I400" s="143">
        <v>2.9500000000000002E-2</v>
      </c>
      <c r="J400" s="143">
        <v>9.9499999999999991E-2</v>
      </c>
      <c r="K400" s="144">
        <v>20060801</v>
      </c>
      <c r="L400" s="144">
        <v>20210801</v>
      </c>
      <c r="M400" s="144">
        <v>20151202</v>
      </c>
      <c r="N400" s="144">
        <v>20151202</v>
      </c>
      <c r="O400" s="145" t="s">
        <v>80</v>
      </c>
      <c r="P400" s="146">
        <v>25000000</v>
      </c>
      <c r="Q400" s="147" t="s">
        <v>80</v>
      </c>
      <c r="R400" s="146">
        <v>14368477</v>
      </c>
      <c r="S400" s="148">
        <v>14368477</v>
      </c>
      <c r="T400" s="148">
        <v>0</v>
      </c>
      <c r="U400" s="148">
        <v>14368477</v>
      </c>
      <c r="V400" s="148">
        <v>398792</v>
      </c>
      <c r="W400" s="149">
        <v>14767269</v>
      </c>
      <c r="X400" s="150"/>
    </row>
    <row r="401" spans="1:24" s="121" customFormat="1" ht="14.1" customHeight="1">
      <c r="A401" s="87"/>
      <c r="B401" s="137">
        <v>392</v>
      </c>
      <c r="C401" s="70"/>
      <c r="D401" s="138" t="s">
        <v>636</v>
      </c>
      <c r="E401" s="139" t="s">
        <v>138</v>
      </c>
      <c r="F401" s="140" t="s">
        <v>757</v>
      </c>
      <c r="G401" s="141" t="s">
        <v>1037</v>
      </c>
      <c r="H401" s="142">
        <v>1</v>
      </c>
      <c r="I401" s="143">
        <v>3.8100000000000002E-2</v>
      </c>
      <c r="J401" s="143">
        <v>3.8100000000000002E-2</v>
      </c>
      <c r="K401" s="144">
        <v>20140808</v>
      </c>
      <c r="L401" s="144">
        <v>20190808</v>
      </c>
      <c r="M401" s="144">
        <v>20160309</v>
      </c>
      <c r="N401" s="144">
        <v>20160309</v>
      </c>
      <c r="O401" s="145" t="s">
        <v>80</v>
      </c>
      <c r="P401" s="146">
        <v>12000000</v>
      </c>
      <c r="Q401" s="147" t="s">
        <v>80</v>
      </c>
      <c r="R401" s="146">
        <v>8400000</v>
      </c>
      <c r="S401" s="148">
        <v>8400000</v>
      </c>
      <c r="T401" s="148">
        <v>0</v>
      </c>
      <c r="U401" s="148">
        <v>8400000</v>
      </c>
      <c r="V401" s="148">
        <v>69285</v>
      </c>
      <c r="W401" s="149">
        <v>8469285</v>
      </c>
      <c r="X401" s="150"/>
    </row>
    <row r="402" spans="1:24" s="121" customFormat="1" ht="14.1" customHeight="1">
      <c r="A402" s="87"/>
      <c r="B402" s="137">
        <v>393</v>
      </c>
      <c r="C402" s="70"/>
      <c r="D402" s="138" t="s">
        <v>637</v>
      </c>
      <c r="E402" s="139" t="s">
        <v>682</v>
      </c>
      <c r="F402" s="140" t="s">
        <v>758</v>
      </c>
      <c r="G402" s="141" t="s">
        <v>889</v>
      </c>
      <c r="H402" s="142">
        <v>1</v>
      </c>
      <c r="I402" s="143">
        <v>0.12</v>
      </c>
      <c r="J402" s="143">
        <v>0.15</v>
      </c>
      <c r="K402" s="144">
        <v>20131018</v>
      </c>
      <c r="L402" s="144">
        <v>20160505</v>
      </c>
      <c r="M402" s="144">
        <v>20160406</v>
      </c>
      <c r="N402" s="144">
        <v>20160420</v>
      </c>
      <c r="O402" s="145" t="s">
        <v>80</v>
      </c>
      <c r="P402" s="146">
        <v>1900000000</v>
      </c>
      <c r="Q402" s="147" t="s">
        <v>80</v>
      </c>
      <c r="R402" s="146">
        <v>1800000000</v>
      </c>
      <c r="S402" s="148">
        <v>1800000000</v>
      </c>
      <c r="T402" s="148">
        <v>0</v>
      </c>
      <c r="U402" s="148">
        <v>1800000000</v>
      </c>
      <c r="V402" s="148">
        <v>33152135</v>
      </c>
      <c r="W402" s="149">
        <v>1833152135</v>
      </c>
      <c r="X402" s="150"/>
    </row>
    <row r="403" spans="1:24" s="121" customFormat="1" ht="14.1" customHeight="1">
      <c r="A403" s="87"/>
      <c r="B403" s="137">
        <v>394</v>
      </c>
      <c r="C403" s="70"/>
      <c r="D403" s="138" t="s">
        <v>637</v>
      </c>
      <c r="E403" s="139" t="s">
        <v>682</v>
      </c>
      <c r="F403" s="140" t="s">
        <v>328</v>
      </c>
      <c r="G403" s="141" t="s">
        <v>1038</v>
      </c>
      <c r="H403" s="142">
        <v>1</v>
      </c>
      <c r="I403" s="143">
        <v>5.74E-2</v>
      </c>
      <c r="J403" s="143">
        <v>0.11740009999999999</v>
      </c>
      <c r="K403" s="144">
        <v>20160310</v>
      </c>
      <c r="L403" s="144">
        <v>20210309</v>
      </c>
      <c r="M403" s="144">
        <v>20160412</v>
      </c>
      <c r="N403" s="144">
        <v>20160426</v>
      </c>
      <c r="O403" s="145" t="s">
        <v>80</v>
      </c>
      <c r="P403" s="146">
        <v>1150000000</v>
      </c>
      <c r="Q403" s="147" t="s">
        <v>80</v>
      </c>
      <c r="R403" s="146">
        <v>1150000000</v>
      </c>
      <c r="S403" s="148">
        <v>1150000000</v>
      </c>
      <c r="T403" s="148">
        <v>0</v>
      </c>
      <c r="U403" s="148">
        <v>1150000000</v>
      </c>
      <c r="V403" s="148">
        <v>9239575</v>
      </c>
      <c r="W403" s="149">
        <v>1159239575</v>
      </c>
      <c r="X403" s="150"/>
    </row>
    <row r="404" spans="1:24" s="121" customFormat="1" ht="14.1" customHeight="1" thickBot="1">
      <c r="A404" s="87"/>
      <c r="B404" s="304">
        <v>395</v>
      </c>
      <c r="C404" s="305"/>
      <c r="D404" s="306" t="s">
        <v>637</v>
      </c>
      <c r="E404" s="307" t="s">
        <v>682</v>
      </c>
      <c r="F404" s="308" t="s">
        <v>759</v>
      </c>
      <c r="G404" s="309" t="s">
        <v>1039</v>
      </c>
      <c r="H404" s="310">
        <v>1</v>
      </c>
      <c r="I404" s="311">
        <v>1.4999999999999999E-2</v>
      </c>
      <c r="J404" s="311">
        <v>1.4999999999999999E-2</v>
      </c>
      <c r="K404" s="312">
        <v>20140424</v>
      </c>
      <c r="L404" s="312">
        <v>20220315</v>
      </c>
      <c r="M404" s="312">
        <v>20160416</v>
      </c>
      <c r="N404" s="312" t="s">
        <v>1040</v>
      </c>
      <c r="O404" s="313" t="s">
        <v>80</v>
      </c>
      <c r="P404" s="314">
        <v>42000000</v>
      </c>
      <c r="Q404" s="315" t="s">
        <v>80</v>
      </c>
      <c r="R404" s="314">
        <v>42000000</v>
      </c>
      <c r="S404" s="316">
        <v>42000000</v>
      </c>
      <c r="T404" s="316">
        <v>0</v>
      </c>
      <c r="U404" s="316">
        <v>42000000</v>
      </c>
      <c r="V404" s="316">
        <v>179401</v>
      </c>
      <c r="W404" s="317">
        <v>42179401</v>
      </c>
      <c r="X404" s="152"/>
    </row>
  </sheetData>
  <autoFilter ref="A9:Z404"/>
  <phoneticPr fontId="4" type="noConversion"/>
  <pageMargins left="0.25" right="0.25" top="1" bottom="1" header="0.5" footer="0.5"/>
  <pageSetup paperSize="9" scale="90" orientation="landscape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FF0000"/>
  </sheetPr>
  <dimension ref="A1:IO248"/>
  <sheetViews>
    <sheetView showGridLines="0" tabSelected="1" zoomScale="85" zoomScaleNormal="85" workbookViewId="0">
      <selection activeCell="V257" sqref="V257"/>
    </sheetView>
  </sheetViews>
  <sheetFormatPr defaultColWidth="9" defaultRowHeight="14.1" customHeight="1"/>
  <cols>
    <col min="1" max="1" width="5" style="484" bestFit="1" customWidth="1"/>
    <col min="2" max="4" width="9" style="486"/>
    <col min="5" max="5" width="14.125" style="486" bestFit="1" customWidth="1"/>
    <col min="6" max="6" width="12.875" style="486" bestFit="1" customWidth="1"/>
    <col min="7" max="8" width="9" style="486"/>
    <col min="9" max="9" width="2.125" style="214" customWidth="1"/>
    <col min="10" max="10" width="8" style="214" customWidth="1"/>
    <col min="11" max="11" width="10.75" style="214" customWidth="1"/>
    <col min="12" max="12" width="12.625" style="214" customWidth="1"/>
    <col min="13" max="13" width="12.625" style="215" customWidth="1"/>
    <col min="14" max="14" width="12.625" style="538" customWidth="1"/>
    <col min="15" max="15" width="8.125" style="214" customWidth="1"/>
    <col min="16" max="16" width="12.75" style="216" customWidth="1"/>
    <col min="17" max="18" width="13.875" style="217" customWidth="1"/>
    <col min="19" max="19" width="54.375" style="217" customWidth="1"/>
    <col min="20" max="20" width="11.625" style="217" bestFit="1" customWidth="1"/>
    <col min="21" max="21" width="10.625" style="217" customWidth="1"/>
    <col min="22" max="24" width="10.625" style="216" customWidth="1"/>
    <col min="25" max="25" width="17" style="218" customWidth="1"/>
    <col min="26" max="26" width="10.625" style="216" customWidth="1"/>
    <col min="27" max="27" width="11" style="216" customWidth="1"/>
    <col min="28" max="29" width="8.625" style="216" customWidth="1"/>
    <col min="30" max="31" width="15.625" style="216" customWidth="1"/>
    <col min="32" max="32" width="10.25" style="219" customWidth="1"/>
    <col min="33" max="33" width="12" style="216" customWidth="1"/>
    <col min="34" max="34" width="15.625" style="216" customWidth="1"/>
    <col min="35" max="36" width="8.625" style="216" customWidth="1"/>
    <col min="37" max="38" width="15.625" style="216" customWidth="1"/>
    <col min="39" max="39" width="30" style="219" bestFit="1" customWidth="1"/>
    <col min="40" max="41" width="8.625" style="219" customWidth="1"/>
    <col min="42" max="43" width="15.625" style="219" customWidth="1"/>
    <col min="44" max="44" width="8.625" style="220" customWidth="1"/>
    <col min="45" max="45" width="8.625" style="218" customWidth="1"/>
    <col min="46" max="46" width="15.625" style="218" customWidth="1"/>
    <col min="47" max="47" width="19.375" style="218" customWidth="1"/>
    <col min="48" max="51" width="15.625" style="218" customWidth="1"/>
    <col min="52" max="54" width="15.625" style="221" customWidth="1"/>
    <col min="55" max="55" width="8.375" style="221" customWidth="1"/>
    <col min="56" max="57" width="15.625" style="221" customWidth="1"/>
    <col min="58" max="58" width="15.625" style="218" customWidth="1"/>
    <col min="59" max="59" width="15.625" style="221" customWidth="1"/>
    <col min="60" max="60" width="24.5" style="221" customWidth="1"/>
    <col min="61" max="62" width="15.625" style="221" customWidth="1"/>
    <col min="63" max="63" width="11.625" style="221" customWidth="1"/>
    <col min="64" max="64" width="13.875" style="215" customWidth="1"/>
    <col min="65" max="65" width="11.625" style="222" customWidth="1"/>
    <col min="66" max="66" width="11.625" style="218" customWidth="1"/>
    <col min="67" max="67" width="15.625" style="214" customWidth="1"/>
    <col min="68" max="68" width="6.875" style="214" customWidth="1"/>
    <col min="69" max="69" width="9.875" style="214" customWidth="1"/>
    <col min="70" max="71" width="10.625" style="214" customWidth="1"/>
    <col min="72" max="73" width="15.625" style="214" customWidth="1"/>
    <col min="74" max="74" width="10.625" style="214" customWidth="1"/>
    <col min="75" max="75" width="15.625" style="214" customWidth="1"/>
    <col min="76" max="76" width="10.625" style="214" customWidth="1"/>
    <col min="77" max="77" width="15.625" style="214" customWidth="1"/>
    <col min="78" max="78" width="10.625" style="214" customWidth="1"/>
    <col min="79" max="79" width="24.25" style="214" bestFit="1" customWidth="1"/>
    <col min="80" max="80" width="23.375" style="214" customWidth="1"/>
    <col min="81" max="85" width="15.625" style="218" customWidth="1"/>
    <col min="86" max="86" width="11.875" style="214" customWidth="1"/>
    <col min="87" max="87" width="15.625" style="214" customWidth="1"/>
    <col min="88" max="88" width="50.625" style="220" customWidth="1"/>
    <col min="89" max="249" width="9" style="485"/>
    <col min="250" max="16384" width="9" style="486"/>
  </cols>
  <sheetData>
    <row r="1" spans="1:249" ht="13.5" customHeight="1">
      <c r="B1" s="469"/>
      <c r="C1" s="469" t="s">
        <v>3178</v>
      </c>
      <c r="D1" s="469" t="s">
        <v>3179</v>
      </c>
      <c r="E1" s="469" t="s">
        <v>3180</v>
      </c>
      <c r="F1" s="469" t="s">
        <v>3179</v>
      </c>
      <c r="G1" s="470"/>
      <c r="H1"/>
      <c r="I1" s="471"/>
      <c r="J1" s="469"/>
      <c r="K1" s="469" t="s">
        <v>3181</v>
      </c>
      <c r="L1" s="469" t="s">
        <v>3182</v>
      </c>
      <c r="M1" s="472" t="s">
        <v>3183</v>
      </c>
      <c r="N1" s="469" t="s">
        <v>106</v>
      </c>
    </row>
    <row r="2" spans="1:249" ht="13.5" customHeight="1">
      <c r="B2" s="473" t="s">
        <v>3181</v>
      </c>
      <c r="C2" s="474">
        <f>COUNTIF($D$13:$D$268,B2)</f>
        <v>27</v>
      </c>
      <c r="D2" s="475">
        <f>C2/$C$7</f>
        <v>0.12558139534883722</v>
      </c>
      <c r="E2" s="476">
        <f>SUMIF($D$13:$D$244,B2,$E$13:$E$244)</f>
        <v>44904237441</v>
      </c>
      <c r="F2" s="475">
        <f>E2/($E$2+$E$3+$E$4)</f>
        <v>0.56209599790503995</v>
      </c>
      <c r="G2" s="470"/>
      <c r="H2"/>
      <c r="I2" s="471"/>
      <c r="J2" s="474" t="s">
        <v>3184</v>
      </c>
      <c r="K2" s="474">
        <f>COUNTIFS($D$13:$D$317,$K$1,$F$13:$F$317,J2)</f>
        <v>8</v>
      </c>
      <c r="L2" s="474">
        <f>COUNTIFS($D$13:$D$244,$K$1,$E$13:$E$244,"&gt;1000000000",$F$13:$F$244,J2)</f>
        <v>6</v>
      </c>
      <c r="M2" s="474">
        <f>COUNTIFS($D$13:$D$317,$M$1,$F$13:$F$317,J2)</f>
        <v>14</v>
      </c>
      <c r="N2" s="474">
        <f>COUNTIFS($D$13:$D$317,$N$1,$F$13:$F$317,J2)</f>
        <v>14</v>
      </c>
    </row>
    <row r="3" spans="1:249" ht="13.5" customHeight="1">
      <c r="B3" s="473" t="s">
        <v>3183</v>
      </c>
      <c r="C3" s="474">
        <f>COUNTIF($D$13:$D$268,B3)</f>
        <v>74</v>
      </c>
      <c r="D3" s="475">
        <f>C3/$C$7</f>
        <v>0.34418604651162793</v>
      </c>
      <c r="E3" s="476">
        <f>SUMIF($D$13:$D$244,B3,$E$13:$E$244)</f>
        <v>10347000156</v>
      </c>
      <c r="F3" s="475">
        <f>E3/($E$2+$E$3+$E$4)</f>
        <v>0.12952023482532396</v>
      </c>
      <c r="G3" s="470"/>
      <c r="H3"/>
      <c r="I3" s="471"/>
      <c r="J3" s="474" t="s">
        <v>3185</v>
      </c>
      <c r="K3" s="474">
        <f>COUNTIFS($D$13:$D$317,$K$1,$F$13:$F$317,J3)</f>
        <v>7</v>
      </c>
      <c r="L3" s="474">
        <f>COUNTIFS($D$13:$D$244,$K$1,$E$13:$E$244,"&gt;1000000000",$F$13:$F$244,J3)</f>
        <v>6</v>
      </c>
      <c r="M3" s="474">
        <f>COUNTIFS($D$13:$D$317,$M$1,$F$13:$F$317,J3)</f>
        <v>7</v>
      </c>
      <c r="N3" s="474">
        <f>COUNTIFS($D$13:$D$317,$N$1,$F$13:$F$317,J3)</f>
        <v>9</v>
      </c>
    </row>
    <row r="4" spans="1:249" s="491" customFormat="1" ht="13.5" customHeight="1">
      <c r="A4" s="481"/>
      <c r="B4" s="473" t="s">
        <v>106</v>
      </c>
      <c r="C4" s="474">
        <f>COUNTIF($D$13:$D$268,B4)</f>
        <v>110</v>
      </c>
      <c r="D4" s="475">
        <f>C4/$C$7</f>
        <v>0.51162790697674421</v>
      </c>
      <c r="E4" s="476">
        <f>SUMIF($D$13:$D$244,B4,$E$13:$E$244)</f>
        <v>24635894865</v>
      </c>
      <c r="F4" s="475">
        <f>E4/($E$2+$E$3+$E$4)</f>
        <v>0.30838376726963612</v>
      </c>
      <c r="G4" s="470"/>
      <c r="H4"/>
      <c r="I4" s="471"/>
      <c r="J4" s="474" t="s">
        <v>3186</v>
      </c>
      <c r="K4" s="474">
        <f>COUNTIFS($D$13:$D$317,$K$1,$F$13:$F$317,J4)</f>
        <v>4</v>
      </c>
      <c r="L4" s="474">
        <f>COUNTIFS($D$13:$D$244,$K$1,$E$13:$E$244,"&gt;1000000000",$F$13:$F$244,J4)</f>
        <v>1</v>
      </c>
      <c r="M4" s="474">
        <f>COUNTIFS($D$13:$D$317,$M$1,$F$13:$F$317,J4)</f>
        <v>12</v>
      </c>
      <c r="N4" s="474">
        <f>COUNTIFS($D$13:$D$317,$N$1,$F$13:$F$317,J4)</f>
        <v>18</v>
      </c>
      <c r="P4" s="159"/>
      <c r="Q4" s="159"/>
      <c r="R4" s="160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61"/>
      <c r="AE4" s="487"/>
      <c r="AF4" s="488"/>
      <c r="AG4" s="489"/>
      <c r="AH4" s="489"/>
      <c r="AI4" s="489"/>
      <c r="AJ4" s="489"/>
      <c r="AK4" s="489"/>
      <c r="AL4" s="490"/>
      <c r="AM4" s="490"/>
      <c r="AN4" s="490"/>
      <c r="AO4" s="490"/>
      <c r="AP4" s="490"/>
      <c r="AQ4" s="490"/>
      <c r="AR4" s="490"/>
      <c r="AS4" s="490"/>
      <c r="AT4" s="490"/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490"/>
      <c r="BX4" s="490"/>
      <c r="BY4" s="490"/>
      <c r="BZ4" s="490"/>
      <c r="CA4" s="490"/>
      <c r="CB4" s="490"/>
      <c r="CC4" s="490"/>
      <c r="CD4" s="490"/>
      <c r="CE4" s="490"/>
      <c r="CF4" s="490"/>
      <c r="CG4" s="490"/>
      <c r="CH4" s="490"/>
      <c r="CI4" s="490"/>
      <c r="CJ4" s="490"/>
      <c r="CK4" s="490"/>
      <c r="CL4" s="490"/>
      <c r="CM4" s="490"/>
      <c r="CN4" s="490"/>
      <c r="CO4" s="490"/>
      <c r="CP4" s="490"/>
      <c r="CQ4" s="490"/>
      <c r="CR4" s="490"/>
      <c r="CS4" s="490"/>
      <c r="CT4" s="490"/>
      <c r="CU4" s="490"/>
      <c r="CV4" s="490"/>
      <c r="CW4" s="490"/>
      <c r="CX4" s="490"/>
      <c r="CY4" s="490"/>
      <c r="CZ4" s="490"/>
      <c r="DA4" s="490"/>
      <c r="DB4" s="490"/>
      <c r="DC4" s="490"/>
      <c r="DD4" s="490"/>
      <c r="DE4" s="490"/>
      <c r="DF4" s="490"/>
      <c r="DG4" s="490"/>
      <c r="DH4" s="490"/>
      <c r="DI4" s="490"/>
      <c r="DJ4" s="490"/>
      <c r="DK4" s="490"/>
      <c r="DL4" s="490"/>
      <c r="DM4" s="490"/>
      <c r="DN4" s="490"/>
      <c r="DO4" s="490"/>
      <c r="DP4" s="490"/>
      <c r="DQ4" s="490"/>
      <c r="DR4" s="490"/>
      <c r="DS4" s="490"/>
      <c r="DT4" s="490"/>
      <c r="DU4" s="490"/>
      <c r="DV4" s="490"/>
      <c r="DW4" s="490"/>
      <c r="DX4" s="490"/>
      <c r="DY4" s="490"/>
      <c r="DZ4" s="490"/>
      <c r="EA4" s="490"/>
      <c r="EB4" s="490"/>
      <c r="EC4" s="490"/>
      <c r="ED4" s="490"/>
      <c r="EE4" s="490"/>
      <c r="EF4" s="490"/>
      <c r="EG4" s="490"/>
      <c r="EH4" s="490"/>
      <c r="EI4" s="490"/>
      <c r="EJ4" s="490"/>
      <c r="EK4" s="490"/>
      <c r="EL4" s="490"/>
      <c r="EM4" s="490"/>
      <c r="EN4" s="490"/>
      <c r="EO4" s="490"/>
      <c r="EP4" s="490"/>
      <c r="EQ4" s="490"/>
      <c r="ER4" s="490"/>
      <c r="ES4" s="490"/>
      <c r="ET4" s="490"/>
      <c r="EU4" s="490"/>
      <c r="EV4" s="490"/>
      <c r="EW4" s="490"/>
      <c r="EX4" s="490"/>
      <c r="EY4" s="490"/>
      <c r="EZ4" s="490"/>
      <c r="FA4" s="490"/>
      <c r="FB4" s="490"/>
      <c r="FC4" s="490"/>
      <c r="FD4" s="490"/>
      <c r="FE4" s="490"/>
      <c r="FF4" s="490"/>
      <c r="FG4" s="490"/>
      <c r="FH4" s="490"/>
      <c r="FI4" s="490"/>
      <c r="FJ4" s="490"/>
      <c r="FK4" s="490"/>
      <c r="FL4" s="490"/>
      <c r="FM4" s="490"/>
      <c r="FN4" s="490"/>
      <c r="FO4" s="490"/>
      <c r="FP4" s="490"/>
      <c r="FQ4" s="490"/>
      <c r="FR4" s="490"/>
      <c r="FS4" s="490"/>
      <c r="FT4" s="490"/>
      <c r="FU4" s="490"/>
      <c r="FV4" s="490"/>
      <c r="FW4" s="490"/>
      <c r="FX4" s="490"/>
      <c r="FY4" s="490"/>
      <c r="FZ4" s="490"/>
      <c r="GA4" s="490"/>
      <c r="GB4" s="490"/>
      <c r="GC4" s="490"/>
      <c r="GD4" s="490"/>
      <c r="GE4" s="490"/>
      <c r="GF4" s="490"/>
      <c r="GG4" s="490"/>
      <c r="GH4" s="490"/>
      <c r="GI4" s="490"/>
      <c r="GJ4" s="490"/>
      <c r="GK4" s="490"/>
      <c r="GL4" s="490"/>
      <c r="GM4" s="490"/>
      <c r="GN4" s="490"/>
      <c r="GO4" s="490"/>
      <c r="GP4" s="490"/>
      <c r="GQ4" s="490"/>
      <c r="GR4" s="490"/>
      <c r="GS4" s="490"/>
      <c r="GT4" s="490"/>
      <c r="GU4" s="490"/>
      <c r="GV4" s="490"/>
      <c r="GW4" s="490"/>
      <c r="GX4" s="490"/>
      <c r="GY4" s="490"/>
      <c r="GZ4" s="490"/>
      <c r="HA4" s="490"/>
      <c r="HB4" s="490"/>
      <c r="HC4" s="490"/>
      <c r="HD4" s="490"/>
      <c r="HE4" s="490"/>
      <c r="HF4" s="490"/>
      <c r="HG4" s="490"/>
      <c r="HH4" s="490"/>
      <c r="HI4" s="490"/>
      <c r="HJ4" s="490"/>
      <c r="HK4" s="490"/>
      <c r="HL4" s="490"/>
      <c r="HM4" s="490"/>
      <c r="HN4" s="490"/>
      <c r="HO4" s="490"/>
      <c r="HP4" s="490"/>
      <c r="HQ4" s="490"/>
      <c r="HR4" s="490"/>
      <c r="HS4" s="490"/>
      <c r="HT4" s="490"/>
      <c r="HU4" s="490"/>
      <c r="HV4" s="490"/>
      <c r="HW4" s="490"/>
      <c r="HX4" s="490"/>
      <c r="HY4" s="490"/>
      <c r="HZ4" s="490"/>
      <c r="IA4" s="490"/>
      <c r="IB4" s="490"/>
      <c r="IC4" s="490"/>
      <c r="ID4" s="490"/>
      <c r="IE4" s="490"/>
      <c r="IF4" s="490"/>
      <c r="IG4" s="490"/>
      <c r="IH4" s="490"/>
      <c r="II4" s="490"/>
      <c r="IJ4" s="490"/>
      <c r="IK4" s="490"/>
      <c r="IL4" s="490"/>
      <c r="IM4" s="490"/>
      <c r="IN4" s="490"/>
      <c r="IO4" s="490"/>
    </row>
    <row r="5" spans="1:249" s="491" customFormat="1" ht="13.5" customHeight="1">
      <c r="A5" s="481"/>
      <c r="B5" s="473" t="s">
        <v>1459</v>
      </c>
      <c r="C5" s="474">
        <f>COUNTIF($D$13:$D$268,B5)</f>
        <v>4</v>
      </c>
      <c r="D5" s="475">
        <f>C5/$C$7</f>
        <v>1.8604651162790697E-2</v>
      </c>
      <c r="E5" s="476">
        <f>SUMIF($D$13:$D$244,B5,$E$13:$E$244)</f>
        <v>283291221</v>
      </c>
      <c r="F5" s="475"/>
      <c r="G5" s="470"/>
      <c r="H5"/>
      <c r="I5" s="471"/>
      <c r="J5" s="474" t="s">
        <v>3187</v>
      </c>
      <c r="K5" s="474">
        <f>COUNTIFS($D$13:$D$317,$K$1,$F$13:$F$317,J5)</f>
        <v>4</v>
      </c>
      <c r="L5" s="474">
        <f>COUNTIFS($D$13:$D$244,$K$1,$E$13:$E$244,"&gt;1000000000",$F$13:$F$244,J5)</f>
        <v>3</v>
      </c>
      <c r="M5" s="474">
        <f>COUNTIFS($D$13:$D$317,$M$1,$F$13:$F$317,J5)</f>
        <v>28</v>
      </c>
      <c r="N5" s="474">
        <f>COUNTIFS($D$13:$D$317,$N$1,$F$13:$F$317,J5)</f>
        <v>39</v>
      </c>
      <c r="P5" s="170"/>
      <c r="Q5" s="170"/>
      <c r="R5" s="170"/>
      <c r="S5" s="178"/>
      <c r="T5" s="185"/>
      <c r="U5" s="173"/>
      <c r="V5" s="173"/>
      <c r="W5" s="173"/>
      <c r="X5" s="173"/>
      <c r="Y5" s="158"/>
      <c r="Z5" s="158"/>
      <c r="AA5" s="158"/>
      <c r="AB5" s="158"/>
      <c r="AC5" s="158"/>
      <c r="AD5" s="161"/>
      <c r="AE5" s="487"/>
      <c r="AF5" s="488"/>
      <c r="AG5" s="489"/>
      <c r="AH5" s="489"/>
      <c r="AI5" s="489"/>
      <c r="AJ5" s="489"/>
      <c r="AK5" s="489"/>
      <c r="AL5" s="490"/>
      <c r="AM5" s="490"/>
      <c r="AN5" s="490"/>
      <c r="AO5" s="490"/>
      <c r="AP5" s="490"/>
      <c r="AQ5" s="490"/>
      <c r="AR5" s="490"/>
      <c r="AS5" s="490"/>
      <c r="AT5" s="490"/>
      <c r="AU5" s="490"/>
      <c r="AV5" s="490"/>
      <c r="AW5" s="490"/>
      <c r="AX5" s="490"/>
      <c r="AY5" s="490"/>
      <c r="AZ5" s="490"/>
      <c r="BA5" s="490"/>
      <c r="BB5" s="490"/>
      <c r="BC5" s="490"/>
      <c r="BD5" s="490"/>
      <c r="BE5" s="490"/>
      <c r="BF5" s="490"/>
      <c r="BG5" s="490"/>
      <c r="BH5" s="490"/>
      <c r="BI5" s="490"/>
      <c r="BJ5" s="490"/>
      <c r="BK5" s="490"/>
      <c r="BL5" s="490"/>
      <c r="BM5" s="490"/>
      <c r="BN5" s="490"/>
      <c r="BO5" s="490"/>
      <c r="BP5" s="490"/>
      <c r="BQ5" s="490"/>
      <c r="BR5" s="490"/>
      <c r="BS5" s="490"/>
      <c r="BT5" s="490"/>
      <c r="BU5" s="490"/>
      <c r="BV5" s="490"/>
      <c r="BW5" s="490"/>
      <c r="BX5" s="490"/>
      <c r="BY5" s="490"/>
      <c r="BZ5" s="490"/>
      <c r="CA5" s="490"/>
      <c r="CB5" s="490"/>
      <c r="CC5" s="490"/>
      <c r="CD5" s="490"/>
      <c r="CE5" s="490"/>
      <c r="CF5" s="490"/>
      <c r="CG5" s="490"/>
      <c r="CH5" s="490"/>
      <c r="CI5" s="490"/>
      <c r="CJ5" s="490"/>
      <c r="CK5" s="490"/>
      <c r="CL5" s="490"/>
      <c r="CM5" s="490"/>
      <c r="CN5" s="490"/>
      <c r="CO5" s="490"/>
      <c r="CP5" s="490"/>
      <c r="CQ5" s="490"/>
      <c r="CR5" s="490"/>
      <c r="CS5" s="490"/>
      <c r="CT5" s="490"/>
      <c r="CU5" s="490"/>
      <c r="CV5" s="490"/>
      <c r="CW5" s="490"/>
      <c r="CX5" s="490"/>
      <c r="CY5" s="490"/>
      <c r="CZ5" s="490"/>
      <c r="DA5" s="490"/>
      <c r="DB5" s="490"/>
      <c r="DC5" s="490"/>
      <c r="DD5" s="490"/>
      <c r="DE5" s="490"/>
      <c r="DF5" s="490"/>
      <c r="DG5" s="490"/>
      <c r="DH5" s="490"/>
      <c r="DI5" s="490"/>
      <c r="DJ5" s="490"/>
      <c r="DK5" s="490"/>
      <c r="DL5" s="490"/>
      <c r="DM5" s="490"/>
      <c r="DN5" s="490"/>
      <c r="DO5" s="490"/>
      <c r="DP5" s="490"/>
      <c r="DQ5" s="490"/>
      <c r="DR5" s="490"/>
      <c r="DS5" s="490"/>
      <c r="DT5" s="490"/>
      <c r="DU5" s="490"/>
      <c r="DV5" s="490"/>
      <c r="DW5" s="490"/>
      <c r="DX5" s="490"/>
      <c r="DY5" s="490"/>
      <c r="DZ5" s="490"/>
      <c r="EA5" s="490"/>
      <c r="EB5" s="490"/>
      <c r="EC5" s="490"/>
      <c r="ED5" s="490"/>
      <c r="EE5" s="490"/>
      <c r="EF5" s="490"/>
      <c r="EG5" s="490"/>
      <c r="EH5" s="490"/>
      <c r="EI5" s="490"/>
      <c r="EJ5" s="490"/>
      <c r="EK5" s="490"/>
      <c r="EL5" s="490"/>
      <c r="EM5" s="490"/>
      <c r="EN5" s="490"/>
      <c r="EO5" s="490"/>
      <c r="EP5" s="490"/>
      <c r="EQ5" s="490"/>
      <c r="ER5" s="490"/>
      <c r="ES5" s="490"/>
      <c r="ET5" s="490"/>
      <c r="EU5" s="490"/>
      <c r="EV5" s="490"/>
      <c r="EW5" s="490"/>
      <c r="EX5" s="490"/>
      <c r="EY5" s="490"/>
      <c r="EZ5" s="490"/>
      <c r="FA5" s="490"/>
      <c r="FB5" s="490"/>
      <c r="FC5" s="490"/>
      <c r="FD5" s="490"/>
      <c r="FE5" s="490"/>
      <c r="FF5" s="490"/>
      <c r="FG5" s="490"/>
      <c r="FH5" s="490"/>
      <c r="FI5" s="490"/>
      <c r="FJ5" s="490"/>
      <c r="FK5" s="490"/>
      <c r="FL5" s="490"/>
      <c r="FM5" s="490"/>
      <c r="FN5" s="490"/>
      <c r="FO5" s="490"/>
      <c r="FP5" s="490"/>
      <c r="FQ5" s="490"/>
      <c r="FR5" s="490"/>
      <c r="FS5" s="490"/>
      <c r="FT5" s="490"/>
      <c r="FU5" s="490"/>
      <c r="FV5" s="490"/>
      <c r="FW5" s="490"/>
      <c r="FX5" s="490"/>
      <c r="FY5" s="490"/>
      <c r="FZ5" s="490"/>
      <c r="GA5" s="490"/>
      <c r="GB5" s="490"/>
      <c r="GC5" s="490"/>
      <c r="GD5" s="490"/>
      <c r="GE5" s="490"/>
      <c r="GF5" s="490"/>
      <c r="GG5" s="490"/>
      <c r="GH5" s="490"/>
      <c r="GI5" s="490"/>
      <c r="GJ5" s="490"/>
      <c r="GK5" s="490"/>
      <c r="GL5" s="490"/>
      <c r="GM5" s="490"/>
      <c r="GN5" s="490"/>
      <c r="GO5" s="490"/>
      <c r="GP5" s="490"/>
      <c r="GQ5" s="490"/>
      <c r="GR5" s="490"/>
      <c r="GS5" s="490"/>
      <c r="GT5" s="490"/>
      <c r="GU5" s="490"/>
      <c r="GV5" s="490"/>
      <c r="GW5" s="490"/>
      <c r="GX5" s="490"/>
      <c r="GY5" s="490"/>
      <c r="GZ5" s="490"/>
      <c r="HA5" s="490"/>
      <c r="HB5" s="490"/>
      <c r="HC5" s="490"/>
      <c r="HD5" s="490"/>
      <c r="HE5" s="490"/>
      <c r="HF5" s="490"/>
      <c r="HG5" s="490"/>
      <c r="HH5" s="490"/>
      <c r="HI5" s="490"/>
      <c r="HJ5" s="490"/>
      <c r="HK5" s="490"/>
      <c r="HL5" s="490"/>
      <c r="HM5" s="490"/>
      <c r="HN5" s="490"/>
      <c r="HO5" s="490"/>
      <c r="HP5" s="490"/>
      <c r="HQ5" s="490"/>
      <c r="HR5" s="490"/>
      <c r="HS5" s="490"/>
      <c r="HT5" s="490"/>
      <c r="HU5" s="490"/>
      <c r="HV5" s="490"/>
      <c r="HW5" s="490"/>
      <c r="HX5" s="490"/>
      <c r="HY5" s="490"/>
      <c r="HZ5" s="490"/>
      <c r="IA5" s="490"/>
      <c r="IB5" s="490"/>
      <c r="IC5" s="490"/>
      <c r="ID5" s="490"/>
      <c r="IE5" s="490"/>
      <c r="IF5" s="490"/>
      <c r="IG5" s="490"/>
      <c r="IH5" s="490"/>
      <c r="II5" s="490"/>
      <c r="IJ5" s="490"/>
      <c r="IK5" s="490"/>
      <c r="IL5" s="490"/>
      <c r="IM5" s="490"/>
      <c r="IN5" s="490"/>
      <c r="IO5" s="490"/>
    </row>
    <row r="6" spans="1:249" s="491" customFormat="1" ht="13.5" customHeight="1">
      <c r="A6" s="481"/>
      <c r="B6" s="473" t="s">
        <v>3188</v>
      </c>
      <c r="C6" s="474">
        <f>COUNTIF($D$13:$D$268,B6)</f>
        <v>0</v>
      </c>
      <c r="D6" s="475">
        <f>C6/$C$7</f>
        <v>0</v>
      </c>
      <c r="E6" s="476"/>
      <c r="F6" s="475"/>
      <c r="G6" s="470"/>
      <c r="H6" s="470"/>
      <c r="I6" s="471"/>
      <c r="J6" s="474" t="s">
        <v>3189</v>
      </c>
      <c r="K6" s="474">
        <f>COUNTIFS($D$13:$D$317,$K$1,$F$13:$F$317,J6)</f>
        <v>4</v>
      </c>
      <c r="L6" s="474">
        <f>COUNTIFS($D$13:$D$244,$K$1,$E$13:$E$244,"&gt;1000000000",$F$13:$F$244,J6)</f>
        <v>1</v>
      </c>
      <c r="M6" s="474">
        <f>COUNTIFS($D$13:$D$317,$M$1,$F$13:$F$317,J6)</f>
        <v>13</v>
      </c>
      <c r="N6" s="474">
        <f>COUNTIFS($D$13:$D$317,$N$1,$F$13:$F$317,J6)</f>
        <v>30</v>
      </c>
      <c r="P6" s="169"/>
      <c r="Q6" s="169"/>
      <c r="R6" s="169"/>
      <c r="S6" s="169"/>
      <c r="T6" s="169"/>
      <c r="U6" s="178"/>
      <c r="V6" s="178"/>
      <c r="W6" s="178"/>
      <c r="X6" s="178"/>
      <c r="Y6" s="178"/>
      <c r="Z6" s="178"/>
      <c r="AA6" s="178"/>
      <c r="AB6" s="178"/>
      <c r="AC6" s="178"/>
      <c r="AD6" s="178"/>
      <c r="AE6" s="487"/>
      <c r="AF6" s="492"/>
      <c r="AG6" s="493"/>
      <c r="AH6" s="493"/>
      <c r="AI6" s="493"/>
      <c r="AJ6" s="493"/>
      <c r="AK6" s="493"/>
      <c r="AL6" s="494"/>
      <c r="AM6" s="494"/>
      <c r="AN6" s="494"/>
      <c r="AO6" s="494"/>
      <c r="AP6" s="494"/>
      <c r="AQ6" s="494"/>
      <c r="AR6" s="494"/>
      <c r="AS6" s="494"/>
      <c r="AT6" s="494"/>
      <c r="AU6" s="494"/>
      <c r="AV6" s="494"/>
      <c r="AW6" s="494"/>
      <c r="AX6" s="494"/>
      <c r="AY6" s="494"/>
      <c r="AZ6" s="494"/>
      <c r="BA6" s="494"/>
      <c r="BB6" s="494"/>
      <c r="BC6" s="490"/>
      <c r="BD6" s="494"/>
      <c r="BE6" s="494"/>
      <c r="BF6" s="494"/>
      <c r="BG6" s="494"/>
      <c r="BH6" s="494"/>
      <c r="BI6" s="494"/>
      <c r="BJ6" s="494"/>
      <c r="BK6" s="494"/>
      <c r="BL6" s="494"/>
      <c r="BM6" s="494"/>
      <c r="BN6" s="494"/>
      <c r="BO6" s="494"/>
      <c r="BP6" s="494"/>
      <c r="BQ6" s="494"/>
      <c r="BR6" s="494"/>
      <c r="BS6" s="494"/>
      <c r="BT6" s="494"/>
      <c r="BU6" s="494"/>
      <c r="BV6" s="494"/>
      <c r="BW6" s="494"/>
      <c r="BX6" s="494"/>
      <c r="BY6" s="494"/>
      <c r="BZ6" s="494"/>
      <c r="CA6" s="494"/>
      <c r="CB6" s="494"/>
      <c r="CC6" s="494"/>
      <c r="CD6" s="494"/>
      <c r="CE6" s="494"/>
      <c r="CF6" s="494"/>
      <c r="CG6" s="494"/>
      <c r="CH6" s="494"/>
      <c r="CI6" s="494"/>
      <c r="CJ6" s="494"/>
      <c r="CK6" s="494"/>
      <c r="CL6" s="494"/>
      <c r="CM6" s="494"/>
      <c r="CN6" s="494"/>
      <c r="CO6" s="494"/>
      <c r="CP6" s="494"/>
      <c r="CQ6" s="494"/>
      <c r="CR6" s="494"/>
      <c r="CS6" s="494"/>
      <c r="CT6" s="494"/>
      <c r="CU6" s="494"/>
      <c r="CV6" s="494"/>
      <c r="CW6" s="494"/>
      <c r="CX6" s="494"/>
      <c r="CY6" s="494"/>
      <c r="CZ6" s="494"/>
      <c r="DA6" s="494"/>
      <c r="DB6" s="494"/>
      <c r="DC6" s="494"/>
      <c r="DD6" s="494"/>
      <c r="DE6" s="494"/>
      <c r="DF6" s="494"/>
      <c r="DG6" s="494"/>
      <c r="DH6" s="494"/>
      <c r="DI6" s="494"/>
      <c r="DJ6" s="494"/>
      <c r="DK6" s="494"/>
      <c r="DL6" s="494"/>
      <c r="DM6" s="494"/>
      <c r="DN6" s="494"/>
      <c r="DO6" s="494"/>
      <c r="DP6" s="494"/>
      <c r="DQ6" s="494"/>
      <c r="DR6" s="494"/>
      <c r="DS6" s="494"/>
      <c r="DT6" s="494"/>
      <c r="DU6" s="494"/>
      <c r="DV6" s="494"/>
      <c r="DW6" s="494"/>
      <c r="DX6" s="494"/>
      <c r="DY6" s="494"/>
      <c r="DZ6" s="494"/>
      <c r="EA6" s="494"/>
      <c r="EB6" s="494"/>
      <c r="EC6" s="494"/>
      <c r="ED6" s="494"/>
      <c r="EE6" s="494"/>
      <c r="EF6" s="494"/>
      <c r="EG6" s="494"/>
      <c r="EH6" s="494"/>
      <c r="EI6" s="494"/>
      <c r="EJ6" s="494"/>
      <c r="EK6" s="494"/>
      <c r="EL6" s="494"/>
      <c r="EM6" s="494"/>
      <c r="EN6" s="494"/>
      <c r="EO6" s="494"/>
      <c r="EP6" s="494"/>
      <c r="EQ6" s="494"/>
      <c r="ER6" s="494"/>
      <c r="ES6" s="494"/>
      <c r="ET6" s="494"/>
      <c r="EU6" s="494"/>
      <c r="EV6" s="494"/>
      <c r="EW6" s="494"/>
      <c r="EX6" s="494"/>
      <c r="EY6" s="494"/>
      <c r="EZ6" s="494"/>
      <c r="FA6" s="494"/>
      <c r="FB6" s="494"/>
      <c r="FC6" s="494"/>
      <c r="FD6" s="494"/>
      <c r="FE6" s="494"/>
      <c r="FF6" s="494"/>
      <c r="FG6" s="494"/>
      <c r="FH6" s="494"/>
      <c r="FI6" s="494"/>
      <c r="FJ6" s="494"/>
      <c r="FK6" s="494"/>
      <c r="FL6" s="494"/>
      <c r="FM6" s="494"/>
      <c r="FN6" s="494"/>
      <c r="FO6" s="494"/>
      <c r="FP6" s="494"/>
      <c r="FQ6" s="494"/>
      <c r="FR6" s="494"/>
      <c r="FS6" s="494"/>
      <c r="FT6" s="494"/>
      <c r="FU6" s="494"/>
      <c r="FV6" s="494"/>
      <c r="FW6" s="494"/>
      <c r="FX6" s="494"/>
      <c r="FY6" s="494"/>
      <c r="FZ6" s="494"/>
      <c r="GA6" s="494"/>
      <c r="GB6" s="494"/>
      <c r="GC6" s="494"/>
      <c r="GD6" s="494"/>
      <c r="GE6" s="494"/>
      <c r="GF6" s="494"/>
      <c r="GG6" s="494"/>
      <c r="GH6" s="494"/>
      <c r="GI6" s="494"/>
      <c r="GJ6" s="494"/>
      <c r="GK6" s="494"/>
      <c r="GL6" s="494"/>
      <c r="GM6" s="494"/>
      <c r="GN6" s="494"/>
      <c r="GO6" s="494"/>
      <c r="GP6" s="494"/>
      <c r="GQ6" s="494"/>
      <c r="GR6" s="494"/>
      <c r="GS6" s="494"/>
      <c r="GT6" s="494"/>
      <c r="GU6" s="494"/>
      <c r="GV6" s="494"/>
      <c r="GW6" s="494"/>
      <c r="GX6" s="494"/>
      <c r="GY6" s="494"/>
      <c r="GZ6" s="494"/>
      <c r="HA6" s="494"/>
      <c r="HB6" s="494"/>
      <c r="HC6" s="494"/>
      <c r="HD6" s="494"/>
      <c r="HE6" s="494"/>
      <c r="HF6" s="494"/>
      <c r="HG6" s="494"/>
      <c r="HH6" s="494"/>
      <c r="HI6" s="494"/>
      <c r="HJ6" s="494"/>
      <c r="HK6" s="494"/>
      <c r="HL6" s="494"/>
      <c r="HM6" s="494"/>
      <c r="HN6" s="494"/>
      <c r="HO6" s="494"/>
      <c r="HP6" s="494"/>
      <c r="HQ6" s="494"/>
      <c r="HR6" s="494"/>
      <c r="HS6" s="494"/>
      <c r="HT6" s="494"/>
      <c r="HU6" s="494"/>
      <c r="HV6" s="494"/>
      <c r="HW6" s="494"/>
      <c r="HX6" s="494"/>
      <c r="HY6" s="494"/>
      <c r="HZ6" s="494"/>
      <c r="IA6" s="494"/>
      <c r="IB6" s="494"/>
      <c r="IC6" s="494"/>
      <c r="ID6" s="494"/>
      <c r="IE6" s="494"/>
      <c r="IF6" s="494"/>
      <c r="IG6" s="494"/>
      <c r="IH6" s="494"/>
      <c r="II6" s="494"/>
      <c r="IJ6" s="494"/>
      <c r="IK6" s="494"/>
      <c r="IL6" s="494"/>
      <c r="IM6" s="494"/>
      <c r="IN6" s="494"/>
      <c r="IO6" s="494"/>
    </row>
    <row r="7" spans="1:249" s="491" customFormat="1" ht="13.5" customHeight="1">
      <c r="A7" s="481"/>
      <c r="B7" s="473" t="s">
        <v>3190</v>
      </c>
      <c r="C7" s="474">
        <f>SUM(C2:C6)</f>
        <v>215</v>
      </c>
      <c r="D7" s="475">
        <f>SUM(D2:D6)</f>
        <v>1</v>
      </c>
      <c r="E7" s="476">
        <f>SUM(E2:E5)</f>
        <v>80170423683</v>
      </c>
      <c r="F7" s="475">
        <f>SUM(F2:F4)</f>
        <v>1</v>
      </c>
      <c r="G7" s="470"/>
      <c r="H7" s="470"/>
      <c r="I7" s="471"/>
      <c r="J7" s="477" t="b">
        <f>SUM(K7:N7)-L7=SUM(C2:C4)</f>
        <v>1</v>
      </c>
      <c r="K7" s="477">
        <f>SUM(K2:K6)</f>
        <v>27</v>
      </c>
      <c r="L7" s="477">
        <f>SUM(L2:L6)</f>
        <v>17</v>
      </c>
      <c r="M7" s="477">
        <f>SUM(M2:M6)</f>
        <v>74</v>
      </c>
      <c r="N7" s="477">
        <f>SUM(N2:N6)</f>
        <v>110</v>
      </c>
      <c r="P7" s="160"/>
      <c r="Q7" s="160"/>
      <c r="R7" s="160"/>
      <c r="S7" s="160"/>
      <c r="T7" s="160"/>
      <c r="U7" s="178"/>
      <c r="V7" s="178"/>
      <c r="W7" s="178"/>
      <c r="X7" s="178"/>
      <c r="Y7" s="178"/>
      <c r="Z7" s="178"/>
      <c r="AA7" s="178"/>
      <c r="AB7" s="178"/>
      <c r="AC7" s="178"/>
      <c r="AD7" s="181"/>
      <c r="AE7" s="487"/>
      <c r="AF7" s="492"/>
      <c r="AG7" s="493"/>
      <c r="AH7" s="493"/>
      <c r="AI7" s="493"/>
      <c r="AJ7" s="493"/>
      <c r="AK7" s="493"/>
      <c r="AL7" s="494"/>
      <c r="AM7" s="494"/>
      <c r="AN7" s="494"/>
      <c r="AO7" s="494"/>
      <c r="AP7" s="494"/>
      <c r="AQ7" s="494"/>
      <c r="AR7" s="494"/>
      <c r="AS7" s="494"/>
      <c r="AT7" s="494"/>
      <c r="AU7" s="494"/>
      <c r="AV7" s="494"/>
      <c r="AW7" s="494"/>
      <c r="AX7" s="494"/>
      <c r="AY7" s="494"/>
      <c r="AZ7" s="494"/>
      <c r="BA7" s="494"/>
      <c r="BB7" s="494"/>
      <c r="BC7" s="490"/>
      <c r="BD7" s="494"/>
      <c r="BE7" s="494"/>
      <c r="BF7" s="494"/>
      <c r="BG7" s="494"/>
      <c r="BH7" s="494"/>
      <c r="BI7" s="494"/>
      <c r="BJ7" s="494"/>
      <c r="BK7" s="494"/>
      <c r="BL7" s="494"/>
      <c r="BM7" s="494"/>
      <c r="BN7" s="494"/>
      <c r="BO7" s="494"/>
      <c r="BP7" s="494"/>
      <c r="BQ7" s="494"/>
      <c r="BR7" s="494"/>
      <c r="BS7" s="494"/>
      <c r="BT7" s="494"/>
      <c r="BU7" s="494"/>
      <c r="BV7" s="494"/>
      <c r="BW7" s="494"/>
      <c r="BX7" s="494"/>
      <c r="BY7" s="494"/>
      <c r="BZ7" s="494"/>
      <c r="CA7" s="494"/>
      <c r="CB7" s="494"/>
      <c r="CC7" s="494"/>
      <c r="CD7" s="494"/>
      <c r="CE7" s="494"/>
      <c r="CF7" s="494"/>
      <c r="CG7" s="494"/>
      <c r="CH7" s="494"/>
      <c r="CI7" s="494"/>
      <c r="CJ7" s="494"/>
      <c r="CK7" s="494"/>
      <c r="CL7" s="494"/>
      <c r="CM7" s="494"/>
      <c r="CN7" s="494"/>
      <c r="CO7" s="494"/>
      <c r="CP7" s="494"/>
      <c r="CQ7" s="494"/>
      <c r="CR7" s="494"/>
      <c r="CS7" s="494"/>
      <c r="CT7" s="494"/>
      <c r="CU7" s="494"/>
      <c r="CV7" s="494"/>
      <c r="CW7" s="494"/>
      <c r="CX7" s="494"/>
      <c r="CY7" s="494"/>
      <c r="CZ7" s="494"/>
      <c r="DA7" s="494"/>
      <c r="DB7" s="494"/>
      <c r="DC7" s="494"/>
      <c r="DD7" s="494"/>
      <c r="DE7" s="494"/>
      <c r="DF7" s="494"/>
      <c r="DG7" s="494"/>
      <c r="DH7" s="494"/>
      <c r="DI7" s="494"/>
      <c r="DJ7" s="494"/>
      <c r="DK7" s="494"/>
      <c r="DL7" s="494"/>
      <c r="DM7" s="494"/>
      <c r="DN7" s="494"/>
      <c r="DO7" s="494"/>
      <c r="DP7" s="494"/>
      <c r="DQ7" s="494"/>
      <c r="DR7" s="494"/>
      <c r="DS7" s="494"/>
      <c r="DT7" s="494"/>
      <c r="DU7" s="494"/>
      <c r="DV7" s="494"/>
      <c r="DW7" s="494"/>
      <c r="DX7" s="494"/>
      <c r="DY7" s="494"/>
      <c r="DZ7" s="494"/>
      <c r="EA7" s="494"/>
      <c r="EB7" s="494"/>
      <c r="EC7" s="494"/>
      <c r="ED7" s="494"/>
      <c r="EE7" s="494"/>
      <c r="EF7" s="494"/>
      <c r="EG7" s="494"/>
      <c r="EH7" s="494"/>
      <c r="EI7" s="494"/>
      <c r="EJ7" s="494"/>
      <c r="EK7" s="494"/>
      <c r="EL7" s="494"/>
      <c r="EM7" s="494"/>
      <c r="EN7" s="494"/>
      <c r="EO7" s="494"/>
      <c r="EP7" s="494"/>
      <c r="EQ7" s="494"/>
      <c r="ER7" s="494"/>
      <c r="ES7" s="494"/>
      <c r="ET7" s="494"/>
      <c r="EU7" s="494"/>
      <c r="EV7" s="494"/>
      <c r="EW7" s="494"/>
      <c r="EX7" s="494"/>
      <c r="EY7" s="494"/>
      <c r="EZ7" s="494"/>
      <c r="FA7" s="494"/>
      <c r="FB7" s="494"/>
      <c r="FC7" s="494"/>
      <c r="FD7" s="494"/>
      <c r="FE7" s="494"/>
      <c r="FF7" s="494"/>
      <c r="FG7" s="494"/>
      <c r="FH7" s="494"/>
      <c r="FI7" s="494"/>
      <c r="FJ7" s="494"/>
      <c r="FK7" s="494"/>
      <c r="FL7" s="494"/>
      <c r="FM7" s="494"/>
      <c r="FN7" s="494"/>
      <c r="FO7" s="494"/>
      <c r="FP7" s="494"/>
      <c r="FQ7" s="494"/>
      <c r="FR7" s="494"/>
      <c r="FS7" s="494"/>
      <c r="FT7" s="494"/>
      <c r="FU7" s="494"/>
      <c r="FV7" s="494"/>
      <c r="FW7" s="494"/>
      <c r="FX7" s="494"/>
      <c r="FY7" s="494"/>
      <c r="FZ7" s="494"/>
      <c r="GA7" s="494"/>
      <c r="GB7" s="494"/>
      <c r="GC7" s="494"/>
      <c r="GD7" s="494"/>
      <c r="GE7" s="494"/>
      <c r="GF7" s="494"/>
      <c r="GG7" s="494"/>
      <c r="GH7" s="494"/>
      <c r="GI7" s="494"/>
      <c r="GJ7" s="494"/>
      <c r="GK7" s="494"/>
      <c r="GL7" s="494"/>
      <c r="GM7" s="494"/>
      <c r="GN7" s="494"/>
      <c r="GO7" s="494"/>
      <c r="GP7" s="494"/>
      <c r="GQ7" s="494"/>
      <c r="GR7" s="494"/>
      <c r="GS7" s="494"/>
      <c r="GT7" s="494"/>
      <c r="GU7" s="494"/>
      <c r="GV7" s="494"/>
      <c r="GW7" s="494"/>
      <c r="GX7" s="494"/>
      <c r="GY7" s="494"/>
      <c r="GZ7" s="494"/>
      <c r="HA7" s="494"/>
      <c r="HB7" s="494"/>
      <c r="HC7" s="494"/>
      <c r="HD7" s="494"/>
      <c r="HE7" s="494"/>
      <c r="HF7" s="494"/>
      <c r="HG7" s="494"/>
      <c r="HH7" s="494"/>
      <c r="HI7" s="494"/>
      <c r="HJ7" s="494"/>
      <c r="HK7" s="494"/>
      <c r="HL7" s="494"/>
      <c r="HM7" s="494"/>
      <c r="HN7" s="494"/>
      <c r="HO7" s="494"/>
      <c r="HP7" s="494"/>
      <c r="HQ7" s="494"/>
      <c r="HR7" s="494"/>
      <c r="HS7" s="494"/>
      <c r="HT7" s="494"/>
      <c r="HU7" s="494"/>
      <c r="HV7" s="494"/>
      <c r="HW7" s="494"/>
      <c r="HX7" s="494"/>
      <c r="HY7" s="494"/>
      <c r="HZ7" s="494"/>
      <c r="IA7" s="494"/>
      <c r="IB7" s="494"/>
      <c r="IC7" s="494"/>
      <c r="ID7" s="494"/>
      <c r="IE7" s="494"/>
      <c r="IF7" s="494"/>
      <c r="IG7" s="494"/>
      <c r="IH7" s="494"/>
      <c r="II7" s="494"/>
      <c r="IJ7" s="494"/>
      <c r="IK7" s="494"/>
      <c r="IL7" s="494"/>
      <c r="IM7" s="494"/>
      <c r="IN7" s="494"/>
      <c r="IO7" s="494"/>
    </row>
    <row r="8" spans="1:249" s="491" customFormat="1" ht="13.5" customHeight="1" thickBot="1">
      <c r="A8" s="481"/>
      <c r="I8" s="488"/>
      <c r="J8" s="182"/>
      <c r="K8" s="182"/>
      <c r="L8" s="183"/>
      <c r="M8" s="183"/>
      <c r="N8" s="535"/>
      <c r="O8" s="495"/>
      <c r="P8" s="185"/>
      <c r="Q8" s="185"/>
      <c r="R8" s="185"/>
      <c r="S8" s="185"/>
      <c r="T8" s="185"/>
      <c r="U8" s="185"/>
      <c r="V8" s="185"/>
      <c r="W8" s="185"/>
      <c r="X8" s="185"/>
      <c r="Y8" s="185"/>
      <c r="Z8" s="185"/>
      <c r="AA8" s="185"/>
      <c r="AB8" s="185"/>
      <c r="AC8" s="185"/>
      <c r="AD8" s="186"/>
      <c r="AE8" s="487"/>
      <c r="AF8" s="488"/>
      <c r="AG8" s="489"/>
      <c r="AH8" s="489"/>
      <c r="AI8" s="489"/>
      <c r="AJ8" s="489"/>
      <c r="AK8" s="489"/>
      <c r="AL8" s="490"/>
      <c r="AM8" s="490"/>
      <c r="AN8" s="490"/>
      <c r="AO8" s="490"/>
      <c r="AP8" s="490"/>
      <c r="AQ8" s="490"/>
      <c r="AR8" s="490"/>
      <c r="AS8" s="490"/>
      <c r="AT8" s="490"/>
      <c r="AU8" s="490"/>
      <c r="AV8" s="490"/>
      <c r="AW8" s="496" t="s">
        <v>3170</v>
      </c>
      <c r="AX8" s="496" t="s">
        <v>3170</v>
      </c>
      <c r="AY8" s="496" t="s">
        <v>3170</v>
      </c>
      <c r="AZ8" s="496" t="s">
        <v>3170</v>
      </c>
      <c r="BA8" s="496" t="s">
        <v>3170</v>
      </c>
      <c r="BB8" s="496" t="s">
        <v>3170</v>
      </c>
      <c r="BC8" s="490"/>
      <c r="BD8" s="490"/>
      <c r="BE8" s="490"/>
      <c r="BF8" s="490"/>
      <c r="BG8" s="490"/>
      <c r="BH8" s="490"/>
      <c r="BI8" s="490"/>
      <c r="BJ8" s="490"/>
      <c r="BK8" s="490"/>
      <c r="BL8" s="490"/>
      <c r="BM8" s="490"/>
      <c r="BN8" s="490"/>
      <c r="BO8" s="490"/>
      <c r="BP8" s="490"/>
      <c r="BQ8" s="490"/>
      <c r="BR8" s="490"/>
      <c r="BS8" s="490"/>
      <c r="BT8" s="490"/>
      <c r="BU8" s="490"/>
      <c r="BV8" s="490"/>
      <c r="BW8" s="490"/>
      <c r="BX8" s="490"/>
      <c r="BY8" s="490"/>
      <c r="BZ8" s="490"/>
      <c r="CA8" s="490"/>
      <c r="CB8" s="490"/>
      <c r="CC8" s="490"/>
      <c r="CD8" s="490"/>
      <c r="CE8" s="490"/>
      <c r="CF8" s="490"/>
      <c r="CG8" s="490"/>
      <c r="CH8" s="490"/>
      <c r="CI8" s="490"/>
      <c r="CJ8" s="490"/>
      <c r="CK8" s="490"/>
      <c r="CL8" s="490"/>
      <c r="CM8" s="490"/>
      <c r="CN8" s="490"/>
      <c r="CO8" s="490"/>
      <c r="CP8" s="490"/>
      <c r="CQ8" s="490"/>
      <c r="CR8" s="490"/>
      <c r="CS8" s="490"/>
      <c r="CT8" s="490"/>
      <c r="CU8" s="490"/>
      <c r="CV8" s="490"/>
      <c r="CW8" s="490"/>
      <c r="CX8" s="490"/>
      <c r="CY8" s="490"/>
      <c r="CZ8" s="490"/>
      <c r="DA8" s="490"/>
      <c r="DB8" s="490"/>
      <c r="DC8" s="490"/>
      <c r="DD8" s="490"/>
      <c r="DE8" s="490"/>
      <c r="DF8" s="490"/>
      <c r="DG8" s="490"/>
      <c r="DH8" s="490"/>
      <c r="DI8" s="490"/>
      <c r="DJ8" s="490"/>
      <c r="DK8" s="490"/>
      <c r="DL8" s="490"/>
      <c r="DM8" s="490"/>
      <c r="DN8" s="490"/>
      <c r="DO8" s="490"/>
      <c r="DP8" s="490"/>
      <c r="DQ8" s="490"/>
      <c r="DR8" s="490"/>
      <c r="DS8" s="490"/>
      <c r="DT8" s="490"/>
      <c r="DU8" s="490"/>
      <c r="DV8" s="490"/>
      <c r="DW8" s="490"/>
      <c r="DX8" s="490"/>
      <c r="DY8" s="490"/>
      <c r="DZ8" s="490"/>
      <c r="EA8" s="490"/>
      <c r="EB8" s="490"/>
      <c r="EC8" s="490"/>
      <c r="ED8" s="490"/>
      <c r="EE8" s="490"/>
      <c r="EF8" s="490"/>
      <c r="EG8" s="490"/>
      <c r="EH8" s="490"/>
      <c r="EI8" s="490"/>
      <c r="EJ8" s="490"/>
      <c r="EK8" s="490"/>
      <c r="EL8" s="490"/>
      <c r="EM8" s="490"/>
      <c r="EN8" s="490"/>
      <c r="EO8" s="490"/>
      <c r="EP8" s="490"/>
      <c r="EQ8" s="490"/>
      <c r="ER8" s="490"/>
      <c r="ES8" s="490"/>
      <c r="ET8" s="490"/>
      <c r="EU8" s="490"/>
      <c r="EV8" s="490"/>
      <c r="EW8" s="490"/>
      <c r="EX8" s="490"/>
      <c r="EY8" s="490"/>
      <c r="EZ8" s="490"/>
      <c r="FA8" s="490"/>
      <c r="FB8" s="490"/>
      <c r="FC8" s="490"/>
      <c r="FD8" s="490"/>
      <c r="FE8" s="490"/>
      <c r="FF8" s="490"/>
      <c r="FG8" s="490"/>
      <c r="FH8" s="490"/>
      <c r="FI8" s="490"/>
      <c r="FJ8" s="490"/>
      <c r="FK8" s="490"/>
      <c r="FL8" s="490"/>
      <c r="FM8" s="490"/>
      <c r="FN8" s="490"/>
      <c r="FO8" s="490"/>
      <c r="FP8" s="490"/>
      <c r="FQ8" s="490"/>
      <c r="FR8" s="490"/>
      <c r="FS8" s="490"/>
      <c r="FT8" s="490"/>
      <c r="FU8" s="490"/>
      <c r="FV8" s="490"/>
      <c r="FW8" s="490"/>
      <c r="FX8" s="490"/>
      <c r="FY8" s="490"/>
      <c r="FZ8" s="490"/>
      <c r="GA8" s="490"/>
      <c r="GB8" s="490"/>
      <c r="GC8" s="490"/>
      <c r="GD8" s="490"/>
      <c r="GE8" s="490"/>
      <c r="GF8" s="490"/>
      <c r="GG8" s="490"/>
      <c r="GH8" s="490"/>
      <c r="GI8" s="490"/>
      <c r="GJ8" s="490"/>
      <c r="GK8" s="490"/>
      <c r="GL8" s="490"/>
      <c r="GM8" s="490"/>
      <c r="GN8" s="490"/>
      <c r="GO8" s="490"/>
      <c r="GP8" s="490"/>
      <c r="GQ8" s="490"/>
      <c r="GR8" s="490"/>
      <c r="GS8" s="490"/>
      <c r="GT8" s="490"/>
      <c r="GU8" s="490"/>
      <c r="GV8" s="490"/>
      <c r="GW8" s="490"/>
      <c r="GX8" s="490"/>
      <c r="GY8" s="490"/>
      <c r="GZ8" s="490"/>
      <c r="HA8" s="490"/>
      <c r="HB8" s="490"/>
      <c r="HC8" s="490"/>
      <c r="HD8" s="490"/>
      <c r="HE8" s="490"/>
      <c r="HF8" s="490"/>
      <c r="HG8" s="490"/>
      <c r="HH8" s="490"/>
      <c r="HI8" s="490"/>
      <c r="HJ8" s="490"/>
      <c r="HK8" s="490"/>
      <c r="HL8" s="490"/>
      <c r="HM8" s="490"/>
      <c r="HN8" s="490"/>
      <c r="HO8" s="490"/>
      <c r="HP8" s="490"/>
      <c r="HQ8" s="490"/>
      <c r="HR8" s="490"/>
      <c r="HS8" s="490"/>
      <c r="HT8" s="490"/>
      <c r="HU8" s="490"/>
      <c r="HV8" s="490"/>
      <c r="HW8" s="490"/>
      <c r="HX8" s="490"/>
      <c r="HY8" s="490"/>
      <c r="HZ8" s="490"/>
      <c r="IA8" s="490"/>
      <c r="IB8" s="490"/>
      <c r="IC8" s="490"/>
      <c r="ID8" s="490"/>
      <c r="IE8" s="490"/>
      <c r="IF8" s="490"/>
      <c r="IG8" s="490"/>
      <c r="IH8" s="490"/>
      <c r="II8" s="490"/>
      <c r="IJ8" s="490"/>
      <c r="IK8" s="490"/>
      <c r="IL8" s="490"/>
      <c r="IM8" s="490"/>
      <c r="IN8" s="490"/>
      <c r="IO8" s="490"/>
    </row>
    <row r="9" spans="1:249" s="491" customFormat="1" ht="13.5" customHeight="1">
      <c r="A9" s="481"/>
      <c r="I9" s="499"/>
      <c r="J9" s="188" t="s">
        <v>1189</v>
      </c>
      <c r="K9" s="189"/>
      <c r="L9" s="189"/>
      <c r="M9" s="190"/>
      <c r="N9" s="542"/>
      <c r="O9" s="394" t="s">
        <v>45</v>
      </c>
      <c r="P9" s="395"/>
      <c r="Q9" s="395"/>
      <c r="R9" s="395"/>
      <c r="S9" s="395"/>
      <c r="T9" s="396"/>
      <c r="U9" s="545" t="s">
        <v>1190</v>
      </c>
      <c r="V9" s="546"/>
      <c r="W9" s="546"/>
      <c r="X9" s="547"/>
      <c r="Y9" s="548"/>
      <c r="Z9" s="545" t="s">
        <v>1191</v>
      </c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50"/>
      <c r="AN9" s="545" t="s">
        <v>46</v>
      </c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50"/>
      <c r="BC9" s="545" t="s">
        <v>1192</v>
      </c>
      <c r="BD9" s="546"/>
      <c r="BE9" s="546"/>
      <c r="BF9" s="549"/>
      <c r="BG9" s="549"/>
      <c r="BH9" s="549"/>
      <c r="BI9" s="549"/>
      <c r="BJ9" s="549"/>
      <c r="BK9" s="549"/>
      <c r="BL9" s="549"/>
      <c r="BM9" s="549"/>
      <c r="BN9" s="549"/>
      <c r="BO9" s="549"/>
      <c r="BP9" s="549"/>
      <c r="BQ9" s="549"/>
      <c r="BR9" s="549"/>
      <c r="BS9" s="549"/>
      <c r="BT9" s="549"/>
      <c r="BU9" s="549"/>
      <c r="BV9" s="549"/>
      <c r="BW9" s="549"/>
      <c r="BX9" s="549"/>
      <c r="BY9" s="549"/>
      <c r="BZ9" s="550"/>
      <c r="CA9" s="397" t="s">
        <v>47</v>
      </c>
      <c r="CB9" s="398"/>
      <c r="CC9" s="398"/>
      <c r="CD9" s="398"/>
      <c r="CE9" s="398"/>
      <c r="CF9" s="398"/>
      <c r="CG9" s="399"/>
      <c r="CH9" s="397" t="s">
        <v>48</v>
      </c>
      <c r="CI9" s="400"/>
      <c r="CJ9" s="401" t="s">
        <v>49</v>
      </c>
      <c r="CK9" s="497"/>
      <c r="CL9" s="497"/>
      <c r="CM9" s="497"/>
      <c r="CN9" s="497"/>
      <c r="CO9" s="497"/>
      <c r="CP9" s="497"/>
      <c r="CQ9" s="497"/>
      <c r="CR9" s="497"/>
      <c r="CS9" s="497"/>
      <c r="CT9" s="497"/>
      <c r="CU9" s="497"/>
      <c r="CV9" s="497"/>
      <c r="CW9" s="497"/>
      <c r="CX9" s="497"/>
      <c r="CY9" s="497"/>
      <c r="CZ9" s="497"/>
      <c r="DA9" s="497"/>
      <c r="DB9" s="497"/>
      <c r="DC9" s="497"/>
      <c r="DD9" s="497"/>
      <c r="DE9" s="497"/>
      <c r="DF9" s="497"/>
      <c r="DG9" s="497"/>
      <c r="DH9" s="497"/>
      <c r="DI9" s="497"/>
      <c r="DJ9" s="497"/>
      <c r="DK9" s="497"/>
      <c r="DL9" s="497"/>
      <c r="DM9" s="497"/>
      <c r="DN9" s="497"/>
      <c r="DO9" s="497"/>
      <c r="DP9" s="497"/>
      <c r="DQ9" s="497"/>
      <c r="DR9" s="497"/>
      <c r="DS9" s="497"/>
      <c r="DT9" s="497"/>
      <c r="DU9" s="497"/>
      <c r="DV9" s="497"/>
      <c r="DW9" s="497"/>
      <c r="DX9" s="497"/>
      <c r="DY9" s="497"/>
      <c r="DZ9" s="497"/>
      <c r="EA9" s="497"/>
      <c r="EB9" s="497"/>
      <c r="EC9" s="497"/>
      <c r="ED9" s="497"/>
      <c r="EE9" s="497"/>
      <c r="EF9" s="497"/>
      <c r="EG9" s="497"/>
      <c r="EH9" s="497"/>
      <c r="EI9" s="497"/>
      <c r="EJ9" s="497"/>
      <c r="EK9" s="497"/>
      <c r="EL9" s="497"/>
      <c r="EM9" s="497"/>
      <c r="EN9" s="497"/>
      <c r="EO9" s="497"/>
      <c r="EP9" s="497"/>
      <c r="EQ9" s="497"/>
      <c r="ER9" s="497"/>
      <c r="ES9" s="497"/>
      <c r="ET9" s="497"/>
      <c r="EU9" s="497"/>
      <c r="EV9" s="497"/>
      <c r="EW9" s="497"/>
      <c r="EX9" s="497"/>
      <c r="EY9" s="497"/>
      <c r="EZ9" s="497"/>
      <c r="FA9" s="497"/>
      <c r="FB9" s="497"/>
      <c r="FC9" s="497"/>
      <c r="FD9" s="497"/>
      <c r="FE9" s="497"/>
      <c r="FF9" s="497"/>
      <c r="FG9" s="497"/>
      <c r="FH9" s="497"/>
      <c r="FI9" s="497"/>
      <c r="FJ9" s="497"/>
      <c r="FK9" s="497"/>
      <c r="FL9" s="497"/>
      <c r="FM9" s="497"/>
      <c r="FN9" s="497"/>
      <c r="FO9" s="497"/>
      <c r="FP9" s="497"/>
      <c r="FQ9" s="497"/>
      <c r="FR9" s="497"/>
      <c r="FS9" s="497"/>
      <c r="FT9" s="497"/>
      <c r="FU9" s="497"/>
      <c r="FV9" s="497"/>
      <c r="FW9" s="497"/>
      <c r="FX9" s="497"/>
      <c r="FY9" s="497"/>
      <c r="FZ9" s="497"/>
      <c r="GA9" s="497"/>
      <c r="GB9" s="497"/>
      <c r="GC9" s="497"/>
      <c r="GD9" s="497"/>
      <c r="GE9" s="497"/>
      <c r="GF9" s="497"/>
      <c r="GG9" s="497"/>
      <c r="GH9" s="497"/>
      <c r="GI9" s="497"/>
      <c r="GJ9" s="497"/>
      <c r="GK9" s="497"/>
      <c r="GL9" s="497"/>
      <c r="GM9" s="497"/>
      <c r="GN9" s="497"/>
      <c r="GO9" s="497"/>
      <c r="GP9" s="497"/>
      <c r="GQ9" s="497"/>
      <c r="GR9" s="497"/>
      <c r="GS9" s="497"/>
      <c r="GT9" s="497"/>
      <c r="GU9" s="497"/>
      <c r="GV9" s="497"/>
      <c r="GW9" s="497"/>
      <c r="GX9" s="497"/>
      <c r="GY9" s="497"/>
      <c r="GZ9" s="497"/>
      <c r="HA9" s="497"/>
      <c r="HB9" s="497"/>
      <c r="HC9" s="497"/>
      <c r="HD9" s="497"/>
      <c r="HE9" s="497"/>
      <c r="HF9" s="497"/>
      <c r="HG9" s="497"/>
      <c r="HH9" s="497"/>
      <c r="HI9" s="497"/>
      <c r="HJ9" s="497"/>
      <c r="HK9" s="497"/>
      <c r="HL9" s="497"/>
      <c r="HM9" s="497"/>
      <c r="HN9" s="497"/>
      <c r="HO9" s="497"/>
      <c r="HP9" s="497"/>
      <c r="HQ9" s="497"/>
      <c r="HR9" s="497"/>
      <c r="HS9" s="497"/>
      <c r="HT9" s="497"/>
      <c r="HU9" s="497"/>
      <c r="HV9" s="497"/>
      <c r="HW9" s="497"/>
      <c r="HX9" s="497"/>
      <c r="HY9" s="497"/>
      <c r="HZ9" s="497"/>
      <c r="IA9" s="497"/>
      <c r="IB9" s="497"/>
      <c r="IC9" s="497"/>
      <c r="ID9" s="497"/>
      <c r="IE9" s="497"/>
      <c r="IF9" s="497"/>
      <c r="IG9" s="497"/>
      <c r="IH9" s="497"/>
      <c r="II9" s="497"/>
      <c r="IJ9" s="497"/>
      <c r="IK9" s="497"/>
      <c r="IL9" s="497"/>
      <c r="IM9" s="497"/>
      <c r="IN9" s="497"/>
      <c r="IO9" s="497"/>
    </row>
    <row r="10" spans="1:249" s="497" customFormat="1" ht="13.5" customHeight="1">
      <c r="A10" s="482"/>
      <c r="B10" s="499"/>
      <c r="C10" s="499"/>
      <c r="D10" s="499"/>
      <c r="E10" s="507">
        <f>SUM('Sheet A(R)'!I10:I217)</f>
        <v>81691979641</v>
      </c>
      <c r="F10" s="507">
        <f>E11-E10</f>
        <v>-1521555958</v>
      </c>
      <c r="G10" s="499"/>
      <c r="H10" s="499"/>
      <c r="I10" s="499"/>
      <c r="J10" s="191">
        <v>1</v>
      </c>
      <c r="K10" s="192">
        <v>2</v>
      </c>
      <c r="L10" s="192">
        <v>3</v>
      </c>
      <c r="M10" s="193">
        <v>4</v>
      </c>
      <c r="N10" s="543"/>
      <c r="O10" s="402">
        <v>5</v>
      </c>
      <c r="P10" s="192">
        <v>6</v>
      </c>
      <c r="Q10" s="192">
        <v>7</v>
      </c>
      <c r="R10" s="192">
        <v>8</v>
      </c>
      <c r="S10" s="192">
        <v>9</v>
      </c>
      <c r="T10" s="193">
        <v>10</v>
      </c>
      <c r="U10" s="402">
        <v>11</v>
      </c>
      <c r="V10" s="192">
        <v>12</v>
      </c>
      <c r="W10" s="192">
        <v>13</v>
      </c>
      <c r="X10" s="403">
        <v>14</v>
      </c>
      <c r="Y10" s="193">
        <v>15</v>
      </c>
      <c r="Z10" s="402">
        <v>16</v>
      </c>
      <c r="AA10" s="192">
        <v>17</v>
      </c>
      <c r="AB10" s="192">
        <v>18</v>
      </c>
      <c r="AC10" s="192">
        <v>19</v>
      </c>
      <c r="AD10" s="192">
        <v>20</v>
      </c>
      <c r="AE10" s="192">
        <v>21</v>
      </c>
      <c r="AF10" s="192">
        <v>22</v>
      </c>
      <c r="AG10" s="192">
        <v>23</v>
      </c>
      <c r="AH10" s="192">
        <v>24</v>
      </c>
      <c r="AI10" s="192">
        <v>25</v>
      </c>
      <c r="AJ10" s="192">
        <v>26</v>
      </c>
      <c r="AK10" s="192">
        <v>27</v>
      </c>
      <c r="AL10" s="192">
        <v>28</v>
      </c>
      <c r="AM10" s="193">
        <v>29</v>
      </c>
      <c r="AN10" s="402">
        <v>30</v>
      </c>
      <c r="AO10" s="192">
        <v>31</v>
      </c>
      <c r="AP10" s="192">
        <v>32</v>
      </c>
      <c r="AQ10" s="192">
        <v>33</v>
      </c>
      <c r="AR10" s="192">
        <v>34</v>
      </c>
      <c r="AS10" s="192">
        <v>35</v>
      </c>
      <c r="AT10" s="192">
        <v>36</v>
      </c>
      <c r="AU10" s="192">
        <v>37</v>
      </c>
      <c r="AV10" s="192">
        <v>38</v>
      </c>
      <c r="AW10" s="192">
        <v>39</v>
      </c>
      <c r="AX10" s="192">
        <v>40</v>
      </c>
      <c r="AY10" s="192">
        <v>41</v>
      </c>
      <c r="AZ10" s="192">
        <v>42</v>
      </c>
      <c r="BA10" s="192">
        <v>43</v>
      </c>
      <c r="BB10" s="193">
        <v>44</v>
      </c>
      <c r="BC10" s="402">
        <v>45</v>
      </c>
      <c r="BD10" s="192">
        <v>46</v>
      </c>
      <c r="BE10" s="192">
        <v>47</v>
      </c>
      <c r="BF10" s="192">
        <v>48</v>
      </c>
      <c r="BG10" s="192">
        <v>49</v>
      </c>
      <c r="BH10" s="192">
        <v>50</v>
      </c>
      <c r="BI10" s="192">
        <v>51</v>
      </c>
      <c r="BJ10" s="192">
        <v>52</v>
      </c>
      <c r="BK10" s="192">
        <v>53</v>
      </c>
      <c r="BL10" s="192">
        <v>54</v>
      </c>
      <c r="BM10" s="192">
        <v>55</v>
      </c>
      <c r="BN10" s="192">
        <v>56</v>
      </c>
      <c r="BO10" s="192">
        <v>57</v>
      </c>
      <c r="BP10" s="192">
        <v>58</v>
      </c>
      <c r="BQ10" s="192">
        <v>59</v>
      </c>
      <c r="BR10" s="192">
        <v>60</v>
      </c>
      <c r="BS10" s="192">
        <v>61</v>
      </c>
      <c r="BT10" s="192">
        <v>62</v>
      </c>
      <c r="BU10" s="192">
        <v>63</v>
      </c>
      <c r="BV10" s="192">
        <v>64</v>
      </c>
      <c r="BW10" s="192">
        <v>65</v>
      </c>
      <c r="BX10" s="192">
        <v>66</v>
      </c>
      <c r="BY10" s="192">
        <v>67</v>
      </c>
      <c r="BZ10" s="193">
        <v>68</v>
      </c>
      <c r="CA10" s="402">
        <v>69</v>
      </c>
      <c r="CB10" s="192">
        <v>70</v>
      </c>
      <c r="CC10" s="192">
        <v>71</v>
      </c>
      <c r="CD10" s="192">
        <v>72</v>
      </c>
      <c r="CE10" s="192">
        <v>73</v>
      </c>
      <c r="CF10" s="192">
        <v>74</v>
      </c>
      <c r="CG10" s="193">
        <v>75</v>
      </c>
      <c r="CH10" s="402">
        <v>76</v>
      </c>
      <c r="CI10" s="193">
        <v>77</v>
      </c>
      <c r="CJ10" s="404">
        <v>78</v>
      </c>
    </row>
    <row r="11" spans="1:249" s="497" customFormat="1" ht="36">
      <c r="A11" s="482"/>
      <c r="B11" s="499"/>
      <c r="C11" s="499"/>
      <c r="D11" s="499"/>
      <c r="E11" s="507">
        <f>SUM(E13:E244)</f>
        <v>80170423683</v>
      </c>
      <c r="F11" s="499" t="s">
        <v>3475</v>
      </c>
      <c r="G11" s="499"/>
      <c r="H11" s="499"/>
      <c r="I11" s="499"/>
      <c r="J11" s="195" t="s">
        <v>1193</v>
      </c>
      <c r="K11" s="196" t="s">
        <v>1194</v>
      </c>
      <c r="L11" s="568" t="s">
        <v>1195</v>
      </c>
      <c r="M11" s="569" t="s">
        <v>1196</v>
      </c>
      <c r="N11" s="570" t="s">
        <v>3448</v>
      </c>
      <c r="O11" s="574" t="s">
        <v>1197</v>
      </c>
      <c r="P11" s="568" t="s">
        <v>1198</v>
      </c>
      <c r="Q11" s="568" t="s">
        <v>1199</v>
      </c>
      <c r="R11" s="568" t="s">
        <v>1200</v>
      </c>
      <c r="S11" s="568" t="s">
        <v>1201</v>
      </c>
      <c r="T11" s="569" t="s">
        <v>1202</v>
      </c>
      <c r="U11" s="195" t="s">
        <v>1203</v>
      </c>
      <c r="V11" s="196" t="s">
        <v>1204</v>
      </c>
      <c r="W11" s="568" t="s">
        <v>1205</v>
      </c>
      <c r="X11" s="405" t="s">
        <v>50</v>
      </c>
      <c r="Y11" s="197" t="s">
        <v>1206</v>
      </c>
      <c r="Z11" s="195" t="s">
        <v>51</v>
      </c>
      <c r="AA11" s="196" t="s">
        <v>1207</v>
      </c>
      <c r="AB11" s="196" t="s">
        <v>1208</v>
      </c>
      <c r="AC11" s="196" t="s">
        <v>1209</v>
      </c>
      <c r="AD11" s="196" t="s">
        <v>1210</v>
      </c>
      <c r="AE11" s="568" t="s">
        <v>1211</v>
      </c>
      <c r="AF11" s="196" t="s">
        <v>1212</v>
      </c>
      <c r="AG11" s="196" t="s">
        <v>1213</v>
      </c>
      <c r="AH11" s="196" t="s">
        <v>1214</v>
      </c>
      <c r="AI11" s="196" t="s">
        <v>1215</v>
      </c>
      <c r="AJ11" s="196" t="s">
        <v>1209</v>
      </c>
      <c r="AK11" s="196" t="s">
        <v>1216</v>
      </c>
      <c r="AL11" s="196" t="s">
        <v>1217</v>
      </c>
      <c r="AM11" s="197" t="s">
        <v>1218</v>
      </c>
      <c r="AN11" s="195" t="s">
        <v>1219</v>
      </c>
      <c r="AO11" s="196" t="s">
        <v>1209</v>
      </c>
      <c r="AP11" s="196" t="s">
        <v>1220</v>
      </c>
      <c r="AQ11" s="196" t="s">
        <v>1221</v>
      </c>
      <c r="AR11" s="196" t="s">
        <v>1222</v>
      </c>
      <c r="AS11" s="196" t="s">
        <v>1223</v>
      </c>
      <c r="AT11" s="196" t="s">
        <v>1224</v>
      </c>
      <c r="AU11" s="196" t="s">
        <v>1225</v>
      </c>
      <c r="AV11" s="196" t="s">
        <v>52</v>
      </c>
      <c r="AW11" s="196" t="s">
        <v>1226</v>
      </c>
      <c r="AX11" s="196" t="s">
        <v>1227</v>
      </c>
      <c r="AY11" s="196" t="s">
        <v>1228</v>
      </c>
      <c r="AZ11" s="196" t="s">
        <v>1229</v>
      </c>
      <c r="BA11" s="196" t="s">
        <v>1230</v>
      </c>
      <c r="BB11" s="197" t="s">
        <v>1231</v>
      </c>
      <c r="BC11" s="195" t="s">
        <v>1232</v>
      </c>
      <c r="BD11" s="196" t="s">
        <v>1233</v>
      </c>
      <c r="BE11" s="196" t="s">
        <v>1234</v>
      </c>
      <c r="BF11" s="406" t="s">
        <v>1235</v>
      </c>
      <c r="BG11" s="406" t="s">
        <v>1236</v>
      </c>
      <c r="BH11" s="568" t="s">
        <v>1237</v>
      </c>
      <c r="BI11" s="576" t="s">
        <v>1238</v>
      </c>
      <c r="BJ11" s="406" t="s">
        <v>1239</v>
      </c>
      <c r="BK11" s="577" t="s">
        <v>1240</v>
      </c>
      <c r="BL11" s="196" t="s">
        <v>1241</v>
      </c>
      <c r="BM11" s="196" t="s">
        <v>1242</v>
      </c>
      <c r="BN11" s="196" t="s">
        <v>1243</v>
      </c>
      <c r="BO11" s="196" t="s">
        <v>1244</v>
      </c>
      <c r="BP11" s="196" t="s">
        <v>1245</v>
      </c>
      <c r="BQ11" s="196" t="s">
        <v>1246</v>
      </c>
      <c r="BR11" s="196" t="s">
        <v>1247</v>
      </c>
      <c r="BS11" s="196" t="s">
        <v>1248</v>
      </c>
      <c r="BT11" s="196" t="s">
        <v>1249</v>
      </c>
      <c r="BU11" s="196" t="s">
        <v>1250</v>
      </c>
      <c r="BV11" s="196" t="s">
        <v>1251</v>
      </c>
      <c r="BW11" s="196" t="s">
        <v>1252</v>
      </c>
      <c r="BX11" s="196" t="s">
        <v>1253</v>
      </c>
      <c r="BY11" s="196" t="s">
        <v>1254</v>
      </c>
      <c r="BZ11" s="197" t="s">
        <v>1255</v>
      </c>
      <c r="CA11" s="195" t="s">
        <v>1256</v>
      </c>
      <c r="CB11" s="196" t="s">
        <v>1257</v>
      </c>
      <c r="CC11" s="196" t="s">
        <v>1258</v>
      </c>
      <c r="CD11" s="196" t="s">
        <v>1259</v>
      </c>
      <c r="CE11" s="196" t="s">
        <v>1260</v>
      </c>
      <c r="CF11" s="196" t="s">
        <v>1261</v>
      </c>
      <c r="CG11" s="197" t="s">
        <v>1262</v>
      </c>
      <c r="CH11" s="195" t="s">
        <v>1263</v>
      </c>
      <c r="CI11" s="197" t="s">
        <v>1264</v>
      </c>
      <c r="CJ11" s="407" t="s">
        <v>1265</v>
      </c>
      <c r="CK11" s="498"/>
      <c r="CL11" s="498"/>
      <c r="CM11" s="498"/>
      <c r="CN11" s="498"/>
      <c r="CO11" s="498"/>
      <c r="CP11" s="498"/>
      <c r="CQ11" s="498"/>
      <c r="CR11" s="498"/>
      <c r="CS11" s="498"/>
      <c r="CT11" s="498"/>
      <c r="CU11" s="498"/>
      <c r="CV11" s="498"/>
      <c r="CW11" s="498"/>
      <c r="CX11" s="498"/>
      <c r="CY11" s="498"/>
      <c r="CZ11" s="498"/>
      <c r="DA11" s="498"/>
      <c r="DB11" s="498"/>
      <c r="DC11" s="498"/>
      <c r="DD11" s="498"/>
      <c r="DE11" s="498"/>
      <c r="DF11" s="498"/>
      <c r="DG11" s="498"/>
      <c r="DH11" s="498"/>
      <c r="DI11" s="498"/>
      <c r="DJ11" s="498"/>
      <c r="DK11" s="498"/>
      <c r="DL11" s="498"/>
      <c r="DM11" s="498"/>
      <c r="DN11" s="498"/>
      <c r="DO11" s="498"/>
      <c r="DP11" s="498"/>
      <c r="DQ11" s="498"/>
      <c r="DR11" s="498"/>
      <c r="DS11" s="498"/>
      <c r="DT11" s="498"/>
      <c r="DU11" s="498"/>
      <c r="DV11" s="498"/>
      <c r="DW11" s="498"/>
      <c r="DX11" s="498"/>
      <c r="DY11" s="498"/>
      <c r="DZ11" s="498"/>
      <c r="EA11" s="498"/>
      <c r="EB11" s="498"/>
      <c r="EC11" s="498"/>
      <c r="ED11" s="498"/>
      <c r="EE11" s="498"/>
      <c r="EF11" s="498"/>
      <c r="EG11" s="498"/>
      <c r="EH11" s="498"/>
      <c r="EI11" s="498"/>
      <c r="EJ11" s="498"/>
      <c r="EK11" s="498"/>
      <c r="EL11" s="498"/>
      <c r="EM11" s="498"/>
      <c r="EN11" s="498"/>
      <c r="EO11" s="498"/>
      <c r="EP11" s="498"/>
      <c r="EQ11" s="498"/>
      <c r="ER11" s="498"/>
      <c r="ES11" s="498"/>
      <c r="ET11" s="498"/>
      <c r="EU11" s="498"/>
      <c r="EV11" s="498"/>
      <c r="EW11" s="498"/>
      <c r="EX11" s="498"/>
      <c r="EY11" s="498"/>
      <c r="EZ11" s="498"/>
      <c r="FA11" s="498"/>
      <c r="FB11" s="498"/>
      <c r="FC11" s="498"/>
      <c r="FD11" s="498"/>
      <c r="FE11" s="498"/>
      <c r="FF11" s="498"/>
      <c r="FG11" s="498"/>
      <c r="FH11" s="498"/>
      <c r="FI11" s="498"/>
      <c r="FJ11" s="498"/>
      <c r="FK11" s="498"/>
      <c r="FL11" s="498"/>
      <c r="FM11" s="498"/>
      <c r="FN11" s="498"/>
      <c r="FO11" s="498"/>
      <c r="FP11" s="498"/>
      <c r="FQ11" s="498"/>
      <c r="FR11" s="498"/>
      <c r="FS11" s="498"/>
      <c r="FT11" s="498"/>
      <c r="FU11" s="498"/>
      <c r="FV11" s="498"/>
      <c r="FW11" s="498"/>
      <c r="FX11" s="498"/>
      <c r="FY11" s="498"/>
      <c r="FZ11" s="498"/>
      <c r="GA11" s="498"/>
      <c r="GB11" s="498"/>
      <c r="GC11" s="498"/>
      <c r="GD11" s="498"/>
      <c r="GE11" s="498"/>
      <c r="GF11" s="498"/>
      <c r="GG11" s="498"/>
      <c r="GH11" s="498"/>
      <c r="GI11" s="498"/>
      <c r="GJ11" s="498"/>
      <c r="GK11" s="498"/>
      <c r="GL11" s="498"/>
      <c r="GM11" s="498"/>
      <c r="GN11" s="498"/>
      <c r="GO11" s="498"/>
      <c r="GP11" s="498"/>
      <c r="GQ11" s="498"/>
      <c r="GR11" s="498"/>
      <c r="GS11" s="498"/>
      <c r="GT11" s="498"/>
      <c r="GU11" s="498"/>
      <c r="GV11" s="498"/>
      <c r="GW11" s="498"/>
      <c r="GX11" s="498"/>
      <c r="GY11" s="498"/>
      <c r="GZ11" s="498"/>
      <c r="HA11" s="498"/>
      <c r="HB11" s="498"/>
      <c r="HC11" s="498"/>
      <c r="HD11" s="498"/>
      <c r="HE11" s="498"/>
      <c r="HF11" s="498"/>
      <c r="HG11" s="498"/>
      <c r="HH11" s="498"/>
      <c r="HI11" s="498"/>
      <c r="HJ11" s="498"/>
      <c r="HK11" s="498"/>
      <c r="HL11" s="498"/>
      <c r="HM11" s="498"/>
      <c r="HN11" s="498"/>
      <c r="HO11" s="498"/>
      <c r="HP11" s="498"/>
      <c r="HQ11" s="498"/>
      <c r="HR11" s="498"/>
      <c r="HS11" s="498"/>
      <c r="HT11" s="498"/>
      <c r="HU11" s="498"/>
      <c r="HV11" s="498"/>
      <c r="HW11" s="498"/>
      <c r="HX11" s="498"/>
      <c r="HY11" s="498"/>
      <c r="HZ11" s="498"/>
      <c r="IA11" s="498"/>
      <c r="IB11" s="498"/>
      <c r="IC11" s="498"/>
      <c r="ID11" s="498"/>
      <c r="IE11" s="498"/>
      <c r="IF11" s="498"/>
      <c r="IG11" s="498"/>
      <c r="IH11" s="498"/>
      <c r="II11" s="498"/>
      <c r="IJ11" s="498"/>
      <c r="IK11" s="498"/>
      <c r="IL11" s="498"/>
      <c r="IM11" s="498"/>
      <c r="IN11" s="498"/>
      <c r="IO11" s="498"/>
    </row>
    <row r="12" spans="1:249" s="499" customFormat="1" ht="41.25" customHeight="1" thickBot="1">
      <c r="A12" s="482"/>
      <c r="B12" s="524" t="s">
        <v>3173</v>
      </c>
      <c r="C12" s="525" t="s">
        <v>3174</v>
      </c>
      <c r="D12" s="526" t="s">
        <v>3175</v>
      </c>
      <c r="E12" s="525" t="s">
        <v>3437</v>
      </c>
      <c r="F12" s="525" t="s">
        <v>3176</v>
      </c>
      <c r="G12" s="526" t="s">
        <v>3177</v>
      </c>
      <c r="H12" s="527" t="s">
        <v>261</v>
      </c>
      <c r="I12" s="497"/>
      <c r="J12" s="408" t="s">
        <v>1266</v>
      </c>
      <c r="K12" s="409" t="s">
        <v>1267</v>
      </c>
      <c r="L12" s="571" t="s">
        <v>1268</v>
      </c>
      <c r="M12" s="572" t="s">
        <v>1269</v>
      </c>
      <c r="N12" s="573"/>
      <c r="O12" s="575" t="s">
        <v>1270</v>
      </c>
      <c r="P12" s="571" t="s">
        <v>1271</v>
      </c>
      <c r="Q12" s="571" t="s">
        <v>1272</v>
      </c>
      <c r="R12" s="571" t="s">
        <v>1273</v>
      </c>
      <c r="S12" s="571" t="s">
        <v>1274</v>
      </c>
      <c r="T12" s="572" t="s">
        <v>1275</v>
      </c>
      <c r="U12" s="408" t="s">
        <v>1276</v>
      </c>
      <c r="V12" s="409" t="s">
        <v>1277</v>
      </c>
      <c r="W12" s="571" t="s">
        <v>1278</v>
      </c>
      <c r="X12" s="411" t="s">
        <v>53</v>
      </c>
      <c r="Y12" s="410" t="s">
        <v>1279</v>
      </c>
      <c r="Z12" s="408" t="s">
        <v>54</v>
      </c>
      <c r="AA12" s="409" t="s">
        <v>1207</v>
      </c>
      <c r="AB12" s="409" t="s">
        <v>1280</v>
      </c>
      <c r="AC12" s="409" t="s">
        <v>1281</v>
      </c>
      <c r="AD12" s="409" t="s">
        <v>1282</v>
      </c>
      <c r="AE12" s="571" t="s">
        <v>1283</v>
      </c>
      <c r="AF12" s="409" t="s">
        <v>1284</v>
      </c>
      <c r="AG12" s="409" t="s">
        <v>1285</v>
      </c>
      <c r="AH12" s="409" t="s">
        <v>1286</v>
      </c>
      <c r="AI12" s="409" t="s">
        <v>1287</v>
      </c>
      <c r="AJ12" s="409" t="s">
        <v>1288</v>
      </c>
      <c r="AK12" s="409" t="s">
        <v>1289</v>
      </c>
      <c r="AL12" s="409" t="s">
        <v>1290</v>
      </c>
      <c r="AM12" s="410" t="s">
        <v>1291</v>
      </c>
      <c r="AN12" s="408" t="s">
        <v>1292</v>
      </c>
      <c r="AO12" s="409" t="s">
        <v>1281</v>
      </c>
      <c r="AP12" s="409" t="s">
        <v>1293</v>
      </c>
      <c r="AQ12" s="409" t="s">
        <v>1294</v>
      </c>
      <c r="AR12" s="409" t="s">
        <v>1295</v>
      </c>
      <c r="AS12" s="409" t="s">
        <v>1296</v>
      </c>
      <c r="AT12" s="409" t="s">
        <v>1297</v>
      </c>
      <c r="AU12" s="409" t="s">
        <v>55</v>
      </c>
      <c r="AV12" s="409" t="s">
        <v>56</v>
      </c>
      <c r="AW12" s="409" t="s">
        <v>1298</v>
      </c>
      <c r="AX12" s="409" t="s">
        <v>1299</v>
      </c>
      <c r="AY12" s="409" t="s">
        <v>1300</v>
      </c>
      <c r="AZ12" s="409" t="s">
        <v>1301</v>
      </c>
      <c r="BA12" s="409" t="s">
        <v>1302</v>
      </c>
      <c r="BB12" s="410" t="s">
        <v>1303</v>
      </c>
      <c r="BC12" s="408" t="s">
        <v>1304</v>
      </c>
      <c r="BD12" s="409" t="s">
        <v>1305</v>
      </c>
      <c r="BE12" s="409" t="s">
        <v>1306</v>
      </c>
      <c r="BF12" s="412" t="s">
        <v>1307</v>
      </c>
      <c r="BG12" s="412"/>
      <c r="BH12" s="571" t="s">
        <v>1308</v>
      </c>
      <c r="BI12" s="412" t="s">
        <v>1309</v>
      </c>
      <c r="BJ12" s="412"/>
      <c r="BK12" s="578" t="s">
        <v>57</v>
      </c>
      <c r="BL12" s="413" t="s">
        <v>58</v>
      </c>
      <c r="BM12" s="413" t="s">
        <v>57</v>
      </c>
      <c r="BN12" s="413" t="s">
        <v>58</v>
      </c>
      <c r="BO12" s="413" t="s">
        <v>59</v>
      </c>
      <c r="BP12" s="413" t="s">
        <v>60</v>
      </c>
      <c r="BQ12" s="414" t="s">
        <v>61</v>
      </c>
      <c r="BR12" s="413" t="s">
        <v>62</v>
      </c>
      <c r="BS12" s="413" t="s">
        <v>63</v>
      </c>
      <c r="BT12" s="413" t="s">
        <v>63</v>
      </c>
      <c r="BU12" s="413" t="s">
        <v>64</v>
      </c>
      <c r="BV12" s="413" t="s">
        <v>65</v>
      </c>
      <c r="BW12" s="413" t="s">
        <v>66</v>
      </c>
      <c r="BX12" s="413" t="s">
        <v>67</v>
      </c>
      <c r="BY12" s="413" t="s">
        <v>68</v>
      </c>
      <c r="BZ12" s="415" t="s">
        <v>69</v>
      </c>
      <c r="CA12" s="416" t="s">
        <v>70</v>
      </c>
      <c r="CB12" s="414" t="s">
        <v>71</v>
      </c>
      <c r="CC12" s="414" t="s">
        <v>72</v>
      </c>
      <c r="CD12" s="414" t="s">
        <v>73</v>
      </c>
      <c r="CE12" s="414" t="s">
        <v>74</v>
      </c>
      <c r="CF12" s="414" t="s">
        <v>74</v>
      </c>
      <c r="CG12" s="417" t="s">
        <v>75</v>
      </c>
      <c r="CH12" s="416" t="s">
        <v>1310</v>
      </c>
      <c r="CI12" s="418" t="s">
        <v>1311</v>
      </c>
      <c r="CJ12" s="419" t="s">
        <v>76</v>
      </c>
      <c r="CK12" s="498"/>
      <c r="CL12" s="498"/>
      <c r="CM12" s="498"/>
      <c r="CN12" s="498"/>
      <c r="CO12" s="498"/>
      <c r="CP12" s="498"/>
      <c r="CQ12" s="498"/>
      <c r="CR12" s="498"/>
      <c r="CS12" s="498"/>
      <c r="CT12" s="498"/>
      <c r="CU12" s="498"/>
      <c r="CV12" s="498"/>
      <c r="CW12" s="498"/>
      <c r="CX12" s="498"/>
      <c r="CY12" s="498"/>
      <c r="CZ12" s="498"/>
      <c r="DA12" s="498"/>
      <c r="DB12" s="498"/>
      <c r="DC12" s="498"/>
      <c r="DD12" s="498"/>
      <c r="DE12" s="498"/>
      <c r="DF12" s="498"/>
      <c r="DG12" s="498"/>
      <c r="DH12" s="498"/>
      <c r="DI12" s="498"/>
      <c r="DJ12" s="498"/>
      <c r="DK12" s="498"/>
      <c r="DL12" s="498"/>
      <c r="DM12" s="498"/>
      <c r="DN12" s="498"/>
      <c r="DO12" s="498"/>
      <c r="DP12" s="498"/>
      <c r="DQ12" s="498"/>
      <c r="DR12" s="498"/>
      <c r="DS12" s="498"/>
      <c r="DT12" s="498"/>
      <c r="DU12" s="498"/>
      <c r="DV12" s="498"/>
      <c r="DW12" s="498"/>
      <c r="DX12" s="498"/>
      <c r="DY12" s="498"/>
      <c r="DZ12" s="498"/>
      <c r="EA12" s="498"/>
      <c r="EB12" s="498"/>
      <c r="EC12" s="498"/>
      <c r="ED12" s="498"/>
      <c r="EE12" s="498"/>
      <c r="EF12" s="498"/>
      <c r="EG12" s="498"/>
      <c r="EH12" s="498"/>
      <c r="EI12" s="498"/>
      <c r="EJ12" s="498"/>
      <c r="EK12" s="498"/>
      <c r="EL12" s="498"/>
      <c r="EM12" s="498"/>
      <c r="EN12" s="498"/>
      <c r="EO12" s="498"/>
      <c r="EP12" s="498"/>
      <c r="EQ12" s="498"/>
      <c r="ER12" s="498"/>
      <c r="ES12" s="498"/>
      <c r="ET12" s="498"/>
      <c r="EU12" s="498"/>
      <c r="EV12" s="498"/>
      <c r="EW12" s="498"/>
      <c r="EX12" s="498"/>
      <c r="EY12" s="498"/>
      <c r="EZ12" s="498"/>
      <c r="FA12" s="498"/>
      <c r="FB12" s="498"/>
      <c r="FC12" s="498"/>
      <c r="FD12" s="498"/>
      <c r="FE12" s="498"/>
      <c r="FF12" s="498"/>
      <c r="FG12" s="498"/>
      <c r="FH12" s="498"/>
      <c r="FI12" s="498"/>
      <c r="FJ12" s="498"/>
      <c r="FK12" s="498"/>
      <c r="FL12" s="498"/>
      <c r="FM12" s="498"/>
      <c r="FN12" s="498"/>
      <c r="FO12" s="498"/>
      <c r="FP12" s="498"/>
      <c r="FQ12" s="498"/>
      <c r="FR12" s="498"/>
      <c r="FS12" s="498"/>
      <c r="FT12" s="498"/>
      <c r="FU12" s="498"/>
      <c r="FV12" s="498"/>
      <c r="FW12" s="498"/>
      <c r="FX12" s="498"/>
      <c r="FY12" s="498"/>
      <c r="FZ12" s="498"/>
      <c r="GA12" s="498"/>
      <c r="GB12" s="498"/>
      <c r="GC12" s="498"/>
      <c r="GD12" s="498"/>
      <c r="GE12" s="498"/>
      <c r="GF12" s="498"/>
      <c r="GG12" s="498"/>
      <c r="GH12" s="498"/>
      <c r="GI12" s="498"/>
      <c r="GJ12" s="498"/>
      <c r="GK12" s="498"/>
      <c r="GL12" s="498"/>
      <c r="GM12" s="498"/>
      <c r="GN12" s="498"/>
      <c r="GO12" s="498"/>
      <c r="GP12" s="498"/>
      <c r="GQ12" s="498"/>
      <c r="GR12" s="498"/>
      <c r="GS12" s="498"/>
      <c r="GT12" s="498"/>
      <c r="GU12" s="498"/>
      <c r="GV12" s="498"/>
      <c r="GW12" s="498"/>
      <c r="GX12" s="498"/>
      <c r="GY12" s="498"/>
      <c r="GZ12" s="498"/>
      <c r="HA12" s="498"/>
      <c r="HB12" s="498"/>
      <c r="HC12" s="498"/>
      <c r="HD12" s="498"/>
      <c r="HE12" s="498"/>
      <c r="HF12" s="498"/>
      <c r="HG12" s="498"/>
      <c r="HH12" s="498"/>
      <c r="HI12" s="498"/>
      <c r="HJ12" s="498"/>
      <c r="HK12" s="498"/>
      <c r="HL12" s="498"/>
      <c r="HM12" s="498"/>
      <c r="HN12" s="498"/>
      <c r="HO12" s="498"/>
      <c r="HP12" s="498"/>
      <c r="HQ12" s="498"/>
      <c r="HR12" s="498"/>
      <c r="HS12" s="498"/>
      <c r="HT12" s="498"/>
      <c r="HU12" s="498"/>
      <c r="HV12" s="498"/>
      <c r="HW12" s="498"/>
      <c r="HX12" s="498"/>
      <c r="HY12" s="498"/>
      <c r="HZ12" s="498"/>
      <c r="IA12" s="498"/>
      <c r="IB12" s="498"/>
      <c r="IC12" s="498"/>
      <c r="ID12" s="498"/>
      <c r="IE12" s="498"/>
      <c r="IF12" s="498"/>
      <c r="IG12" s="498"/>
      <c r="IH12" s="498"/>
      <c r="II12" s="498"/>
      <c r="IJ12" s="498"/>
      <c r="IK12" s="498"/>
      <c r="IL12" s="498"/>
      <c r="IM12" s="498"/>
      <c r="IN12" s="498"/>
      <c r="IO12" s="498"/>
    </row>
    <row r="13" spans="1:249" s="503" customFormat="1" ht="14.1" hidden="1" customHeight="1">
      <c r="A13" s="483" t="s">
        <v>3424</v>
      </c>
      <c r="B13" s="519" t="s">
        <v>3191</v>
      </c>
      <c r="C13" s="520" t="s">
        <v>3423</v>
      </c>
      <c r="D13" s="520" t="s">
        <v>3423</v>
      </c>
      <c r="E13" s="514">
        <v>420000000</v>
      </c>
      <c r="F13" s="520" t="s">
        <v>3187</v>
      </c>
      <c r="G13" s="511"/>
      <c r="H13" s="508"/>
      <c r="J13" s="199">
        <v>1</v>
      </c>
      <c r="K13" s="200"/>
      <c r="L13" s="200" t="s">
        <v>430</v>
      </c>
      <c r="M13" s="201" t="s">
        <v>208</v>
      </c>
      <c r="N13" s="536"/>
      <c r="O13" s="202">
        <v>1</v>
      </c>
      <c r="P13" s="201" t="s">
        <v>77</v>
      </c>
      <c r="Q13" s="201" t="s">
        <v>184</v>
      </c>
      <c r="R13" s="201" t="s">
        <v>1322</v>
      </c>
      <c r="S13" s="201" t="s">
        <v>1323</v>
      </c>
      <c r="T13" s="201" t="s">
        <v>106</v>
      </c>
      <c r="U13" s="203">
        <v>53.447400000000002</v>
      </c>
      <c r="V13" s="203">
        <v>99.857399999999998</v>
      </c>
      <c r="W13" s="204"/>
      <c r="X13" s="205"/>
      <c r="Y13" s="203"/>
      <c r="Z13" s="206">
        <v>41198</v>
      </c>
      <c r="AA13" s="206" t="s">
        <v>79</v>
      </c>
      <c r="AB13" s="207" t="s">
        <v>91</v>
      </c>
      <c r="AC13" s="208" t="s">
        <v>80</v>
      </c>
      <c r="AD13" s="209">
        <v>504000000</v>
      </c>
      <c r="AE13" s="209">
        <v>504000000</v>
      </c>
      <c r="AF13" s="207"/>
      <c r="AG13" s="207"/>
      <c r="AH13" s="209"/>
      <c r="AI13" s="207"/>
      <c r="AJ13" s="208"/>
      <c r="AK13" s="209"/>
      <c r="AL13" s="209"/>
      <c r="AM13" s="206"/>
      <c r="AN13" s="207"/>
      <c r="AO13" s="208"/>
      <c r="AP13" s="209"/>
      <c r="AQ13" s="209"/>
      <c r="AR13" s="207"/>
      <c r="AS13" s="207"/>
      <c r="AT13" s="209"/>
      <c r="AU13" s="209"/>
      <c r="AV13" s="209"/>
      <c r="AW13" s="466" t="s">
        <v>1313</v>
      </c>
      <c r="AX13" s="466" t="s">
        <v>1313</v>
      </c>
      <c r="AY13" s="466" t="s">
        <v>1313</v>
      </c>
      <c r="AZ13" s="466" t="s">
        <v>1313</v>
      </c>
      <c r="BA13" s="466" t="s">
        <v>1313</v>
      </c>
      <c r="BB13" s="466" t="s">
        <v>1313</v>
      </c>
      <c r="BC13" s="207" t="s">
        <v>82</v>
      </c>
      <c r="BD13" s="210"/>
      <c r="BE13" s="210"/>
      <c r="BF13" s="207"/>
      <c r="BG13" s="207"/>
      <c r="BH13" s="207"/>
      <c r="BI13" s="207"/>
      <c r="BJ13" s="207"/>
      <c r="BK13" s="206"/>
      <c r="BL13" s="206"/>
      <c r="BM13" s="206"/>
      <c r="BN13" s="206"/>
      <c r="BO13" s="211"/>
      <c r="BP13" s="207"/>
      <c r="BQ13" s="207"/>
      <c r="BR13" s="206"/>
      <c r="BS13" s="206"/>
      <c r="BT13" s="212"/>
      <c r="BU13" s="212"/>
      <c r="BV13" s="206"/>
      <c r="BW13" s="212"/>
      <c r="BX13" s="206"/>
      <c r="BY13" s="212"/>
      <c r="BZ13" s="206"/>
      <c r="CA13" s="206">
        <v>42482</v>
      </c>
      <c r="CB13" s="213" t="s">
        <v>134</v>
      </c>
      <c r="CC13" s="212"/>
      <c r="CD13" s="212">
        <v>490000000</v>
      </c>
      <c r="CE13" s="212"/>
      <c r="CF13" s="212"/>
      <c r="CG13" s="212">
        <v>490000000</v>
      </c>
      <c r="CH13" s="200"/>
      <c r="CI13" s="212"/>
      <c r="CJ13" s="255" t="s">
        <v>1324</v>
      </c>
    </row>
    <row r="14" spans="1:249" s="503" customFormat="1" ht="14.1" hidden="1" customHeight="1" thickBot="1">
      <c r="A14" s="483" t="s">
        <v>3424</v>
      </c>
      <c r="B14" s="522" t="s">
        <v>3192</v>
      </c>
      <c r="C14" s="523" t="s">
        <v>3423</v>
      </c>
      <c r="D14" s="523" t="s">
        <v>3423</v>
      </c>
      <c r="E14" s="509">
        <v>70000000</v>
      </c>
      <c r="F14" s="523" t="s">
        <v>3184</v>
      </c>
      <c r="G14" s="512"/>
      <c r="H14" s="516"/>
      <c r="J14" s="199">
        <v>2</v>
      </c>
      <c r="K14" s="200"/>
      <c r="L14" s="200" t="s">
        <v>431</v>
      </c>
      <c r="M14" s="201" t="s">
        <v>186</v>
      </c>
      <c r="N14" s="536"/>
      <c r="O14" s="202">
        <v>1</v>
      </c>
      <c r="P14" s="201" t="s">
        <v>93</v>
      </c>
      <c r="Q14" s="201" t="s">
        <v>94</v>
      </c>
      <c r="R14" s="201" t="s">
        <v>1328</v>
      </c>
      <c r="S14" s="201" t="s">
        <v>1329</v>
      </c>
      <c r="T14" s="201" t="s">
        <v>106</v>
      </c>
      <c r="U14" s="203">
        <v>77.697999999999993</v>
      </c>
      <c r="V14" s="203">
        <v>84.882999999999996</v>
      </c>
      <c r="W14" s="204"/>
      <c r="X14" s="205"/>
      <c r="Y14" s="203"/>
      <c r="Z14" s="206">
        <v>37315</v>
      </c>
      <c r="AA14" s="206" t="s">
        <v>79</v>
      </c>
      <c r="AB14" s="207">
        <v>1</v>
      </c>
      <c r="AC14" s="208" t="s">
        <v>80</v>
      </c>
      <c r="AD14" s="209">
        <v>84000000</v>
      </c>
      <c r="AE14" s="209">
        <v>84000000</v>
      </c>
      <c r="AF14" s="207"/>
      <c r="AG14" s="207"/>
      <c r="AH14" s="209"/>
      <c r="AI14" s="207"/>
      <c r="AJ14" s="208"/>
      <c r="AK14" s="209"/>
      <c r="AL14" s="209"/>
      <c r="AM14" s="206"/>
      <c r="AN14" s="207"/>
      <c r="AO14" s="208"/>
      <c r="AP14" s="209"/>
      <c r="AQ14" s="209"/>
      <c r="AR14" s="207"/>
      <c r="AS14" s="207"/>
      <c r="AT14" s="209"/>
      <c r="AU14" s="209"/>
      <c r="AV14" s="209"/>
      <c r="AW14" s="466" t="s">
        <v>1313</v>
      </c>
      <c r="AX14" s="466" t="s">
        <v>1313</v>
      </c>
      <c r="AY14" s="466" t="s">
        <v>1313</v>
      </c>
      <c r="AZ14" s="466" t="s">
        <v>1313</v>
      </c>
      <c r="BA14" s="466" t="s">
        <v>1313</v>
      </c>
      <c r="BB14" s="466" t="s">
        <v>1313</v>
      </c>
      <c r="BC14" s="207" t="s">
        <v>82</v>
      </c>
      <c r="BD14" s="210"/>
      <c r="BE14" s="210"/>
      <c r="BF14" s="207"/>
      <c r="BG14" s="207"/>
      <c r="BH14" s="207"/>
      <c r="BI14" s="207"/>
      <c r="BJ14" s="207"/>
      <c r="BK14" s="206"/>
      <c r="BL14" s="206"/>
      <c r="BM14" s="206"/>
      <c r="BN14" s="206"/>
      <c r="BO14" s="211"/>
      <c r="BP14" s="207"/>
      <c r="BQ14" s="207"/>
      <c r="BR14" s="206"/>
      <c r="BS14" s="206"/>
      <c r="BT14" s="212"/>
      <c r="BU14" s="212"/>
      <c r="BV14" s="206"/>
      <c r="BW14" s="212"/>
      <c r="BX14" s="206"/>
      <c r="BY14" s="212"/>
      <c r="BZ14" s="206"/>
      <c r="CA14" s="206">
        <v>42482</v>
      </c>
      <c r="CB14" s="213" t="s">
        <v>134</v>
      </c>
      <c r="CC14" s="212"/>
      <c r="CD14" s="212">
        <v>222500000</v>
      </c>
      <c r="CE14" s="212"/>
      <c r="CF14" s="212"/>
      <c r="CG14" s="212">
        <v>222500000</v>
      </c>
      <c r="CH14" s="200"/>
      <c r="CI14" s="212"/>
      <c r="CJ14" s="255" t="s">
        <v>1330</v>
      </c>
    </row>
    <row r="15" spans="1:249" s="503" customFormat="1" ht="14.1" customHeight="1">
      <c r="A15" s="483" t="s">
        <v>3424</v>
      </c>
      <c r="B15" s="528" t="s">
        <v>3193</v>
      </c>
      <c r="C15" s="529" t="s">
        <v>3434</v>
      </c>
      <c r="D15" s="529" t="s">
        <v>3434</v>
      </c>
      <c r="E15" s="513">
        <v>5233704939</v>
      </c>
      <c r="F15" s="531" t="s">
        <v>3438</v>
      </c>
      <c r="G15" s="515"/>
      <c r="H15" s="510"/>
      <c r="J15" s="199">
        <v>3</v>
      </c>
      <c r="K15" s="200"/>
      <c r="L15" s="200" t="s">
        <v>432</v>
      </c>
      <c r="M15" s="201" t="s">
        <v>638</v>
      </c>
      <c r="N15" s="536" t="s">
        <v>3449</v>
      </c>
      <c r="O15" s="202">
        <v>1</v>
      </c>
      <c r="P15" s="201" t="s">
        <v>93</v>
      </c>
      <c r="Q15" s="201" t="s">
        <v>95</v>
      </c>
      <c r="R15" s="201" t="s">
        <v>1331</v>
      </c>
      <c r="S15" s="201" t="s">
        <v>3477</v>
      </c>
      <c r="T15" s="201" t="s">
        <v>96</v>
      </c>
      <c r="U15" s="203">
        <v>9625</v>
      </c>
      <c r="V15" s="203">
        <v>4454.76</v>
      </c>
      <c r="W15" s="204">
        <v>8</v>
      </c>
      <c r="X15" s="205" t="s">
        <v>97</v>
      </c>
      <c r="Y15" s="203"/>
      <c r="Z15" s="206">
        <v>41549</v>
      </c>
      <c r="AA15" s="206" t="s">
        <v>79</v>
      </c>
      <c r="AB15" s="207">
        <v>1</v>
      </c>
      <c r="AC15" s="208" t="s">
        <v>80</v>
      </c>
      <c r="AD15" s="209">
        <v>7320000000</v>
      </c>
      <c r="AE15" s="209">
        <v>7320000000</v>
      </c>
      <c r="AF15" s="207"/>
      <c r="AG15" s="207"/>
      <c r="AH15" s="209"/>
      <c r="AI15" s="207"/>
      <c r="AJ15" s="208"/>
      <c r="AK15" s="209"/>
      <c r="AL15" s="209"/>
      <c r="AM15" s="206"/>
      <c r="AN15" s="207"/>
      <c r="AO15" s="208"/>
      <c r="AP15" s="209"/>
      <c r="AQ15" s="209"/>
      <c r="AR15" s="207"/>
      <c r="AS15" s="207"/>
      <c r="AT15" s="209"/>
      <c r="AU15" s="209"/>
      <c r="AV15" s="209"/>
      <c r="AW15" s="466" t="s">
        <v>1313</v>
      </c>
      <c r="AX15" s="466" t="s">
        <v>1313</v>
      </c>
      <c r="AY15" s="466" t="s">
        <v>1313</v>
      </c>
      <c r="AZ15" s="466" t="s">
        <v>1313</v>
      </c>
      <c r="BA15" s="466" t="s">
        <v>1313</v>
      </c>
      <c r="BB15" s="466" t="s">
        <v>1313</v>
      </c>
      <c r="BC15" s="207" t="s">
        <v>82</v>
      </c>
      <c r="BD15" s="210"/>
      <c r="BE15" s="210"/>
      <c r="BF15" s="207"/>
      <c r="BG15" s="207"/>
      <c r="BH15" s="207"/>
      <c r="BI15" s="207"/>
      <c r="BJ15" s="207"/>
      <c r="BK15" s="206"/>
      <c r="BL15" s="206"/>
      <c r="BM15" s="206"/>
      <c r="BN15" s="206"/>
      <c r="BO15" s="211"/>
      <c r="BP15" s="207"/>
      <c r="BQ15" s="207"/>
      <c r="BR15" s="206"/>
      <c r="BS15" s="206"/>
      <c r="BT15" s="212"/>
      <c r="BU15" s="212"/>
      <c r="BV15" s="206"/>
      <c r="BW15" s="212"/>
      <c r="BX15" s="206"/>
      <c r="BY15" s="212"/>
      <c r="BZ15" s="206"/>
      <c r="CA15" s="206" t="s">
        <v>1332</v>
      </c>
      <c r="CB15" s="213" t="s">
        <v>1333</v>
      </c>
      <c r="CC15" s="212">
        <v>6016290000</v>
      </c>
      <c r="CD15" s="212">
        <v>543820430</v>
      </c>
      <c r="CE15" s="212">
        <v>330500000</v>
      </c>
      <c r="CF15" s="212"/>
      <c r="CG15" s="212">
        <v>6890610430</v>
      </c>
      <c r="CH15" s="200"/>
      <c r="CI15" s="212"/>
      <c r="CJ15" s="255" t="s">
        <v>1334</v>
      </c>
    </row>
    <row r="16" spans="1:249" s="503" customFormat="1" ht="14.1" hidden="1" customHeight="1">
      <c r="A16" s="483" t="s">
        <v>3424</v>
      </c>
      <c r="B16" s="478" t="s">
        <v>3194</v>
      </c>
      <c r="C16" s="521" t="s">
        <v>3434</v>
      </c>
      <c r="D16" s="521" t="s">
        <v>3434</v>
      </c>
      <c r="E16" s="500">
        <v>4506904068</v>
      </c>
      <c r="F16" s="251" t="s">
        <v>3185</v>
      </c>
      <c r="G16" s="501"/>
      <c r="H16" s="502"/>
      <c r="J16" s="199">
        <v>4</v>
      </c>
      <c r="K16" s="200"/>
      <c r="L16" s="200" t="s">
        <v>433</v>
      </c>
      <c r="M16" s="201" t="s">
        <v>639</v>
      </c>
      <c r="N16" s="536" t="s">
        <v>3450</v>
      </c>
      <c r="O16" s="202">
        <v>1</v>
      </c>
      <c r="P16" s="201" t="s">
        <v>93</v>
      </c>
      <c r="Q16" s="201" t="s">
        <v>95</v>
      </c>
      <c r="R16" s="201" t="s">
        <v>1335</v>
      </c>
      <c r="S16" s="201" t="s">
        <v>1336</v>
      </c>
      <c r="T16" s="201" t="s">
        <v>96</v>
      </c>
      <c r="U16" s="203">
        <v>6275</v>
      </c>
      <c r="V16" s="203">
        <v>2169</v>
      </c>
      <c r="W16" s="204">
        <v>53</v>
      </c>
      <c r="X16" s="205" t="s">
        <v>97</v>
      </c>
      <c r="Y16" s="203"/>
      <c r="Z16" s="206">
        <v>41466</v>
      </c>
      <c r="AA16" s="206" t="s">
        <v>79</v>
      </c>
      <c r="AB16" s="207" t="s">
        <v>91</v>
      </c>
      <c r="AC16" s="208" t="s">
        <v>80</v>
      </c>
      <c r="AD16" s="209">
        <v>5220000000</v>
      </c>
      <c r="AE16" s="209">
        <v>5220000000</v>
      </c>
      <c r="AF16" s="207"/>
      <c r="AG16" s="207"/>
      <c r="AH16" s="209"/>
      <c r="AI16" s="207"/>
      <c r="AJ16" s="208"/>
      <c r="AK16" s="209"/>
      <c r="AL16" s="209"/>
      <c r="AM16" s="206"/>
      <c r="AN16" s="207"/>
      <c r="AO16" s="208"/>
      <c r="AP16" s="209"/>
      <c r="AQ16" s="209"/>
      <c r="AR16" s="207"/>
      <c r="AS16" s="207"/>
      <c r="AT16" s="209"/>
      <c r="AU16" s="209"/>
      <c r="AV16" s="209"/>
      <c r="AW16" s="466" t="s">
        <v>1313</v>
      </c>
      <c r="AX16" s="466" t="s">
        <v>1313</v>
      </c>
      <c r="AY16" s="466" t="s">
        <v>1313</v>
      </c>
      <c r="AZ16" s="466" t="s">
        <v>1313</v>
      </c>
      <c r="BA16" s="466" t="s">
        <v>1313</v>
      </c>
      <c r="BB16" s="466" t="s">
        <v>1313</v>
      </c>
      <c r="BC16" s="207" t="s">
        <v>82</v>
      </c>
      <c r="BD16" s="210"/>
      <c r="BE16" s="210"/>
      <c r="BF16" s="207"/>
      <c r="BG16" s="207"/>
      <c r="BH16" s="207"/>
      <c r="BI16" s="207"/>
      <c r="BJ16" s="207"/>
      <c r="BK16" s="206"/>
      <c r="BL16" s="206"/>
      <c r="BM16" s="206"/>
      <c r="BN16" s="206"/>
      <c r="BO16" s="211"/>
      <c r="BP16" s="207"/>
      <c r="BQ16" s="207"/>
      <c r="BR16" s="206"/>
      <c r="BS16" s="206"/>
      <c r="BT16" s="212"/>
      <c r="BU16" s="212"/>
      <c r="BV16" s="206"/>
      <c r="BW16" s="212"/>
      <c r="BX16" s="206"/>
      <c r="BY16" s="212"/>
      <c r="BZ16" s="206"/>
      <c r="CA16" s="206" t="s">
        <v>1337</v>
      </c>
      <c r="CB16" s="213" t="s">
        <v>1338</v>
      </c>
      <c r="CC16" s="212">
        <v>1410720000</v>
      </c>
      <c r="CD16" s="212">
        <v>1171300000</v>
      </c>
      <c r="CE16" s="212">
        <v>1990000000</v>
      </c>
      <c r="CF16" s="212"/>
      <c r="CG16" s="212">
        <v>4572020000</v>
      </c>
      <c r="CH16" s="200"/>
      <c r="CI16" s="212"/>
      <c r="CJ16" s="255" t="s">
        <v>1339</v>
      </c>
    </row>
    <row r="17" spans="1:88" s="503" customFormat="1" ht="14.1" hidden="1" customHeight="1">
      <c r="A17" s="483" t="s">
        <v>3424</v>
      </c>
      <c r="B17" s="478" t="s">
        <v>3195</v>
      </c>
      <c r="C17" s="521" t="s">
        <v>3434</v>
      </c>
      <c r="D17" s="521" t="s">
        <v>3434</v>
      </c>
      <c r="E17" s="500">
        <v>2785611575</v>
      </c>
      <c r="F17" s="251" t="s">
        <v>3185</v>
      </c>
      <c r="G17" s="501"/>
      <c r="H17" s="502"/>
      <c r="J17" s="199">
        <v>5</v>
      </c>
      <c r="K17" s="200"/>
      <c r="L17" s="200" t="s">
        <v>434</v>
      </c>
      <c r="M17" s="201" t="s">
        <v>640</v>
      </c>
      <c r="N17" s="536" t="s">
        <v>3451</v>
      </c>
      <c r="O17" s="202">
        <v>1</v>
      </c>
      <c r="P17" s="201" t="s">
        <v>243</v>
      </c>
      <c r="Q17" s="201" t="s">
        <v>1340</v>
      </c>
      <c r="R17" s="201" t="s">
        <v>1341</v>
      </c>
      <c r="S17" s="201" t="s">
        <v>1342</v>
      </c>
      <c r="T17" s="201" t="s">
        <v>96</v>
      </c>
      <c r="U17" s="203">
        <v>4983.6000000000004</v>
      </c>
      <c r="V17" s="203">
        <v>2406.1</v>
      </c>
      <c r="W17" s="204">
        <v>12</v>
      </c>
      <c r="X17" s="205" t="s">
        <v>97</v>
      </c>
      <c r="Y17" s="203"/>
      <c r="Z17" s="206">
        <v>41634</v>
      </c>
      <c r="AA17" s="206" t="s">
        <v>79</v>
      </c>
      <c r="AB17" s="207" t="s">
        <v>89</v>
      </c>
      <c r="AC17" s="208" t="s">
        <v>80</v>
      </c>
      <c r="AD17" s="209">
        <v>4380000000</v>
      </c>
      <c r="AE17" s="209">
        <v>4380000000</v>
      </c>
      <c r="AF17" s="207"/>
      <c r="AG17" s="207"/>
      <c r="AH17" s="209"/>
      <c r="AI17" s="207">
        <v>2</v>
      </c>
      <c r="AJ17" s="208" t="s">
        <v>80</v>
      </c>
      <c r="AK17" s="209">
        <v>1052672646</v>
      </c>
      <c r="AL17" s="209">
        <v>1052672646</v>
      </c>
      <c r="AM17" s="206">
        <v>42460</v>
      </c>
      <c r="AN17" s="207"/>
      <c r="AO17" s="208"/>
      <c r="AP17" s="209"/>
      <c r="AQ17" s="209"/>
      <c r="AR17" s="207"/>
      <c r="AS17" s="207"/>
      <c r="AT17" s="209"/>
      <c r="AU17" s="209"/>
      <c r="AV17" s="209"/>
      <c r="AW17" s="466" t="s">
        <v>1313</v>
      </c>
      <c r="AX17" s="466" t="s">
        <v>1313</v>
      </c>
      <c r="AY17" s="466" t="s">
        <v>1313</v>
      </c>
      <c r="AZ17" s="466" t="s">
        <v>1313</v>
      </c>
      <c r="BA17" s="466" t="s">
        <v>1313</v>
      </c>
      <c r="BB17" s="466" t="s">
        <v>1313</v>
      </c>
      <c r="BC17" s="207" t="s">
        <v>1320</v>
      </c>
      <c r="BD17" s="210">
        <v>3933413074</v>
      </c>
      <c r="BE17" s="210">
        <v>100000000</v>
      </c>
      <c r="BF17" s="207" t="s">
        <v>1343</v>
      </c>
      <c r="BG17" s="207" t="s">
        <v>101</v>
      </c>
      <c r="BH17" s="207" t="s">
        <v>1344</v>
      </c>
      <c r="BI17" s="207" t="s">
        <v>1345</v>
      </c>
      <c r="BJ17" s="207" t="s">
        <v>1346</v>
      </c>
      <c r="BK17" s="206">
        <v>42412</v>
      </c>
      <c r="BL17" s="206">
        <v>42485</v>
      </c>
      <c r="BM17" s="206">
        <v>42454</v>
      </c>
      <c r="BN17" s="206"/>
      <c r="BO17" s="211"/>
      <c r="BP17" s="207"/>
      <c r="BQ17" s="207"/>
      <c r="BR17" s="206"/>
      <c r="BS17" s="206"/>
      <c r="BT17" s="212"/>
      <c r="BU17" s="212"/>
      <c r="BV17" s="206"/>
      <c r="BW17" s="212"/>
      <c r="BX17" s="206"/>
      <c r="BY17" s="212"/>
      <c r="BZ17" s="206"/>
      <c r="CA17" s="206" t="s">
        <v>1347</v>
      </c>
      <c r="CB17" s="213" t="s">
        <v>1348</v>
      </c>
      <c r="CC17" s="212">
        <v>348852000</v>
      </c>
      <c r="CD17" s="212">
        <v>1359422000</v>
      </c>
      <c r="CE17" s="212">
        <v>3571000000</v>
      </c>
      <c r="CF17" s="212"/>
      <c r="CG17" s="212">
        <v>5279274000</v>
      </c>
      <c r="CH17" s="200"/>
      <c r="CI17" s="212"/>
      <c r="CJ17" s="255" t="s">
        <v>1349</v>
      </c>
    </row>
    <row r="18" spans="1:88" s="503" customFormat="1" ht="14.1" hidden="1" customHeight="1">
      <c r="A18" s="483" t="s">
        <v>3425</v>
      </c>
      <c r="B18" s="478" t="s">
        <v>3196</v>
      </c>
      <c r="C18" s="521" t="s">
        <v>3434</v>
      </c>
      <c r="D18" s="521" t="s">
        <v>3434</v>
      </c>
      <c r="E18" s="500">
        <v>2535996271</v>
      </c>
      <c r="F18" s="530" t="s">
        <v>3439</v>
      </c>
      <c r="G18" s="501"/>
      <c r="H18" s="502"/>
      <c r="J18" s="199">
        <v>6</v>
      </c>
      <c r="K18" s="200"/>
      <c r="L18" s="200" t="s">
        <v>435</v>
      </c>
      <c r="M18" s="201" t="s">
        <v>641</v>
      </c>
      <c r="N18" s="536" t="s">
        <v>3452</v>
      </c>
      <c r="O18" s="202">
        <v>1</v>
      </c>
      <c r="P18" s="201" t="s">
        <v>243</v>
      </c>
      <c r="Q18" s="201" t="s">
        <v>1350</v>
      </c>
      <c r="R18" s="201" t="s">
        <v>1351</v>
      </c>
      <c r="S18" s="201" t="s">
        <v>1352</v>
      </c>
      <c r="T18" s="201" t="s">
        <v>96</v>
      </c>
      <c r="U18" s="203">
        <v>28359</v>
      </c>
      <c r="V18" s="203">
        <v>2144.34</v>
      </c>
      <c r="W18" s="204">
        <v>1</v>
      </c>
      <c r="X18" s="205" t="s">
        <v>97</v>
      </c>
      <c r="Y18" s="203"/>
      <c r="Z18" s="206">
        <v>41549</v>
      </c>
      <c r="AA18" s="206" t="s">
        <v>79</v>
      </c>
      <c r="AB18" s="207" t="s">
        <v>89</v>
      </c>
      <c r="AC18" s="208" t="s">
        <v>80</v>
      </c>
      <c r="AD18" s="209">
        <v>3300000000</v>
      </c>
      <c r="AE18" s="209">
        <v>3300000000</v>
      </c>
      <c r="AF18" s="207">
        <v>2</v>
      </c>
      <c r="AG18" s="207">
        <v>1</v>
      </c>
      <c r="AH18" s="209">
        <v>1800000000</v>
      </c>
      <c r="AI18" s="207"/>
      <c r="AJ18" s="208"/>
      <c r="AK18" s="209"/>
      <c r="AL18" s="209"/>
      <c r="AM18" s="206"/>
      <c r="AN18" s="207"/>
      <c r="AO18" s="208"/>
      <c r="AP18" s="209"/>
      <c r="AQ18" s="209"/>
      <c r="AR18" s="207"/>
      <c r="AS18" s="207"/>
      <c r="AT18" s="209"/>
      <c r="AU18" s="209"/>
      <c r="AV18" s="209"/>
      <c r="AW18" s="466" t="s">
        <v>1313</v>
      </c>
      <c r="AX18" s="466" t="s">
        <v>1313</v>
      </c>
      <c r="AY18" s="466" t="s">
        <v>1313</v>
      </c>
      <c r="AZ18" s="466" t="s">
        <v>1313</v>
      </c>
      <c r="BA18" s="466" t="s">
        <v>1313</v>
      </c>
      <c r="BB18" s="466" t="s">
        <v>1313</v>
      </c>
      <c r="BC18" s="207" t="s">
        <v>82</v>
      </c>
      <c r="BD18" s="210"/>
      <c r="BE18" s="210"/>
      <c r="BF18" s="207"/>
      <c r="BG18" s="207"/>
      <c r="BH18" s="207"/>
      <c r="BI18" s="207"/>
      <c r="BJ18" s="207"/>
      <c r="BK18" s="206"/>
      <c r="BL18" s="206"/>
      <c r="BM18" s="206"/>
      <c r="BN18" s="206"/>
      <c r="BO18" s="211"/>
      <c r="BP18" s="207"/>
      <c r="BQ18" s="207"/>
      <c r="BR18" s="206"/>
      <c r="BS18" s="206"/>
      <c r="BT18" s="212"/>
      <c r="BU18" s="212"/>
      <c r="BV18" s="206"/>
      <c r="BW18" s="212"/>
      <c r="BX18" s="206"/>
      <c r="BY18" s="212"/>
      <c r="BZ18" s="206"/>
      <c r="CA18" s="206">
        <v>41666</v>
      </c>
      <c r="CB18" s="213" t="s">
        <v>1353</v>
      </c>
      <c r="CC18" s="212">
        <v>2125997000</v>
      </c>
      <c r="CD18" s="212">
        <v>1052350000</v>
      </c>
      <c r="CE18" s="212">
        <v>40000000</v>
      </c>
      <c r="CF18" s="212"/>
      <c r="CG18" s="212">
        <v>3218347000</v>
      </c>
      <c r="CH18" s="200"/>
      <c r="CI18" s="212"/>
      <c r="CJ18" s="255" t="s">
        <v>1354</v>
      </c>
    </row>
    <row r="19" spans="1:88" s="503" customFormat="1" ht="14.1" hidden="1" customHeight="1">
      <c r="A19" s="483" t="s">
        <v>3426</v>
      </c>
      <c r="B19" s="478" t="s">
        <v>3197</v>
      </c>
      <c r="C19" s="251" t="s">
        <v>3435</v>
      </c>
      <c r="D19" s="251" t="s">
        <v>3436</v>
      </c>
      <c r="E19" s="500"/>
      <c r="F19" s="251" t="s">
        <v>3185</v>
      </c>
      <c r="G19" s="501"/>
      <c r="H19" s="502" t="s">
        <v>3440</v>
      </c>
      <c r="J19" s="199">
        <v>7</v>
      </c>
      <c r="K19" s="200"/>
      <c r="L19" s="200" t="s">
        <v>435</v>
      </c>
      <c r="M19" s="201" t="s">
        <v>641</v>
      </c>
      <c r="N19" s="536" t="s">
        <v>3452</v>
      </c>
      <c r="O19" s="202">
        <v>2</v>
      </c>
      <c r="P19" s="201" t="s">
        <v>125</v>
      </c>
      <c r="Q19" s="201" t="s">
        <v>1355</v>
      </c>
      <c r="R19" s="201" t="s">
        <v>1356</v>
      </c>
      <c r="S19" s="201" t="s">
        <v>1357</v>
      </c>
      <c r="T19" s="201" t="s">
        <v>122</v>
      </c>
      <c r="U19" s="203">
        <v>125.9363</v>
      </c>
      <c r="V19" s="203">
        <v>551.33000000000004</v>
      </c>
      <c r="W19" s="204"/>
      <c r="X19" s="205"/>
      <c r="Y19" s="203"/>
      <c r="Z19" s="206">
        <v>41549</v>
      </c>
      <c r="AA19" s="206" t="s">
        <v>79</v>
      </c>
      <c r="AB19" s="207">
        <v>7</v>
      </c>
      <c r="AC19" s="208" t="s">
        <v>80</v>
      </c>
      <c r="AD19" s="209">
        <v>1800000000</v>
      </c>
      <c r="AE19" s="209">
        <v>1800000000</v>
      </c>
      <c r="AF19" s="207">
        <v>1</v>
      </c>
      <c r="AG19" s="207">
        <v>7</v>
      </c>
      <c r="AH19" s="209">
        <v>1800000000</v>
      </c>
      <c r="AI19" s="207"/>
      <c r="AJ19" s="208"/>
      <c r="AK19" s="209"/>
      <c r="AL19" s="209"/>
      <c r="AM19" s="206"/>
      <c r="AN19" s="207" t="s">
        <v>1358</v>
      </c>
      <c r="AO19" s="208" t="s">
        <v>80</v>
      </c>
      <c r="AP19" s="209">
        <v>7390000000</v>
      </c>
      <c r="AQ19" s="209">
        <v>7390000000</v>
      </c>
      <c r="AR19" s="207"/>
      <c r="AS19" s="207"/>
      <c r="AT19" s="209"/>
      <c r="AU19" s="209" t="s">
        <v>1359</v>
      </c>
      <c r="AV19" s="209" t="s">
        <v>1360</v>
      </c>
      <c r="AW19" s="466" t="s">
        <v>1313</v>
      </c>
      <c r="AX19" s="466" t="s">
        <v>1313</v>
      </c>
      <c r="AY19" s="466" t="s">
        <v>1313</v>
      </c>
      <c r="AZ19" s="466" t="s">
        <v>1313</v>
      </c>
      <c r="BA19" s="466" t="s">
        <v>1313</v>
      </c>
      <c r="BB19" s="466" t="s">
        <v>1313</v>
      </c>
      <c r="BC19" s="207" t="s">
        <v>1320</v>
      </c>
      <c r="BD19" s="210"/>
      <c r="BE19" s="210">
        <v>300000000</v>
      </c>
      <c r="BF19" s="207" t="s">
        <v>1361</v>
      </c>
      <c r="BG19" s="207"/>
      <c r="BH19" s="207" t="s">
        <v>1362</v>
      </c>
      <c r="BI19" s="207" t="s">
        <v>1363</v>
      </c>
      <c r="BJ19" s="207"/>
      <c r="BK19" s="206">
        <v>42214</v>
      </c>
      <c r="BL19" s="206">
        <v>42325</v>
      </c>
      <c r="BM19" s="206"/>
      <c r="BN19" s="206"/>
      <c r="BO19" s="211">
        <v>630000000</v>
      </c>
      <c r="BP19" s="207">
        <v>2</v>
      </c>
      <c r="BQ19" s="207" t="s">
        <v>1364</v>
      </c>
      <c r="BR19" s="206">
        <v>42388</v>
      </c>
      <c r="BS19" s="206">
        <v>42417</v>
      </c>
      <c r="BT19" s="212">
        <v>441000000</v>
      </c>
      <c r="BU19" s="212">
        <v>441000000</v>
      </c>
      <c r="BV19" s="206"/>
      <c r="BW19" s="212"/>
      <c r="BX19" s="206">
        <v>42417</v>
      </c>
      <c r="BY19" s="212">
        <v>591000000</v>
      </c>
      <c r="BZ19" s="206">
        <v>42516</v>
      </c>
      <c r="CA19" s="206">
        <v>42268</v>
      </c>
      <c r="CB19" s="213" t="s">
        <v>1365</v>
      </c>
      <c r="CC19" s="212">
        <v>189000000</v>
      </c>
      <c r="CD19" s="212">
        <v>441000000</v>
      </c>
      <c r="CE19" s="212"/>
      <c r="CF19" s="212"/>
      <c r="CG19" s="212">
        <v>630000000</v>
      </c>
      <c r="CH19" s="200"/>
      <c r="CI19" s="212"/>
      <c r="CJ19" s="255" t="s">
        <v>1366</v>
      </c>
    </row>
    <row r="20" spans="1:88" s="503" customFormat="1" ht="14.1" hidden="1" customHeight="1">
      <c r="A20" s="483" t="s">
        <v>3427</v>
      </c>
      <c r="B20" s="478" t="s">
        <v>3198</v>
      </c>
      <c r="C20" s="521" t="s">
        <v>3434</v>
      </c>
      <c r="D20" s="521" t="s">
        <v>3434</v>
      </c>
      <c r="E20" s="500">
        <v>2245595648</v>
      </c>
      <c r="F20" s="251" t="s">
        <v>3189</v>
      </c>
      <c r="G20" s="501"/>
      <c r="H20" s="502"/>
      <c r="J20" s="199">
        <v>8</v>
      </c>
      <c r="K20" s="200"/>
      <c r="L20" s="200" t="s">
        <v>436</v>
      </c>
      <c r="M20" s="201" t="s">
        <v>642</v>
      </c>
      <c r="N20" s="536" t="s">
        <v>3453</v>
      </c>
      <c r="O20" s="202">
        <v>1</v>
      </c>
      <c r="P20" s="201" t="s">
        <v>139</v>
      </c>
      <c r="Q20" s="201" t="s">
        <v>1367</v>
      </c>
      <c r="R20" s="201" t="s">
        <v>1368</v>
      </c>
      <c r="S20" s="201" t="s">
        <v>1369</v>
      </c>
      <c r="T20" s="201" t="s">
        <v>96</v>
      </c>
      <c r="U20" s="203">
        <v>6047.4</v>
      </c>
      <c r="V20" s="203">
        <v>0</v>
      </c>
      <c r="W20" s="204"/>
      <c r="X20" s="205" t="s">
        <v>97</v>
      </c>
      <c r="Y20" s="203"/>
      <c r="Z20" s="206">
        <v>41610</v>
      </c>
      <c r="AA20" s="206" t="s">
        <v>79</v>
      </c>
      <c r="AB20" s="207" t="s">
        <v>427</v>
      </c>
      <c r="AC20" s="208" t="s">
        <v>80</v>
      </c>
      <c r="AD20" s="209">
        <v>2640000000</v>
      </c>
      <c r="AE20" s="209">
        <v>2640000000</v>
      </c>
      <c r="AF20" s="207" t="s">
        <v>427</v>
      </c>
      <c r="AG20" s="207" t="s">
        <v>427</v>
      </c>
      <c r="AH20" s="209">
        <v>2640000000</v>
      </c>
      <c r="AI20" s="207">
        <v>3</v>
      </c>
      <c r="AJ20" s="208" t="s">
        <v>80</v>
      </c>
      <c r="AK20" s="209">
        <v>136192609</v>
      </c>
      <c r="AL20" s="209">
        <v>136192609</v>
      </c>
      <c r="AM20" s="206">
        <v>42482</v>
      </c>
      <c r="AN20" s="207">
        <v>1</v>
      </c>
      <c r="AO20" s="208" t="s">
        <v>80</v>
      </c>
      <c r="AP20" s="209">
        <v>354812000</v>
      </c>
      <c r="AQ20" s="209">
        <v>354812000</v>
      </c>
      <c r="AR20" s="207"/>
      <c r="AS20" s="207"/>
      <c r="AT20" s="209"/>
      <c r="AU20" s="209"/>
      <c r="AV20" s="209"/>
      <c r="AW20" s="466" t="s">
        <v>1313</v>
      </c>
      <c r="AX20" s="466" t="s">
        <v>1313</v>
      </c>
      <c r="AY20" s="466" t="s">
        <v>1313</v>
      </c>
      <c r="AZ20" s="466" t="s">
        <v>1313</v>
      </c>
      <c r="BA20" s="466" t="s">
        <v>1313</v>
      </c>
      <c r="BB20" s="466" t="s">
        <v>1313</v>
      </c>
      <c r="BC20" s="207" t="s">
        <v>82</v>
      </c>
      <c r="BD20" s="210"/>
      <c r="BE20" s="210"/>
      <c r="BF20" s="207"/>
      <c r="BG20" s="207"/>
      <c r="BH20" s="207"/>
      <c r="BI20" s="207"/>
      <c r="BJ20" s="207"/>
      <c r="BK20" s="206"/>
      <c r="BL20" s="206"/>
      <c r="BM20" s="206"/>
      <c r="BN20" s="206"/>
      <c r="BO20" s="211"/>
      <c r="BP20" s="207"/>
      <c r="BQ20" s="207"/>
      <c r="BR20" s="206"/>
      <c r="BS20" s="206"/>
      <c r="BT20" s="212"/>
      <c r="BU20" s="212"/>
      <c r="BV20" s="206"/>
      <c r="BW20" s="212"/>
      <c r="BX20" s="206"/>
      <c r="BY20" s="212"/>
      <c r="BZ20" s="206"/>
      <c r="CA20" s="206">
        <v>41817</v>
      </c>
      <c r="CB20" s="213" t="s">
        <v>1370</v>
      </c>
      <c r="CC20" s="212">
        <v>665214000</v>
      </c>
      <c r="CD20" s="212"/>
      <c r="CE20" s="212"/>
      <c r="CF20" s="212"/>
      <c r="CG20" s="212">
        <v>665214000</v>
      </c>
      <c r="CH20" s="200"/>
      <c r="CI20" s="212"/>
      <c r="CJ20" s="255" t="s">
        <v>1371</v>
      </c>
    </row>
    <row r="21" spans="1:88" s="503" customFormat="1" ht="14.1" hidden="1" customHeight="1">
      <c r="A21" s="483" t="s">
        <v>3428</v>
      </c>
      <c r="B21" s="478" t="s">
        <v>3199</v>
      </c>
      <c r="C21" s="521" t="s">
        <v>3434</v>
      </c>
      <c r="D21" s="251"/>
      <c r="E21" s="500"/>
      <c r="F21" s="251" t="s">
        <v>3189</v>
      </c>
      <c r="G21" s="501"/>
      <c r="H21" s="502"/>
      <c r="J21" s="199">
        <v>9</v>
      </c>
      <c r="K21" s="200"/>
      <c r="L21" s="200" t="s">
        <v>436</v>
      </c>
      <c r="M21" s="201" t="s">
        <v>642</v>
      </c>
      <c r="N21" s="536" t="s">
        <v>3453</v>
      </c>
      <c r="O21" s="202">
        <v>2</v>
      </c>
      <c r="P21" s="201" t="s">
        <v>139</v>
      </c>
      <c r="Q21" s="201" t="s">
        <v>1367</v>
      </c>
      <c r="R21" s="201" t="s">
        <v>1368</v>
      </c>
      <c r="S21" s="201" t="s">
        <v>1372</v>
      </c>
      <c r="T21" s="201" t="s">
        <v>96</v>
      </c>
      <c r="U21" s="203">
        <v>0</v>
      </c>
      <c r="V21" s="203">
        <v>2658.58</v>
      </c>
      <c r="W21" s="204">
        <v>2</v>
      </c>
      <c r="X21" s="205" t="s">
        <v>97</v>
      </c>
      <c r="Y21" s="203"/>
      <c r="Z21" s="206">
        <v>41820</v>
      </c>
      <c r="AA21" s="206" t="s">
        <v>79</v>
      </c>
      <c r="AB21" s="207" t="s">
        <v>89</v>
      </c>
      <c r="AC21" s="208" t="s">
        <v>80</v>
      </c>
      <c r="AD21" s="209">
        <v>2640000000</v>
      </c>
      <c r="AE21" s="209">
        <v>2640000000</v>
      </c>
      <c r="AF21" s="207" t="s">
        <v>428</v>
      </c>
      <c r="AG21" s="207" t="s">
        <v>89</v>
      </c>
      <c r="AH21" s="209">
        <v>2640000000</v>
      </c>
      <c r="AI21" s="207">
        <v>2</v>
      </c>
      <c r="AJ21" s="208" t="s">
        <v>80</v>
      </c>
      <c r="AK21" s="209">
        <v>136192609</v>
      </c>
      <c r="AL21" s="209">
        <v>136192609</v>
      </c>
      <c r="AM21" s="206">
        <v>42482</v>
      </c>
      <c r="AN21" s="207"/>
      <c r="AO21" s="208"/>
      <c r="AP21" s="209"/>
      <c r="AQ21" s="209"/>
      <c r="AR21" s="207"/>
      <c r="AS21" s="207"/>
      <c r="AT21" s="209"/>
      <c r="AU21" s="209"/>
      <c r="AV21" s="209"/>
      <c r="AW21" s="466" t="s">
        <v>1313</v>
      </c>
      <c r="AX21" s="466" t="s">
        <v>1313</v>
      </c>
      <c r="AY21" s="466" t="s">
        <v>1313</v>
      </c>
      <c r="AZ21" s="466" t="s">
        <v>1313</v>
      </c>
      <c r="BA21" s="466" t="s">
        <v>1313</v>
      </c>
      <c r="BB21" s="466" t="s">
        <v>1313</v>
      </c>
      <c r="BC21" s="207" t="s">
        <v>82</v>
      </c>
      <c r="BD21" s="210"/>
      <c r="BE21" s="210"/>
      <c r="BF21" s="207"/>
      <c r="BG21" s="207"/>
      <c r="BH21" s="207"/>
      <c r="BI21" s="207"/>
      <c r="BJ21" s="207"/>
      <c r="BK21" s="206"/>
      <c r="BL21" s="206"/>
      <c r="BM21" s="206"/>
      <c r="BN21" s="206"/>
      <c r="BO21" s="211"/>
      <c r="BP21" s="207"/>
      <c r="BQ21" s="207"/>
      <c r="BR21" s="206"/>
      <c r="BS21" s="206"/>
      <c r="BT21" s="212"/>
      <c r="BU21" s="212"/>
      <c r="BV21" s="206"/>
      <c r="BW21" s="212"/>
      <c r="BX21" s="206"/>
      <c r="BY21" s="212"/>
      <c r="BZ21" s="206"/>
      <c r="CA21" s="206">
        <v>41817</v>
      </c>
      <c r="CB21" s="213" t="s">
        <v>1370</v>
      </c>
      <c r="CC21" s="212"/>
      <c r="CD21" s="212">
        <v>1746827400</v>
      </c>
      <c r="CE21" s="212">
        <v>41600000</v>
      </c>
      <c r="CF21" s="212"/>
      <c r="CG21" s="212">
        <v>1788427400</v>
      </c>
      <c r="CH21" s="200"/>
      <c r="CI21" s="212"/>
      <c r="CJ21" s="255" t="s">
        <v>1373</v>
      </c>
    </row>
    <row r="22" spans="1:88" s="503" customFormat="1" ht="14.1" hidden="1" customHeight="1">
      <c r="A22" s="483" t="s">
        <v>3429</v>
      </c>
      <c r="B22" s="478" t="s">
        <v>3200</v>
      </c>
      <c r="C22" s="521" t="s">
        <v>3434</v>
      </c>
      <c r="D22" s="251"/>
      <c r="E22" s="500"/>
      <c r="F22" s="251" t="s">
        <v>3189</v>
      </c>
      <c r="G22" s="501"/>
      <c r="H22" s="502"/>
      <c r="J22" s="199">
        <v>10</v>
      </c>
      <c r="K22" s="200"/>
      <c r="L22" s="200" t="s">
        <v>436</v>
      </c>
      <c r="M22" s="201" t="s">
        <v>642</v>
      </c>
      <c r="N22" s="536" t="s">
        <v>3453</v>
      </c>
      <c r="O22" s="202">
        <v>3</v>
      </c>
      <c r="P22" s="201" t="s">
        <v>139</v>
      </c>
      <c r="Q22" s="201" t="s">
        <v>1367</v>
      </c>
      <c r="R22" s="201" t="s">
        <v>1368</v>
      </c>
      <c r="S22" s="201" t="s">
        <v>1374</v>
      </c>
      <c r="T22" s="201" t="s">
        <v>96</v>
      </c>
      <c r="U22" s="203">
        <v>0</v>
      </c>
      <c r="V22" s="203">
        <v>779</v>
      </c>
      <c r="W22" s="204"/>
      <c r="X22" s="205" t="s">
        <v>97</v>
      </c>
      <c r="Y22" s="203"/>
      <c r="Z22" s="206">
        <v>42051</v>
      </c>
      <c r="AA22" s="206" t="s">
        <v>79</v>
      </c>
      <c r="AB22" s="207">
        <v>1</v>
      </c>
      <c r="AC22" s="208" t="s">
        <v>80</v>
      </c>
      <c r="AD22" s="209">
        <v>600000000</v>
      </c>
      <c r="AE22" s="209">
        <v>600000000</v>
      </c>
      <c r="AF22" s="207" t="s">
        <v>1375</v>
      </c>
      <c r="AG22" s="207">
        <v>1</v>
      </c>
      <c r="AH22" s="209">
        <v>600000000</v>
      </c>
      <c r="AI22" s="207">
        <v>1</v>
      </c>
      <c r="AJ22" s="208" t="s">
        <v>80</v>
      </c>
      <c r="AK22" s="209">
        <v>136192609</v>
      </c>
      <c r="AL22" s="209">
        <v>136192609</v>
      </c>
      <c r="AM22" s="206">
        <v>42482</v>
      </c>
      <c r="AN22" s="207"/>
      <c r="AO22" s="208"/>
      <c r="AP22" s="209"/>
      <c r="AQ22" s="209"/>
      <c r="AR22" s="207"/>
      <c r="AS22" s="207"/>
      <c r="AT22" s="209"/>
      <c r="AU22" s="209"/>
      <c r="AV22" s="209"/>
      <c r="AW22" s="466" t="s">
        <v>1313</v>
      </c>
      <c r="AX22" s="466" t="s">
        <v>1313</v>
      </c>
      <c r="AY22" s="466" t="s">
        <v>1313</v>
      </c>
      <c r="AZ22" s="466" t="s">
        <v>1313</v>
      </c>
      <c r="BA22" s="466" t="s">
        <v>1313</v>
      </c>
      <c r="BB22" s="466" t="s">
        <v>1313</v>
      </c>
      <c r="BC22" s="207" t="s">
        <v>82</v>
      </c>
      <c r="BD22" s="210"/>
      <c r="BE22" s="210"/>
      <c r="BF22" s="207"/>
      <c r="BG22" s="207"/>
      <c r="BH22" s="207"/>
      <c r="BI22" s="207"/>
      <c r="BJ22" s="207"/>
      <c r="BK22" s="206"/>
      <c r="BL22" s="206"/>
      <c r="BM22" s="206"/>
      <c r="BN22" s="206"/>
      <c r="BO22" s="211"/>
      <c r="BP22" s="207"/>
      <c r="BQ22" s="207"/>
      <c r="BR22" s="206"/>
      <c r="BS22" s="206"/>
      <c r="BT22" s="212"/>
      <c r="BU22" s="212"/>
      <c r="BV22" s="206"/>
      <c r="BW22" s="212"/>
      <c r="BX22" s="206"/>
      <c r="BY22" s="212"/>
      <c r="BZ22" s="206"/>
      <c r="CA22" s="206">
        <v>42488</v>
      </c>
      <c r="CB22" s="213" t="s">
        <v>1376</v>
      </c>
      <c r="CC22" s="212"/>
      <c r="CD22" s="212">
        <v>506350000</v>
      </c>
      <c r="CE22" s="212"/>
      <c r="CF22" s="212"/>
      <c r="CG22" s="212">
        <v>506350000</v>
      </c>
      <c r="CH22" s="200"/>
      <c r="CI22" s="212"/>
      <c r="CJ22" s="255" t="s">
        <v>1377</v>
      </c>
    </row>
    <row r="23" spans="1:88" s="503" customFormat="1" ht="14.1" hidden="1" customHeight="1">
      <c r="A23" s="483" t="s">
        <v>3427</v>
      </c>
      <c r="B23" s="478" t="s">
        <v>3201</v>
      </c>
      <c r="C23" s="521" t="s">
        <v>3434</v>
      </c>
      <c r="D23" s="521" t="s">
        <v>3434</v>
      </c>
      <c r="E23" s="500">
        <v>2266780676</v>
      </c>
      <c r="F23" s="251" t="s">
        <v>3184</v>
      </c>
      <c r="G23" s="501"/>
      <c r="H23" s="502"/>
      <c r="J23" s="199">
        <v>11</v>
      </c>
      <c r="K23" s="200"/>
      <c r="L23" s="200" t="s">
        <v>437</v>
      </c>
      <c r="M23" s="201" t="s">
        <v>643</v>
      </c>
      <c r="N23" s="536" t="s">
        <v>3454</v>
      </c>
      <c r="O23" s="202">
        <v>1</v>
      </c>
      <c r="P23" s="201" t="s">
        <v>1312</v>
      </c>
      <c r="Q23" s="201" t="s">
        <v>1378</v>
      </c>
      <c r="R23" s="201" t="s">
        <v>1379</v>
      </c>
      <c r="S23" s="201" t="s">
        <v>1380</v>
      </c>
      <c r="T23" s="201" t="s">
        <v>96</v>
      </c>
      <c r="U23" s="203">
        <v>9835</v>
      </c>
      <c r="V23" s="203">
        <v>0</v>
      </c>
      <c r="W23" s="204" t="s">
        <v>1381</v>
      </c>
      <c r="X23" s="205" t="s">
        <v>97</v>
      </c>
      <c r="Y23" s="203"/>
      <c r="Z23" s="206">
        <v>41761</v>
      </c>
      <c r="AA23" s="206" t="s">
        <v>79</v>
      </c>
      <c r="AB23" s="207" t="s">
        <v>89</v>
      </c>
      <c r="AC23" s="208" t="s">
        <v>80</v>
      </c>
      <c r="AD23" s="209">
        <v>3084000000</v>
      </c>
      <c r="AE23" s="209">
        <v>3084000000</v>
      </c>
      <c r="AF23" s="207">
        <v>2</v>
      </c>
      <c r="AG23" s="207" t="s">
        <v>89</v>
      </c>
      <c r="AH23" s="209">
        <v>3084000000</v>
      </c>
      <c r="AI23" s="207"/>
      <c r="AJ23" s="208"/>
      <c r="AK23" s="209"/>
      <c r="AL23" s="209"/>
      <c r="AM23" s="206"/>
      <c r="AN23" s="207"/>
      <c r="AO23" s="208"/>
      <c r="AP23" s="209"/>
      <c r="AQ23" s="209"/>
      <c r="AR23" s="207"/>
      <c r="AS23" s="207"/>
      <c r="AT23" s="209"/>
      <c r="AU23" s="209"/>
      <c r="AV23" s="209"/>
      <c r="AW23" s="466" t="s">
        <v>1313</v>
      </c>
      <c r="AX23" s="466" t="s">
        <v>1313</v>
      </c>
      <c r="AY23" s="466" t="s">
        <v>1313</v>
      </c>
      <c r="AZ23" s="466" t="s">
        <v>1313</v>
      </c>
      <c r="BA23" s="466" t="s">
        <v>1313</v>
      </c>
      <c r="BB23" s="466" t="s">
        <v>1313</v>
      </c>
      <c r="BC23" s="207" t="s">
        <v>82</v>
      </c>
      <c r="BD23" s="210"/>
      <c r="BE23" s="210"/>
      <c r="BF23" s="207"/>
      <c r="BG23" s="207"/>
      <c r="BH23" s="207"/>
      <c r="BI23" s="207"/>
      <c r="BJ23" s="207"/>
      <c r="BK23" s="206"/>
      <c r="BL23" s="206"/>
      <c r="BM23" s="206"/>
      <c r="BN23" s="206"/>
      <c r="BO23" s="211"/>
      <c r="BP23" s="207"/>
      <c r="BQ23" s="207"/>
      <c r="BR23" s="206"/>
      <c r="BS23" s="206"/>
      <c r="BT23" s="212"/>
      <c r="BU23" s="212"/>
      <c r="BV23" s="206"/>
      <c r="BW23" s="212"/>
      <c r="BX23" s="206"/>
      <c r="BY23" s="212"/>
      <c r="BZ23" s="206"/>
      <c r="CA23" s="206">
        <v>41913</v>
      </c>
      <c r="CB23" s="213" t="s">
        <v>1382</v>
      </c>
      <c r="CC23" s="212">
        <v>1190035000</v>
      </c>
      <c r="CD23" s="212"/>
      <c r="CE23" s="212"/>
      <c r="CF23" s="212"/>
      <c r="CG23" s="212">
        <v>1190035000</v>
      </c>
      <c r="CH23" s="200"/>
      <c r="CI23" s="212"/>
      <c r="CJ23" s="255" t="s">
        <v>1383</v>
      </c>
    </row>
    <row r="24" spans="1:88" s="503" customFormat="1" ht="14.1" hidden="1" customHeight="1">
      <c r="A24" s="483" t="s">
        <v>3428</v>
      </c>
      <c r="B24" s="478" t="s">
        <v>3202</v>
      </c>
      <c r="C24" s="521" t="s">
        <v>3434</v>
      </c>
      <c r="D24" s="251"/>
      <c r="E24" s="500"/>
      <c r="F24" s="251" t="s">
        <v>3184</v>
      </c>
      <c r="G24" s="501"/>
      <c r="H24" s="502"/>
      <c r="J24" s="199">
        <v>12</v>
      </c>
      <c r="K24" s="200"/>
      <c r="L24" s="200" t="s">
        <v>437</v>
      </c>
      <c r="M24" s="201" t="s">
        <v>643</v>
      </c>
      <c r="N24" s="536" t="s">
        <v>3454</v>
      </c>
      <c r="O24" s="202">
        <v>2</v>
      </c>
      <c r="P24" s="201" t="s">
        <v>1312</v>
      </c>
      <c r="Q24" s="201" t="s">
        <v>1378</v>
      </c>
      <c r="R24" s="201" t="s">
        <v>1379</v>
      </c>
      <c r="S24" s="201" t="s">
        <v>1384</v>
      </c>
      <c r="T24" s="201" t="s">
        <v>96</v>
      </c>
      <c r="U24" s="203">
        <v>0</v>
      </c>
      <c r="V24" s="203">
        <v>1725.75</v>
      </c>
      <c r="W24" s="204">
        <v>2</v>
      </c>
      <c r="X24" s="205" t="s">
        <v>97</v>
      </c>
      <c r="Y24" s="203"/>
      <c r="Z24" s="206">
        <v>41948</v>
      </c>
      <c r="AA24" s="206" t="s">
        <v>79</v>
      </c>
      <c r="AB24" s="207" t="s">
        <v>89</v>
      </c>
      <c r="AC24" s="208" t="s">
        <v>80</v>
      </c>
      <c r="AD24" s="209">
        <v>3084000000</v>
      </c>
      <c r="AE24" s="209">
        <v>3084000000</v>
      </c>
      <c r="AF24" s="207">
        <v>1</v>
      </c>
      <c r="AG24" s="207" t="s">
        <v>89</v>
      </c>
      <c r="AH24" s="209">
        <v>3084000000</v>
      </c>
      <c r="AI24" s="207"/>
      <c r="AJ24" s="208"/>
      <c r="AK24" s="209"/>
      <c r="AL24" s="209"/>
      <c r="AM24" s="206"/>
      <c r="AN24" s="207"/>
      <c r="AO24" s="208"/>
      <c r="AP24" s="209"/>
      <c r="AQ24" s="209"/>
      <c r="AR24" s="207"/>
      <c r="AS24" s="207"/>
      <c r="AT24" s="209"/>
      <c r="AU24" s="209"/>
      <c r="AV24" s="209"/>
      <c r="AW24" s="466" t="s">
        <v>1313</v>
      </c>
      <c r="AX24" s="466" t="s">
        <v>1313</v>
      </c>
      <c r="AY24" s="466" t="s">
        <v>1313</v>
      </c>
      <c r="AZ24" s="466" t="s">
        <v>1313</v>
      </c>
      <c r="BA24" s="466" t="s">
        <v>1313</v>
      </c>
      <c r="BB24" s="466" t="s">
        <v>1313</v>
      </c>
      <c r="BC24" s="207" t="s">
        <v>82</v>
      </c>
      <c r="BD24" s="210"/>
      <c r="BE24" s="210"/>
      <c r="BF24" s="207"/>
      <c r="BG24" s="207"/>
      <c r="BH24" s="207"/>
      <c r="BI24" s="207"/>
      <c r="BJ24" s="207"/>
      <c r="BK24" s="206"/>
      <c r="BL24" s="206"/>
      <c r="BM24" s="206"/>
      <c r="BN24" s="206"/>
      <c r="BO24" s="211"/>
      <c r="BP24" s="207"/>
      <c r="BQ24" s="207"/>
      <c r="BR24" s="206"/>
      <c r="BS24" s="206"/>
      <c r="BT24" s="212"/>
      <c r="BU24" s="212"/>
      <c r="BV24" s="206"/>
      <c r="BW24" s="212"/>
      <c r="BX24" s="206"/>
      <c r="BY24" s="212"/>
      <c r="BZ24" s="206"/>
      <c r="CA24" s="206">
        <v>41913</v>
      </c>
      <c r="CB24" s="213" t="s">
        <v>1382</v>
      </c>
      <c r="CC24" s="212"/>
      <c r="CD24" s="212">
        <v>1012950000</v>
      </c>
      <c r="CE24" s="212">
        <v>800000000</v>
      </c>
      <c r="CF24" s="212"/>
      <c r="CG24" s="212">
        <v>1812950000</v>
      </c>
      <c r="CH24" s="200"/>
      <c r="CI24" s="212"/>
      <c r="CJ24" s="255" t="s">
        <v>1385</v>
      </c>
    </row>
    <row r="25" spans="1:88" s="503" customFormat="1" ht="14.1" hidden="1" customHeight="1">
      <c r="A25" s="483" t="s">
        <v>3429</v>
      </c>
      <c r="B25" s="478" t="s">
        <v>3203</v>
      </c>
      <c r="C25" s="521" t="s">
        <v>3434</v>
      </c>
      <c r="D25" s="251"/>
      <c r="E25" s="500"/>
      <c r="F25" s="251" t="s">
        <v>3184</v>
      </c>
      <c r="G25" s="501"/>
      <c r="H25" s="502"/>
      <c r="J25" s="199">
        <v>13</v>
      </c>
      <c r="K25" s="200"/>
      <c r="L25" s="200" t="s">
        <v>437</v>
      </c>
      <c r="M25" s="201" t="s">
        <v>643</v>
      </c>
      <c r="N25" s="536" t="s">
        <v>3454</v>
      </c>
      <c r="O25" s="202">
        <v>3</v>
      </c>
      <c r="P25" s="201" t="s">
        <v>1312</v>
      </c>
      <c r="Q25" s="201" t="s">
        <v>1378</v>
      </c>
      <c r="R25" s="201" t="s">
        <v>1379</v>
      </c>
      <c r="S25" s="201" t="s">
        <v>1386</v>
      </c>
      <c r="T25" s="201" t="s">
        <v>117</v>
      </c>
      <c r="U25" s="203">
        <v>4495</v>
      </c>
      <c r="V25" s="203">
        <v>0</v>
      </c>
      <c r="W25" s="204"/>
      <c r="X25" s="205"/>
      <c r="Y25" s="203"/>
      <c r="Z25" s="206">
        <v>41761</v>
      </c>
      <c r="AA25" s="206" t="s">
        <v>79</v>
      </c>
      <c r="AB25" s="207">
        <v>1</v>
      </c>
      <c r="AC25" s="208" t="s">
        <v>80</v>
      </c>
      <c r="AD25" s="209">
        <v>324000000</v>
      </c>
      <c r="AE25" s="209">
        <v>324000000</v>
      </c>
      <c r="AF25" s="207" t="s">
        <v>1387</v>
      </c>
      <c r="AG25" s="207"/>
      <c r="AH25" s="209"/>
      <c r="AI25" s="207"/>
      <c r="AJ25" s="208"/>
      <c r="AK25" s="209"/>
      <c r="AL25" s="209"/>
      <c r="AM25" s="206"/>
      <c r="AN25" s="207"/>
      <c r="AO25" s="208"/>
      <c r="AP25" s="209"/>
      <c r="AQ25" s="209"/>
      <c r="AR25" s="207"/>
      <c r="AS25" s="207"/>
      <c r="AT25" s="209"/>
      <c r="AU25" s="209"/>
      <c r="AV25" s="209"/>
      <c r="AW25" s="466" t="s">
        <v>1313</v>
      </c>
      <c r="AX25" s="466" t="s">
        <v>1313</v>
      </c>
      <c r="AY25" s="466" t="s">
        <v>1313</v>
      </c>
      <c r="AZ25" s="466" t="s">
        <v>1313</v>
      </c>
      <c r="BA25" s="466" t="s">
        <v>1313</v>
      </c>
      <c r="BB25" s="466" t="s">
        <v>1313</v>
      </c>
      <c r="BC25" s="207" t="s">
        <v>82</v>
      </c>
      <c r="BD25" s="210"/>
      <c r="BE25" s="210"/>
      <c r="BF25" s="207"/>
      <c r="BG25" s="207"/>
      <c r="BH25" s="207"/>
      <c r="BI25" s="207"/>
      <c r="BJ25" s="207"/>
      <c r="BK25" s="206"/>
      <c r="BL25" s="206"/>
      <c r="BM25" s="206"/>
      <c r="BN25" s="206"/>
      <c r="BO25" s="211"/>
      <c r="BP25" s="207"/>
      <c r="BQ25" s="207"/>
      <c r="BR25" s="206"/>
      <c r="BS25" s="206"/>
      <c r="BT25" s="212"/>
      <c r="BU25" s="212"/>
      <c r="BV25" s="206"/>
      <c r="BW25" s="212"/>
      <c r="BX25" s="206"/>
      <c r="BY25" s="212"/>
      <c r="BZ25" s="206"/>
      <c r="CA25" s="206">
        <v>41753</v>
      </c>
      <c r="CB25" s="213" t="s">
        <v>1388</v>
      </c>
      <c r="CC25" s="212">
        <v>67425000</v>
      </c>
      <c r="CD25" s="212"/>
      <c r="CE25" s="212"/>
      <c r="CF25" s="212"/>
      <c r="CG25" s="212">
        <v>67425000</v>
      </c>
      <c r="CH25" s="200"/>
      <c r="CI25" s="212"/>
      <c r="CJ25" s="255" t="s">
        <v>1389</v>
      </c>
    </row>
    <row r="26" spans="1:88" s="503" customFormat="1" ht="14.1" hidden="1" customHeight="1">
      <c r="A26" s="483" t="s">
        <v>3424</v>
      </c>
      <c r="B26" s="478" t="s">
        <v>3204</v>
      </c>
      <c r="C26" s="521" t="s">
        <v>3434</v>
      </c>
      <c r="D26" s="521" t="s">
        <v>3434</v>
      </c>
      <c r="E26" s="500">
        <v>1184482315</v>
      </c>
      <c r="F26" s="251" t="s">
        <v>3185</v>
      </c>
      <c r="G26" s="501"/>
      <c r="H26" s="502"/>
      <c r="J26" s="199">
        <v>14</v>
      </c>
      <c r="K26" s="200"/>
      <c r="L26" s="200" t="s">
        <v>438</v>
      </c>
      <c r="M26" s="201" t="s">
        <v>644</v>
      </c>
      <c r="N26" s="536" t="s">
        <v>3455</v>
      </c>
      <c r="O26" s="202">
        <v>1</v>
      </c>
      <c r="P26" s="201" t="s">
        <v>93</v>
      </c>
      <c r="Q26" s="201" t="s">
        <v>190</v>
      </c>
      <c r="R26" s="201" t="s">
        <v>1390</v>
      </c>
      <c r="S26" s="201" t="s">
        <v>1391</v>
      </c>
      <c r="T26" s="201" t="s">
        <v>96</v>
      </c>
      <c r="U26" s="203">
        <v>3624</v>
      </c>
      <c r="V26" s="203">
        <v>725.85</v>
      </c>
      <c r="W26" s="204">
        <v>2</v>
      </c>
      <c r="X26" s="205" t="s">
        <v>97</v>
      </c>
      <c r="Y26" s="203"/>
      <c r="Z26" s="206">
        <v>39405</v>
      </c>
      <c r="AA26" s="206" t="s">
        <v>79</v>
      </c>
      <c r="AB26" s="207" t="s">
        <v>91</v>
      </c>
      <c r="AC26" s="208" t="s">
        <v>80</v>
      </c>
      <c r="AD26" s="209">
        <v>1480000000</v>
      </c>
      <c r="AE26" s="209">
        <v>1480000000</v>
      </c>
      <c r="AF26" s="207"/>
      <c r="AG26" s="207"/>
      <c r="AH26" s="209"/>
      <c r="AI26" s="207">
        <v>2</v>
      </c>
      <c r="AJ26" s="208" t="s">
        <v>80</v>
      </c>
      <c r="AK26" s="209">
        <v>100000000</v>
      </c>
      <c r="AL26" s="209">
        <v>100000000</v>
      </c>
      <c r="AM26" s="206">
        <v>42486</v>
      </c>
      <c r="AN26" s="207"/>
      <c r="AO26" s="208"/>
      <c r="AP26" s="209"/>
      <c r="AQ26" s="209"/>
      <c r="AR26" s="207"/>
      <c r="AS26" s="207"/>
      <c r="AT26" s="209"/>
      <c r="AU26" s="209"/>
      <c r="AV26" s="209"/>
      <c r="AW26" s="466" t="s">
        <v>1313</v>
      </c>
      <c r="AX26" s="466" t="s">
        <v>1313</v>
      </c>
      <c r="AY26" s="466" t="s">
        <v>1313</v>
      </c>
      <c r="AZ26" s="466" t="s">
        <v>1313</v>
      </c>
      <c r="BA26" s="466" t="s">
        <v>1313</v>
      </c>
      <c r="BB26" s="466" t="s">
        <v>1313</v>
      </c>
      <c r="BC26" s="207" t="s">
        <v>82</v>
      </c>
      <c r="BD26" s="210"/>
      <c r="BE26" s="210"/>
      <c r="BF26" s="207"/>
      <c r="BG26" s="207"/>
      <c r="BH26" s="207"/>
      <c r="BI26" s="207"/>
      <c r="BJ26" s="207"/>
      <c r="BK26" s="206"/>
      <c r="BL26" s="206"/>
      <c r="BM26" s="206"/>
      <c r="BN26" s="206"/>
      <c r="BO26" s="211"/>
      <c r="BP26" s="207"/>
      <c r="BQ26" s="207"/>
      <c r="BR26" s="206"/>
      <c r="BS26" s="206"/>
      <c r="BT26" s="212"/>
      <c r="BU26" s="212"/>
      <c r="BV26" s="206"/>
      <c r="BW26" s="212"/>
      <c r="BX26" s="206"/>
      <c r="BY26" s="212"/>
      <c r="BZ26" s="206"/>
      <c r="CA26" s="206">
        <v>40886</v>
      </c>
      <c r="CB26" s="213" t="s">
        <v>1392</v>
      </c>
      <c r="CC26" s="212">
        <v>1014720000</v>
      </c>
      <c r="CD26" s="212">
        <v>257659500</v>
      </c>
      <c r="CE26" s="212"/>
      <c r="CF26" s="212"/>
      <c r="CG26" s="212">
        <v>1272379500</v>
      </c>
      <c r="CH26" s="200"/>
      <c r="CI26" s="212"/>
      <c r="CJ26" s="255" t="s">
        <v>1393</v>
      </c>
    </row>
    <row r="27" spans="1:88" s="503" customFormat="1" ht="14.1" hidden="1" customHeight="1">
      <c r="A27" s="483" t="s">
        <v>3424</v>
      </c>
      <c r="B27" s="478" t="s">
        <v>3205</v>
      </c>
      <c r="C27" s="521" t="s">
        <v>3434</v>
      </c>
      <c r="D27" s="521" t="s">
        <v>3434</v>
      </c>
      <c r="E27" s="500">
        <v>1643728345</v>
      </c>
      <c r="F27" s="251" t="s">
        <v>3187</v>
      </c>
      <c r="G27" s="501"/>
      <c r="H27" s="502"/>
      <c r="J27" s="199">
        <v>15</v>
      </c>
      <c r="K27" s="200"/>
      <c r="L27" s="200" t="s">
        <v>439</v>
      </c>
      <c r="M27" s="201" t="s">
        <v>645</v>
      </c>
      <c r="N27" s="536" t="s">
        <v>3456</v>
      </c>
      <c r="O27" s="202">
        <v>1</v>
      </c>
      <c r="P27" s="201" t="s">
        <v>210</v>
      </c>
      <c r="Q27" s="201" t="s">
        <v>1318</v>
      </c>
      <c r="R27" s="201" t="s">
        <v>1394</v>
      </c>
      <c r="S27" s="201" t="s">
        <v>1395</v>
      </c>
      <c r="T27" s="201" t="s">
        <v>96</v>
      </c>
      <c r="U27" s="203">
        <v>4101</v>
      </c>
      <c r="V27" s="203">
        <v>1120.8599999999999</v>
      </c>
      <c r="W27" s="204">
        <v>10</v>
      </c>
      <c r="X27" s="205" t="s">
        <v>97</v>
      </c>
      <c r="Y27" s="203"/>
      <c r="Z27" s="206">
        <v>41983</v>
      </c>
      <c r="AA27" s="206" t="s">
        <v>79</v>
      </c>
      <c r="AB27" s="207" t="s">
        <v>89</v>
      </c>
      <c r="AC27" s="208" t="s">
        <v>80</v>
      </c>
      <c r="AD27" s="209">
        <v>2244000000</v>
      </c>
      <c r="AE27" s="209">
        <v>2244000000</v>
      </c>
      <c r="AF27" s="207"/>
      <c r="AG27" s="207"/>
      <c r="AH27" s="209"/>
      <c r="AI27" s="207">
        <v>2</v>
      </c>
      <c r="AJ27" s="208" t="s">
        <v>80</v>
      </c>
      <c r="AK27" s="209">
        <v>237927803</v>
      </c>
      <c r="AL27" s="209">
        <v>237927803</v>
      </c>
      <c r="AM27" s="206">
        <v>42458</v>
      </c>
      <c r="AN27" s="207"/>
      <c r="AO27" s="208"/>
      <c r="AP27" s="209"/>
      <c r="AQ27" s="209"/>
      <c r="AR27" s="207"/>
      <c r="AS27" s="207"/>
      <c r="AT27" s="209"/>
      <c r="AU27" s="209"/>
      <c r="AV27" s="209"/>
      <c r="AW27" s="466" t="s">
        <v>1313</v>
      </c>
      <c r="AX27" s="466" t="s">
        <v>1313</v>
      </c>
      <c r="AY27" s="466" t="s">
        <v>1313</v>
      </c>
      <c r="AZ27" s="466" t="s">
        <v>1313</v>
      </c>
      <c r="BA27" s="466" t="s">
        <v>1313</v>
      </c>
      <c r="BB27" s="466" t="s">
        <v>1313</v>
      </c>
      <c r="BC27" s="207" t="s">
        <v>1320</v>
      </c>
      <c r="BD27" s="210">
        <v>1897200449</v>
      </c>
      <c r="BE27" s="210">
        <v>5250000</v>
      </c>
      <c r="BF27" s="207" t="s">
        <v>1396</v>
      </c>
      <c r="BG27" s="207" t="s">
        <v>101</v>
      </c>
      <c r="BH27" s="207" t="s">
        <v>1397</v>
      </c>
      <c r="BI27" s="207" t="s">
        <v>1398</v>
      </c>
      <c r="BJ27" s="207" t="s">
        <v>1399</v>
      </c>
      <c r="BK27" s="206">
        <v>42339</v>
      </c>
      <c r="BL27" s="206">
        <v>42422</v>
      </c>
      <c r="BM27" s="206">
        <v>42422</v>
      </c>
      <c r="BN27" s="206">
        <v>42503</v>
      </c>
      <c r="BO27" s="211"/>
      <c r="BP27" s="207"/>
      <c r="BQ27" s="207"/>
      <c r="BR27" s="206"/>
      <c r="BS27" s="206"/>
      <c r="BT27" s="212"/>
      <c r="BU27" s="212"/>
      <c r="BV27" s="206"/>
      <c r="BW27" s="212"/>
      <c r="BX27" s="206"/>
      <c r="BY27" s="212"/>
      <c r="BZ27" s="206"/>
      <c r="CA27" s="206" t="s">
        <v>1400</v>
      </c>
      <c r="CB27" s="213" t="s">
        <v>1401</v>
      </c>
      <c r="CC27" s="212">
        <v>1391950000</v>
      </c>
      <c r="CD27" s="212">
        <v>547164000</v>
      </c>
      <c r="CE27" s="212">
        <v>671000000</v>
      </c>
      <c r="CF27" s="212"/>
      <c r="CG27" s="212">
        <v>2610114000</v>
      </c>
      <c r="CH27" s="200"/>
      <c r="CI27" s="212"/>
      <c r="CJ27" s="255" t="s">
        <v>1402</v>
      </c>
    </row>
    <row r="28" spans="1:88" s="503" customFormat="1" ht="14.1" hidden="1" customHeight="1">
      <c r="A28" s="483" t="s">
        <v>3425</v>
      </c>
      <c r="B28" s="478" t="s">
        <v>3206</v>
      </c>
      <c r="C28" s="521" t="s">
        <v>3434</v>
      </c>
      <c r="D28" s="521" t="s">
        <v>3434</v>
      </c>
      <c r="E28" s="500">
        <v>1580090020</v>
      </c>
      <c r="F28" s="251" t="s">
        <v>3187</v>
      </c>
      <c r="G28" s="501"/>
      <c r="H28" s="502"/>
      <c r="J28" s="199">
        <v>16</v>
      </c>
      <c r="K28" s="200"/>
      <c r="L28" s="200" t="s">
        <v>440</v>
      </c>
      <c r="M28" s="201" t="s">
        <v>646</v>
      </c>
      <c r="N28" s="536" t="s">
        <v>3457</v>
      </c>
      <c r="O28" s="202">
        <v>1</v>
      </c>
      <c r="P28" s="201" t="s">
        <v>83</v>
      </c>
      <c r="Q28" s="201" t="s">
        <v>84</v>
      </c>
      <c r="R28" s="201" t="s">
        <v>1403</v>
      </c>
      <c r="S28" s="201" t="s">
        <v>1404</v>
      </c>
      <c r="T28" s="201" t="s">
        <v>85</v>
      </c>
      <c r="U28" s="203">
        <v>256.5</v>
      </c>
      <c r="V28" s="203">
        <v>1641.4</v>
      </c>
      <c r="W28" s="204"/>
      <c r="X28" s="205"/>
      <c r="Y28" s="203"/>
      <c r="Z28" s="206">
        <v>40634</v>
      </c>
      <c r="AA28" s="206" t="s">
        <v>79</v>
      </c>
      <c r="AB28" s="207" t="s">
        <v>91</v>
      </c>
      <c r="AC28" s="208" t="s">
        <v>80</v>
      </c>
      <c r="AD28" s="209">
        <v>1907200000</v>
      </c>
      <c r="AE28" s="209">
        <v>1907200000</v>
      </c>
      <c r="AF28" s="207"/>
      <c r="AG28" s="207"/>
      <c r="AH28" s="209"/>
      <c r="AI28" s="207"/>
      <c r="AJ28" s="208"/>
      <c r="AK28" s="209"/>
      <c r="AL28" s="209"/>
      <c r="AM28" s="206"/>
      <c r="AN28" s="207"/>
      <c r="AO28" s="208"/>
      <c r="AP28" s="209"/>
      <c r="AQ28" s="209"/>
      <c r="AR28" s="207"/>
      <c r="AS28" s="207"/>
      <c r="AT28" s="209"/>
      <c r="AU28" s="209"/>
      <c r="AV28" s="209"/>
      <c r="AW28" s="466" t="s">
        <v>1313</v>
      </c>
      <c r="AX28" s="466" t="s">
        <v>1313</v>
      </c>
      <c r="AY28" s="466" t="s">
        <v>1313</v>
      </c>
      <c r="AZ28" s="466" t="s">
        <v>1313</v>
      </c>
      <c r="BA28" s="466" t="s">
        <v>1313</v>
      </c>
      <c r="BB28" s="466" t="s">
        <v>1313</v>
      </c>
      <c r="BC28" s="207" t="s">
        <v>82</v>
      </c>
      <c r="BD28" s="210"/>
      <c r="BE28" s="210"/>
      <c r="BF28" s="207"/>
      <c r="BG28" s="207"/>
      <c r="BH28" s="207"/>
      <c r="BI28" s="207"/>
      <c r="BJ28" s="207"/>
      <c r="BK28" s="206"/>
      <c r="BL28" s="206"/>
      <c r="BM28" s="206"/>
      <c r="BN28" s="206"/>
      <c r="BO28" s="211"/>
      <c r="BP28" s="207"/>
      <c r="BQ28" s="207"/>
      <c r="BR28" s="206"/>
      <c r="BS28" s="206"/>
      <c r="BT28" s="212"/>
      <c r="BU28" s="212"/>
      <c r="BV28" s="206"/>
      <c r="BW28" s="212"/>
      <c r="BX28" s="206"/>
      <c r="BY28" s="212"/>
      <c r="BZ28" s="206"/>
      <c r="CA28" s="206">
        <v>41757</v>
      </c>
      <c r="CB28" s="213" t="s">
        <v>1317</v>
      </c>
      <c r="CC28" s="212">
        <v>687690000</v>
      </c>
      <c r="CD28" s="212">
        <v>1124412800</v>
      </c>
      <c r="CE28" s="212"/>
      <c r="CF28" s="212"/>
      <c r="CG28" s="212">
        <v>1812102800</v>
      </c>
      <c r="CH28" s="200"/>
      <c r="CI28" s="212"/>
      <c r="CJ28" s="255" t="s">
        <v>1405</v>
      </c>
    </row>
    <row r="29" spans="1:88" s="503" customFormat="1" ht="14.1" hidden="1" customHeight="1">
      <c r="A29" s="483" t="s">
        <v>3426</v>
      </c>
      <c r="B29" s="478" t="s">
        <v>3207</v>
      </c>
      <c r="C29" s="251" t="s">
        <v>3423</v>
      </c>
      <c r="D29" s="251" t="s">
        <v>3423</v>
      </c>
      <c r="E29" s="500"/>
      <c r="F29" s="251" t="s">
        <v>3187</v>
      </c>
      <c r="G29" s="501"/>
      <c r="H29" s="502"/>
      <c r="J29" s="199">
        <v>17</v>
      </c>
      <c r="K29" s="200"/>
      <c r="L29" s="200" t="s">
        <v>440</v>
      </c>
      <c r="M29" s="201" t="s">
        <v>646</v>
      </c>
      <c r="N29" s="536" t="s">
        <v>3457</v>
      </c>
      <c r="O29" s="202">
        <v>2</v>
      </c>
      <c r="P29" s="201" t="s">
        <v>83</v>
      </c>
      <c r="Q29" s="201" t="s">
        <v>84</v>
      </c>
      <c r="R29" s="201" t="s">
        <v>1406</v>
      </c>
      <c r="S29" s="201" t="s">
        <v>1407</v>
      </c>
      <c r="T29" s="201" t="s">
        <v>106</v>
      </c>
      <c r="U29" s="203">
        <v>54.63</v>
      </c>
      <c r="V29" s="203">
        <v>122.92</v>
      </c>
      <c r="W29" s="204"/>
      <c r="X29" s="205"/>
      <c r="Y29" s="203"/>
      <c r="Z29" s="206">
        <v>41394</v>
      </c>
      <c r="AA29" s="206" t="s">
        <v>79</v>
      </c>
      <c r="AB29" s="207">
        <v>1</v>
      </c>
      <c r="AC29" s="208" t="s">
        <v>80</v>
      </c>
      <c r="AD29" s="209">
        <v>240000000</v>
      </c>
      <c r="AE29" s="209">
        <v>240000000</v>
      </c>
      <c r="AF29" s="207"/>
      <c r="AG29" s="207"/>
      <c r="AH29" s="209"/>
      <c r="AI29" s="207"/>
      <c r="AJ29" s="208"/>
      <c r="AK29" s="209"/>
      <c r="AL29" s="209"/>
      <c r="AM29" s="206"/>
      <c r="AN29" s="207"/>
      <c r="AO29" s="208"/>
      <c r="AP29" s="209"/>
      <c r="AQ29" s="209"/>
      <c r="AR29" s="207"/>
      <c r="AS29" s="207"/>
      <c r="AT29" s="209"/>
      <c r="AU29" s="209"/>
      <c r="AV29" s="209"/>
      <c r="AW29" s="466" t="s">
        <v>1313</v>
      </c>
      <c r="AX29" s="466" t="s">
        <v>1313</v>
      </c>
      <c r="AY29" s="466" t="s">
        <v>1313</v>
      </c>
      <c r="AZ29" s="466" t="s">
        <v>1313</v>
      </c>
      <c r="BA29" s="466" t="s">
        <v>1313</v>
      </c>
      <c r="BB29" s="466" t="s">
        <v>1313</v>
      </c>
      <c r="BC29" s="207" t="s">
        <v>82</v>
      </c>
      <c r="BD29" s="210"/>
      <c r="BE29" s="210"/>
      <c r="BF29" s="207"/>
      <c r="BG29" s="207"/>
      <c r="BH29" s="207"/>
      <c r="BI29" s="207"/>
      <c r="BJ29" s="207"/>
      <c r="BK29" s="206"/>
      <c r="BL29" s="206"/>
      <c r="BM29" s="206"/>
      <c r="BN29" s="206"/>
      <c r="BO29" s="211"/>
      <c r="BP29" s="207"/>
      <c r="BQ29" s="207"/>
      <c r="BR29" s="206"/>
      <c r="BS29" s="206"/>
      <c r="BT29" s="212"/>
      <c r="BU29" s="212"/>
      <c r="BV29" s="206"/>
      <c r="BW29" s="212"/>
      <c r="BX29" s="206"/>
      <c r="BY29" s="212"/>
      <c r="BZ29" s="206"/>
      <c r="CA29" s="206">
        <v>41390</v>
      </c>
      <c r="CB29" s="213" t="s">
        <v>1388</v>
      </c>
      <c r="CC29" s="212"/>
      <c r="CD29" s="212">
        <v>181000000</v>
      </c>
      <c r="CE29" s="212"/>
      <c r="CF29" s="212"/>
      <c r="CG29" s="212">
        <v>181000000</v>
      </c>
      <c r="CH29" s="200"/>
      <c r="CI29" s="212"/>
      <c r="CJ29" s="255" t="s">
        <v>1408</v>
      </c>
    </row>
    <row r="30" spans="1:88" s="503" customFormat="1" ht="14.1" hidden="1" customHeight="1">
      <c r="A30" s="483" t="s">
        <v>3424</v>
      </c>
      <c r="B30" s="478" t="s">
        <v>3208</v>
      </c>
      <c r="C30" s="521" t="s">
        <v>3434</v>
      </c>
      <c r="D30" s="521" t="s">
        <v>3434</v>
      </c>
      <c r="E30" s="500">
        <v>1512084430</v>
      </c>
      <c r="F30" s="251" t="s">
        <v>3184</v>
      </c>
      <c r="G30" s="501"/>
      <c r="H30" s="502"/>
      <c r="J30" s="199">
        <v>18</v>
      </c>
      <c r="K30" s="200"/>
      <c r="L30" s="200" t="s">
        <v>442</v>
      </c>
      <c r="M30" s="201" t="s">
        <v>647</v>
      </c>
      <c r="N30" s="536" t="s">
        <v>3458</v>
      </c>
      <c r="O30" s="202">
        <v>1</v>
      </c>
      <c r="P30" s="201" t="s">
        <v>232</v>
      </c>
      <c r="Q30" s="201" t="s">
        <v>84</v>
      </c>
      <c r="R30" s="201" t="s">
        <v>1409</v>
      </c>
      <c r="S30" s="201" t="s">
        <v>1410</v>
      </c>
      <c r="T30" s="201" t="s">
        <v>122</v>
      </c>
      <c r="U30" s="203">
        <v>116.5723</v>
      </c>
      <c r="V30" s="203">
        <v>746.15</v>
      </c>
      <c r="W30" s="204"/>
      <c r="X30" s="205"/>
      <c r="Y30" s="203"/>
      <c r="Z30" s="206">
        <v>42060</v>
      </c>
      <c r="AA30" s="206" t="s">
        <v>79</v>
      </c>
      <c r="AB30" s="207">
        <v>1</v>
      </c>
      <c r="AC30" s="208" t="s">
        <v>80</v>
      </c>
      <c r="AD30" s="209">
        <v>1800000000</v>
      </c>
      <c r="AE30" s="209">
        <v>1800000000</v>
      </c>
      <c r="AF30" s="207"/>
      <c r="AG30" s="207"/>
      <c r="AH30" s="209"/>
      <c r="AI30" s="207"/>
      <c r="AJ30" s="208"/>
      <c r="AK30" s="209"/>
      <c r="AL30" s="209"/>
      <c r="AM30" s="206"/>
      <c r="AN30" s="207"/>
      <c r="AO30" s="208"/>
      <c r="AP30" s="209"/>
      <c r="AQ30" s="209"/>
      <c r="AR30" s="207"/>
      <c r="AS30" s="207"/>
      <c r="AT30" s="209"/>
      <c r="AU30" s="209"/>
      <c r="AV30" s="209"/>
      <c r="AW30" s="466" t="s">
        <v>1313</v>
      </c>
      <c r="AX30" s="466" t="s">
        <v>1313</v>
      </c>
      <c r="AY30" s="466" t="s">
        <v>1313</v>
      </c>
      <c r="AZ30" s="466" t="s">
        <v>1313</v>
      </c>
      <c r="BA30" s="466" t="s">
        <v>1313</v>
      </c>
      <c r="BB30" s="466" t="s">
        <v>1313</v>
      </c>
      <c r="BC30" s="207" t="s">
        <v>1320</v>
      </c>
      <c r="BD30" s="210">
        <v>1533639913</v>
      </c>
      <c r="BE30" s="210"/>
      <c r="BF30" s="207" t="s">
        <v>101</v>
      </c>
      <c r="BG30" s="207"/>
      <c r="BH30" s="207" t="s">
        <v>237</v>
      </c>
      <c r="BI30" s="207" t="s">
        <v>1411</v>
      </c>
      <c r="BJ30" s="207"/>
      <c r="BK30" s="206">
        <v>42451</v>
      </c>
      <c r="BL30" s="206">
        <v>42529</v>
      </c>
      <c r="BM30" s="206"/>
      <c r="BN30" s="206"/>
      <c r="BO30" s="211"/>
      <c r="BP30" s="207"/>
      <c r="BQ30" s="207"/>
      <c r="BR30" s="206"/>
      <c r="BS30" s="206"/>
      <c r="BT30" s="212"/>
      <c r="BU30" s="212"/>
      <c r="BV30" s="206"/>
      <c r="BW30" s="212"/>
      <c r="BX30" s="206"/>
      <c r="BY30" s="212"/>
      <c r="BZ30" s="206"/>
      <c r="CA30" s="206">
        <v>42040</v>
      </c>
      <c r="CB30" s="213" t="s">
        <v>1412</v>
      </c>
      <c r="CC30" s="212"/>
      <c r="CD30" s="212">
        <v>2649000000</v>
      </c>
      <c r="CE30" s="212"/>
      <c r="CF30" s="212"/>
      <c r="CG30" s="212">
        <v>2649000000</v>
      </c>
      <c r="CH30" s="200"/>
      <c r="CI30" s="212"/>
      <c r="CJ30" s="255" t="s">
        <v>1413</v>
      </c>
    </row>
    <row r="31" spans="1:88" s="503" customFormat="1" ht="14.1" hidden="1" customHeight="1">
      <c r="A31" s="483" t="s">
        <v>3424</v>
      </c>
      <c r="B31" s="478" t="s">
        <v>3209</v>
      </c>
      <c r="C31" s="521" t="s">
        <v>3434</v>
      </c>
      <c r="D31" s="521" t="s">
        <v>3434</v>
      </c>
      <c r="E31" s="500">
        <v>1503975070</v>
      </c>
      <c r="F31" s="251" t="s">
        <v>3184</v>
      </c>
      <c r="G31" s="501"/>
      <c r="H31" s="502"/>
      <c r="J31" s="199">
        <v>19</v>
      </c>
      <c r="K31" s="200"/>
      <c r="L31" s="200" t="s">
        <v>443</v>
      </c>
      <c r="M31" s="201" t="s">
        <v>648</v>
      </c>
      <c r="N31" s="536" t="s">
        <v>3459</v>
      </c>
      <c r="O31" s="202">
        <v>1</v>
      </c>
      <c r="P31" s="201" t="s">
        <v>164</v>
      </c>
      <c r="Q31" s="201" t="s">
        <v>203</v>
      </c>
      <c r="R31" s="201" t="s">
        <v>1414</v>
      </c>
      <c r="S31" s="201" t="s">
        <v>1415</v>
      </c>
      <c r="T31" s="201" t="s">
        <v>96</v>
      </c>
      <c r="U31" s="203">
        <v>3167</v>
      </c>
      <c r="V31" s="203">
        <v>2753.08</v>
      </c>
      <c r="W31" s="204">
        <v>9</v>
      </c>
      <c r="X31" s="205" t="s">
        <v>97</v>
      </c>
      <c r="Y31" s="203"/>
      <c r="Z31" s="206">
        <v>41835</v>
      </c>
      <c r="AA31" s="206" t="s">
        <v>79</v>
      </c>
      <c r="AB31" s="207" t="s">
        <v>89</v>
      </c>
      <c r="AC31" s="208" t="s">
        <v>80</v>
      </c>
      <c r="AD31" s="209">
        <v>1800000000</v>
      </c>
      <c r="AE31" s="209">
        <v>1800000000</v>
      </c>
      <c r="AF31" s="207"/>
      <c r="AG31" s="207"/>
      <c r="AH31" s="209"/>
      <c r="AI31" s="207"/>
      <c r="AJ31" s="208"/>
      <c r="AK31" s="209"/>
      <c r="AL31" s="209"/>
      <c r="AM31" s="206"/>
      <c r="AN31" s="207"/>
      <c r="AO31" s="208"/>
      <c r="AP31" s="209"/>
      <c r="AQ31" s="209"/>
      <c r="AR31" s="207"/>
      <c r="AS31" s="207"/>
      <c r="AT31" s="209"/>
      <c r="AU31" s="209"/>
      <c r="AV31" s="209"/>
      <c r="AW31" s="466" t="s">
        <v>1313</v>
      </c>
      <c r="AX31" s="466" t="s">
        <v>1313</v>
      </c>
      <c r="AY31" s="466" t="s">
        <v>1313</v>
      </c>
      <c r="AZ31" s="466" t="s">
        <v>1313</v>
      </c>
      <c r="BA31" s="466" t="s">
        <v>1313</v>
      </c>
      <c r="BB31" s="466" t="s">
        <v>1313</v>
      </c>
      <c r="BC31" s="207" t="s">
        <v>1320</v>
      </c>
      <c r="BD31" s="210"/>
      <c r="BE31" s="210">
        <v>4079310</v>
      </c>
      <c r="BF31" s="207" t="s">
        <v>1416</v>
      </c>
      <c r="BG31" s="207"/>
      <c r="BH31" s="207" t="s">
        <v>167</v>
      </c>
      <c r="BI31" s="207" t="s">
        <v>1417</v>
      </c>
      <c r="BJ31" s="207"/>
      <c r="BK31" s="206">
        <v>42447</v>
      </c>
      <c r="BL31" s="206">
        <v>42520</v>
      </c>
      <c r="BM31" s="206"/>
      <c r="BN31" s="206"/>
      <c r="BO31" s="211"/>
      <c r="BP31" s="207"/>
      <c r="BQ31" s="207"/>
      <c r="BR31" s="206"/>
      <c r="BS31" s="206"/>
      <c r="BT31" s="212"/>
      <c r="BU31" s="212"/>
      <c r="BV31" s="206"/>
      <c r="BW31" s="212"/>
      <c r="BX31" s="206"/>
      <c r="BY31" s="212"/>
      <c r="BZ31" s="206"/>
      <c r="CA31" s="206">
        <v>41898</v>
      </c>
      <c r="CB31" s="213" t="s">
        <v>1418</v>
      </c>
      <c r="CC31" s="212">
        <v>304032000</v>
      </c>
      <c r="CD31" s="212">
        <v>1624867200</v>
      </c>
      <c r="CE31" s="212">
        <v>682327000</v>
      </c>
      <c r="CF31" s="212"/>
      <c r="CG31" s="212">
        <v>2611226200</v>
      </c>
      <c r="CH31" s="200"/>
      <c r="CI31" s="212"/>
      <c r="CJ31" s="255" t="s">
        <v>1419</v>
      </c>
    </row>
    <row r="32" spans="1:88" s="503" customFormat="1" ht="14.1" hidden="1" customHeight="1">
      <c r="A32" s="483" t="s">
        <v>3427</v>
      </c>
      <c r="B32" s="478" t="s">
        <v>3210</v>
      </c>
      <c r="C32" s="521" t="s">
        <v>3434</v>
      </c>
      <c r="D32" s="521" t="s">
        <v>3434</v>
      </c>
      <c r="E32" s="500">
        <v>1425292400</v>
      </c>
      <c r="F32" s="251" t="s">
        <v>3184</v>
      </c>
      <c r="G32" s="501"/>
      <c r="H32" s="502"/>
      <c r="J32" s="199">
        <v>20</v>
      </c>
      <c r="K32" s="200"/>
      <c r="L32" s="200" t="s">
        <v>444</v>
      </c>
      <c r="M32" s="201" t="s">
        <v>649</v>
      </c>
      <c r="N32" s="536" t="s">
        <v>3460</v>
      </c>
      <c r="O32" s="202">
        <v>1</v>
      </c>
      <c r="P32" s="201" t="s">
        <v>164</v>
      </c>
      <c r="Q32" s="201" t="s">
        <v>1420</v>
      </c>
      <c r="R32" s="201" t="s">
        <v>1421</v>
      </c>
      <c r="S32" s="201" t="s">
        <v>1422</v>
      </c>
      <c r="T32" s="201" t="s">
        <v>96</v>
      </c>
      <c r="U32" s="203">
        <v>17120</v>
      </c>
      <c r="V32" s="203">
        <v>2440.94</v>
      </c>
      <c r="W32" s="204"/>
      <c r="X32" s="205"/>
      <c r="Y32" s="203"/>
      <c r="Z32" s="206">
        <v>42004</v>
      </c>
      <c r="AA32" s="206" t="s">
        <v>79</v>
      </c>
      <c r="AB32" s="207">
        <v>1</v>
      </c>
      <c r="AC32" s="208" t="s">
        <v>80</v>
      </c>
      <c r="AD32" s="209">
        <v>1800000000</v>
      </c>
      <c r="AE32" s="209">
        <v>1800000000</v>
      </c>
      <c r="AF32" s="207"/>
      <c r="AG32" s="207"/>
      <c r="AH32" s="209"/>
      <c r="AI32" s="207"/>
      <c r="AJ32" s="208"/>
      <c r="AK32" s="209"/>
      <c r="AL32" s="209"/>
      <c r="AM32" s="206"/>
      <c r="AN32" s="207"/>
      <c r="AO32" s="208"/>
      <c r="AP32" s="209"/>
      <c r="AQ32" s="209"/>
      <c r="AR32" s="207"/>
      <c r="AS32" s="207"/>
      <c r="AT32" s="209"/>
      <c r="AU32" s="209"/>
      <c r="AV32" s="209"/>
      <c r="AW32" s="466" t="s">
        <v>1313</v>
      </c>
      <c r="AX32" s="466" t="s">
        <v>1313</v>
      </c>
      <c r="AY32" s="466" t="s">
        <v>1313</v>
      </c>
      <c r="AZ32" s="466" t="s">
        <v>1313</v>
      </c>
      <c r="BA32" s="466" t="s">
        <v>1313</v>
      </c>
      <c r="BB32" s="466" t="s">
        <v>1313</v>
      </c>
      <c r="BC32" s="207" t="s">
        <v>82</v>
      </c>
      <c r="BD32" s="210"/>
      <c r="BE32" s="210"/>
      <c r="BF32" s="207"/>
      <c r="BG32" s="207"/>
      <c r="BH32" s="207"/>
      <c r="BI32" s="207"/>
      <c r="BJ32" s="207"/>
      <c r="BK32" s="206"/>
      <c r="BL32" s="206"/>
      <c r="BM32" s="206"/>
      <c r="BN32" s="206"/>
      <c r="BO32" s="211"/>
      <c r="BP32" s="207"/>
      <c r="BQ32" s="207"/>
      <c r="BR32" s="206"/>
      <c r="BS32" s="206"/>
      <c r="BT32" s="212"/>
      <c r="BU32" s="212"/>
      <c r="BV32" s="206"/>
      <c r="BW32" s="212"/>
      <c r="BX32" s="206"/>
      <c r="BY32" s="212"/>
      <c r="BZ32" s="206"/>
      <c r="CA32" s="206">
        <v>41992</v>
      </c>
      <c r="CB32" s="213" t="s">
        <v>1348</v>
      </c>
      <c r="CC32" s="212">
        <v>1112800000</v>
      </c>
      <c r="CD32" s="212">
        <v>934841400</v>
      </c>
      <c r="CE32" s="212"/>
      <c r="CF32" s="212"/>
      <c r="CG32" s="212">
        <v>2047641400</v>
      </c>
      <c r="CH32" s="200"/>
      <c r="CI32" s="212"/>
      <c r="CJ32" s="255" t="s">
        <v>416</v>
      </c>
    </row>
    <row r="33" spans="1:88" s="503" customFormat="1" ht="14.1" hidden="1" customHeight="1">
      <c r="A33" s="483" t="s">
        <v>3428</v>
      </c>
      <c r="B33" s="478" t="s">
        <v>3211</v>
      </c>
      <c r="C33" s="521" t="s">
        <v>3435</v>
      </c>
      <c r="D33" s="521" t="s">
        <v>3435</v>
      </c>
      <c r="E33" s="500"/>
      <c r="F33" s="251" t="s">
        <v>3184</v>
      </c>
      <c r="G33" s="501"/>
      <c r="H33" s="502"/>
      <c r="J33" s="199">
        <v>21</v>
      </c>
      <c r="K33" s="200"/>
      <c r="L33" s="200" t="s">
        <v>444</v>
      </c>
      <c r="M33" s="201" t="s">
        <v>649</v>
      </c>
      <c r="N33" s="536" t="s">
        <v>3460</v>
      </c>
      <c r="O33" s="202">
        <v>2</v>
      </c>
      <c r="P33" s="201" t="s">
        <v>232</v>
      </c>
      <c r="Q33" s="201" t="s">
        <v>188</v>
      </c>
      <c r="R33" s="201" t="s">
        <v>1423</v>
      </c>
      <c r="S33" s="201" t="s">
        <v>1424</v>
      </c>
      <c r="T33" s="201" t="s">
        <v>122</v>
      </c>
      <c r="U33" s="203">
        <v>28.6</v>
      </c>
      <c r="V33" s="203">
        <v>72.959999999999994</v>
      </c>
      <c r="W33" s="204"/>
      <c r="X33" s="205"/>
      <c r="Y33" s="203"/>
      <c r="Z33" s="206">
        <v>42004</v>
      </c>
      <c r="AA33" s="206" t="s">
        <v>79</v>
      </c>
      <c r="AB33" s="207">
        <v>2</v>
      </c>
      <c r="AC33" s="208" t="s">
        <v>80</v>
      </c>
      <c r="AD33" s="209">
        <v>100000000</v>
      </c>
      <c r="AE33" s="209">
        <v>100000000</v>
      </c>
      <c r="AF33" s="207">
        <v>3</v>
      </c>
      <c r="AG33" s="207">
        <v>2</v>
      </c>
      <c r="AH33" s="209">
        <v>100000000</v>
      </c>
      <c r="AI33" s="207"/>
      <c r="AJ33" s="208"/>
      <c r="AK33" s="209"/>
      <c r="AL33" s="209"/>
      <c r="AM33" s="206"/>
      <c r="AN33" s="207">
        <v>1</v>
      </c>
      <c r="AO33" s="208" t="s">
        <v>80</v>
      </c>
      <c r="AP33" s="209">
        <v>156000000</v>
      </c>
      <c r="AQ33" s="209">
        <v>156000000</v>
      </c>
      <c r="AR33" s="207" t="s">
        <v>1387</v>
      </c>
      <c r="AS33" s="207"/>
      <c r="AT33" s="209"/>
      <c r="AU33" s="209"/>
      <c r="AV33" s="209"/>
      <c r="AW33" s="466" t="s">
        <v>1313</v>
      </c>
      <c r="AX33" s="466" t="s">
        <v>1313</v>
      </c>
      <c r="AY33" s="466" t="s">
        <v>1313</v>
      </c>
      <c r="AZ33" s="466" t="s">
        <v>1313</v>
      </c>
      <c r="BA33" s="466" t="s">
        <v>1313</v>
      </c>
      <c r="BB33" s="466" t="s">
        <v>1313</v>
      </c>
      <c r="BC33" s="207" t="s">
        <v>82</v>
      </c>
      <c r="BD33" s="210"/>
      <c r="BE33" s="210"/>
      <c r="BF33" s="207"/>
      <c r="BG33" s="207"/>
      <c r="BH33" s="207"/>
      <c r="BI33" s="207"/>
      <c r="BJ33" s="207"/>
      <c r="BK33" s="206"/>
      <c r="BL33" s="206"/>
      <c r="BM33" s="206"/>
      <c r="BN33" s="206"/>
      <c r="BO33" s="211"/>
      <c r="BP33" s="207"/>
      <c r="BQ33" s="207"/>
      <c r="BR33" s="206"/>
      <c r="BS33" s="206"/>
      <c r="BT33" s="212"/>
      <c r="BU33" s="212"/>
      <c r="BV33" s="206"/>
      <c r="BW33" s="212"/>
      <c r="BX33" s="206"/>
      <c r="BY33" s="212"/>
      <c r="BZ33" s="206"/>
      <c r="CA33" s="206">
        <v>42003</v>
      </c>
      <c r="CB33" s="213" t="s">
        <v>1388</v>
      </c>
      <c r="CC33" s="212"/>
      <c r="CD33" s="212">
        <v>160000000</v>
      </c>
      <c r="CE33" s="212"/>
      <c r="CF33" s="212"/>
      <c r="CG33" s="212">
        <v>160000000</v>
      </c>
      <c r="CH33" s="200"/>
      <c r="CI33" s="212"/>
      <c r="CJ33" s="255" t="s">
        <v>416</v>
      </c>
    </row>
    <row r="34" spans="1:88" s="503" customFormat="1" ht="14.1" hidden="1" customHeight="1">
      <c r="A34" s="483" t="s">
        <v>3429</v>
      </c>
      <c r="B34" s="478" t="s">
        <v>3212</v>
      </c>
      <c r="C34" s="521" t="s">
        <v>3435</v>
      </c>
      <c r="D34" s="521"/>
      <c r="E34" s="500"/>
      <c r="F34" s="251" t="s">
        <v>3184</v>
      </c>
      <c r="G34" s="501"/>
      <c r="H34" s="502"/>
      <c r="J34" s="199">
        <v>22</v>
      </c>
      <c r="K34" s="200"/>
      <c r="L34" s="200" t="s">
        <v>444</v>
      </c>
      <c r="M34" s="201" t="s">
        <v>649</v>
      </c>
      <c r="N34" s="536" t="s">
        <v>3460</v>
      </c>
      <c r="O34" s="202">
        <v>3</v>
      </c>
      <c r="P34" s="201" t="s">
        <v>232</v>
      </c>
      <c r="Q34" s="201" t="s">
        <v>188</v>
      </c>
      <c r="R34" s="201" t="s">
        <v>1423</v>
      </c>
      <c r="S34" s="201" t="s">
        <v>1425</v>
      </c>
      <c r="T34" s="201" t="s">
        <v>122</v>
      </c>
      <c r="U34" s="203">
        <v>28.6</v>
      </c>
      <c r="V34" s="203">
        <v>72.959999999999994</v>
      </c>
      <c r="W34" s="204"/>
      <c r="X34" s="205"/>
      <c r="Y34" s="203"/>
      <c r="Z34" s="206">
        <v>42004</v>
      </c>
      <c r="AA34" s="206" t="s">
        <v>79</v>
      </c>
      <c r="AB34" s="207">
        <v>2</v>
      </c>
      <c r="AC34" s="208" t="s">
        <v>80</v>
      </c>
      <c r="AD34" s="209">
        <v>100000000</v>
      </c>
      <c r="AE34" s="209">
        <v>100000000</v>
      </c>
      <c r="AF34" s="207">
        <v>2</v>
      </c>
      <c r="AG34" s="207">
        <v>2</v>
      </c>
      <c r="AH34" s="209">
        <v>100000000</v>
      </c>
      <c r="AI34" s="207"/>
      <c r="AJ34" s="208"/>
      <c r="AK34" s="209"/>
      <c r="AL34" s="209"/>
      <c r="AM34" s="206"/>
      <c r="AN34" s="207">
        <v>1</v>
      </c>
      <c r="AO34" s="208" t="s">
        <v>80</v>
      </c>
      <c r="AP34" s="209">
        <v>156000000</v>
      </c>
      <c r="AQ34" s="209">
        <v>156000000</v>
      </c>
      <c r="AR34" s="207" t="s">
        <v>1387</v>
      </c>
      <c r="AS34" s="207"/>
      <c r="AT34" s="209"/>
      <c r="AU34" s="209"/>
      <c r="AV34" s="209"/>
      <c r="AW34" s="466" t="s">
        <v>1313</v>
      </c>
      <c r="AX34" s="466" t="s">
        <v>1313</v>
      </c>
      <c r="AY34" s="466" t="s">
        <v>1313</v>
      </c>
      <c r="AZ34" s="466" t="s">
        <v>1313</v>
      </c>
      <c r="BA34" s="466" t="s">
        <v>1313</v>
      </c>
      <c r="BB34" s="466" t="s">
        <v>1313</v>
      </c>
      <c r="BC34" s="207" t="s">
        <v>82</v>
      </c>
      <c r="BD34" s="210"/>
      <c r="BE34" s="210"/>
      <c r="BF34" s="207"/>
      <c r="BG34" s="207"/>
      <c r="BH34" s="207"/>
      <c r="BI34" s="207"/>
      <c r="BJ34" s="207"/>
      <c r="BK34" s="206"/>
      <c r="BL34" s="206"/>
      <c r="BM34" s="206"/>
      <c r="BN34" s="206"/>
      <c r="BO34" s="211"/>
      <c r="BP34" s="207"/>
      <c r="BQ34" s="207"/>
      <c r="BR34" s="206"/>
      <c r="BS34" s="206"/>
      <c r="BT34" s="212"/>
      <c r="BU34" s="212"/>
      <c r="BV34" s="206"/>
      <c r="BW34" s="212"/>
      <c r="BX34" s="206"/>
      <c r="BY34" s="212"/>
      <c r="BZ34" s="206"/>
      <c r="CA34" s="206">
        <v>42003</v>
      </c>
      <c r="CB34" s="213" t="s">
        <v>1388</v>
      </c>
      <c r="CC34" s="212"/>
      <c r="CD34" s="212">
        <v>160000000</v>
      </c>
      <c r="CE34" s="212"/>
      <c r="CF34" s="212"/>
      <c r="CG34" s="212">
        <v>160000000</v>
      </c>
      <c r="CH34" s="200"/>
      <c r="CI34" s="212"/>
      <c r="CJ34" s="255"/>
    </row>
    <row r="35" spans="1:88" s="503" customFormat="1" ht="14.1" hidden="1" customHeight="1">
      <c r="A35" s="483" t="s">
        <v>3424</v>
      </c>
      <c r="B35" s="478" t="s">
        <v>3213</v>
      </c>
      <c r="C35" s="521" t="s">
        <v>3434</v>
      </c>
      <c r="D35" s="521" t="s">
        <v>3434</v>
      </c>
      <c r="E35" s="500">
        <v>1401931675</v>
      </c>
      <c r="F35" s="251" t="s">
        <v>3185</v>
      </c>
      <c r="G35" s="501"/>
      <c r="H35" s="502"/>
      <c r="J35" s="199">
        <v>23</v>
      </c>
      <c r="K35" s="200"/>
      <c r="L35" s="200" t="s">
        <v>445</v>
      </c>
      <c r="M35" s="201" t="s">
        <v>152</v>
      </c>
      <c r="N35" s="536" t="s">
        <v>3461</v>
      </c>
      <c r="O35" s="202">
        <v>1</v>
      </c>
      <c r="P35" s="201" t="s">
        <v>93</v>
      </c>
      <c r="Q35" s="201" t="s">
        <v>95</v>
      </c>
      <c r="R35" s="201" t="s">
        <v>1426</v>
      </c>
      <c r="S35" s="201" t="s">
        <v>1427</v>
      </c>
      <c r="T35" s="201" t="s">
        <v>177</v>
      </c>
      <c r="U35" s="203">
        <v>10964</v>
      </c>
      <c r="V35" s="203">
        <v>0</v>
      </c>
      <c r="W35" s="204"/>
      <c r="X35" s="205"/>
      <c r="Y35" s="203"/>
      <c r="Z35" s="206">
        <v>41914</v>
      </c>
      <c r="AA35" s="206" t="s">
        <v>79</v>
      </c>
      <c r="AB35" s="207">
        <v>1</v>
      </c>
      <c r="AC35" s="208" t="s">
        <v>80</v>
      </c>
      <c r="AD35" s="209">
        <v>1680000000</v>
      </c>
      <c r="AE35" s="209">
        <v>1680000000</v>
      </c>
      <c r="AF35" s="207"/>
      <c r="AG35" s="207"/>
      <c r="AH35" s="209"/>
      <c r="AI35" s="207"/>
      <c r="AJ35" s="208"/>
      <c r="AK35" s="209"/>
      <c r="AL35" s="209"/>
      <c r="AM35" s="206"/>
      <c r="AN35" s="207"/>
      <c r="AO35" s="208"/>
      <c r="AP35" s="209"/>
      <c r="AQ35" s="209"/>
      <c r="AR35" s="207"/>
      <c r="AS35" s="207"/>
      <c r="AT35" s="209"/>
      <c r="AU35" s="209"/>
      <c r="AV35" s="209"/>
      <c r="AW35" s="466" t="s">
        <v>1313</v>
      </c>
      <c r="AX35" s="466" t="s">
        <v>1313</v>
      </c>
      <c r="AY35" s="466" t="s">
        <v>1313</v>
      </c>
      <c r="AZ35" s="466" t="s">
        <v>1313</v>
      </c>
      <c r="BA35" s="466" t="s">
        <v>1313</v>
      </c>
      <c r="BB35" s="466" t="s">
        <v>1313</v>
      </c>
      <c r="BC35" s="207" t="s">
        <v>1320</v>
      </c>
      <c r="BD35" s="210">
        <v>1434387168</v>
      </c>
      <c r="BE35" s="210"/>
      <c r="BF35" s="207" t="s">
        <v>101</v>
      </c>
      <c r="BG35" s="207"/>
      <c r="BH35" s="207" t="s">
        <v>99</v>
      </c>
      <c r="BI35" s="207" t="s">
        <v>1428</v>
      </c>
      <c r="BJ35" s="207"/>
      <c r="BK35" s="206">
        <v>42453</v>
      </c>
      <c r="BL35" s="206">
        <v>42534</v>
      </c>
      <c r="BM35" s="206"/>
      <c r="BN35" s="206"/>
      <c r="BO35" s="211"/>
      <c r="BP35" s="207"/>
      <c r="BQ35" s="207"/>
      <c r="BR35" s="206"/>
      <c r="BS35" s="206"/>
      <c r="BT35" s="212"/>
      <c r="BU35" s="212"/>
      <c r="BV35" s="206"/>
      <c r="BW35" s="212"/>
      <c r="BX35" s="206"/>
      <c r="BY35" s="212"/>
      <c r="BZ35" s="206"/>
      <c r="CA35" s="206">
        <v>41887</v>
      </c>
      <c r="CB35" s="213" t="s">
        <v>1317</v>
      </c>
      <c r="CC35" s="212">
        <v>2366208000</v>
      </c>
      <c r="CD35" s="212"/>
      <c r="CE35" s="212"/>
      <c r="CF35" s="212"/>
      <c r="CG35" s="212">
        <v>2366208000</v>
      </c>
      <c r="CH35" s="200"/>
      <c r="CI35" s="212"/>
      <c r="CJ35" s="255" t="s">
        <v>1429</v>
      </c>
    </row>
    <row r="36" spans="1:88" s="503" customFormat="1" ht="14.1" hidden="1" customHeight="1">
      <c r="A36" s="483" t="s">
        <v>3424</v>
      </c>
      <c r="B36" s="478" t="s">
        <v>3214</v>
      </c>
      <c r="C36" s="521" t="s">
        <v>3434</v>
      </c>
      <c r="D36" s="521" t="s">
        <v>3434</v>
      </c>
      <c r="E36" s="500">
        <v>1345880061</v>
      </c>
      <c r="F36" s="251" t="s">
        <v>3185</v>
      </c>
      <c r="G36" s="501"/>
      <c r="H36" s="502"/>
      <c r="J36" s="199">
        <v>24</v>
      </c>
      <c r="K36" s="200"/>
      <c r="L36" s="200" t="s">
        <v>446</v>
      </c>
      <c r="M36" s="201" t="s">
        <v>152</v>
      </c>
      <c r="N36" s="536" t="s">
        <v>3462</v>
      </c>
      <c r="O36" s="202">
        <v>1</v>
      </c>
      <c r="P36" s="201" t="s">
        <v>93</v>
      </c>
      <c r="Q36" s="201" t="s">
        <v>95</v>
      </c>
      <c r="R36" s="201" t="s">
        <v>1430</v>
      </c>
      <c r="S36" s="201" t="s">
        <v>1431</v>
      </c>
      <c r="T36" s="201" t="s">
        <v>122</v>
      </c>
      <c r="U36" s="203">
        <v>31.06</v>
      </c>
      <c r="V36" s="203">
        <v>94.41</v>
      </c>
      <c r="W36" s="204"/>
      <c r="X36" s="205"/>
      <c r="Y36" s="203"/>
      <c r="Z36" s="206">
        <v>41389</v>
      </c>
      <c r="AA36" s="206" t="s">
        <v>79</v>
      </c>
      <c r="AB36" s="207">
        <v>1</v>
      </c>
      <c r="AC36" s="208" t="s">
        <v>80</v>
      </c>
      <c r="AD36" s="209">
        <v>1920000000</v>
      </c>
      <c r="AE36" s="209">
        <v>1920000000</v>
      </c>
      <c r="AF36" s="207"/>
      <c r="AG36" s="207"/>
      <c r="AH36" s="209"/>
      <c r="AI36" s="207"/>
      <c r="AJ36" s="208"/>
      <c r="AK36" s="209"/>
      <c r="AL36" s="209"/>
      <c r="AM36" s="206"/>
      <c r="AN36" s="207"/>
      <c r="AO36" s="208"/>
      <c r="AP36" s="209"/>
      <c r="AQ36" s="209"/>
      <c r="AR36" s="207"/>
      <c r="AS36" s="207"/>
      <c r="AT36" s="209"/>
      <c r="AU36" s="209"/>
      <c r="AV36" s="209"/>
      <c r="AW36" s="466" t="s">
        <v>1313</v>
      </c>
      <c r="AX36" s="466" t="s">
        <v>1313</v>
      </c>
      <c r="AY36" s="466" t="s">
        <v>1313</v>
      </c>
      <c r="AZ36" s="466" t="s">
        <v>1313</v>
      </c>
      <c r="BA36" s="466" t="s">
        <v>1313</v>
      </c>
      <c r="BB36" s="466" t="s">
        <v>1313</v>
      </c>
      <c r="BC36" s="207" t="s">
        <v>82</v>
      </c>
      <c r="BD36" s="210"/>
      <c r="BE36" s="210"/>
      <c r="BF36" s="207"/>
      <c r="BG36" s="207"/>
      <c r="BH36" s="207"/>
      <c r="BI36" s="207"/>
      <c r="BJ36" s="207"/>
      <c r="BK36" s="206"/>
      <c r="BL36" s="206"/>
      <c r="BM36" s="206"/>
      <c r="BN36" s="206"/>
      <c r="BO36" s="211"/>
      <c r="BP36" s="207"/>
      <c r="BQ36" s="207"/>
      <c r="BR36" s="206"/>
      <c r="BS36" s="206"/>
      <c r="BT36" s="212"/>
      <c r="BU36" s="212"/>
      <c r="BV36" s="206"/>
      <c r="BW36" s="212"/>
      <c r="BX36" s="206"/>
      <c r="BY36" s="212"/>
      <c r="BZ36" s="206"/>
      <c r="CA36" s="206">
        <v>41381</v>
      </c>
      <c r="CB36" s="213" t="s">
        <v>1401</v>
      </c>
      <c r="CC36" s="212"/>
      <c r="CD36" s="212">
        <v>2000000000</v>
      </c>
      <c r="CE36" s="212"/>
      <c r="CF36" s="212"/>
      <c r="CG36" s="212">
        <v>2000000000</v>
      </c>
      <c r="CH36" s="200"/>
      <c r="CI36" s="212"/>
      <c r="CJ36" s="255" t="s">
        <v>1432</v>
      </c>
    </row>
    <row r="37" spans="1:88" s="503" customFormat="1" ht="14.1" hidden="1" customHeight="1">
      <c r="A37" s="483" t="s">
        <v>3425</v>
      </c>
      <c r="B37" s="478" t="s">
        <v>3215</v>
      </c>
      <c r="C37" s="521" t="s">
        <v>3434</v>
      </c>
      <c r="D37" s="521" t="s">
        <v>3434</v>
      </c>
      <c r="E37" s="500">
        <v>1344721076</v>
      </c>
      <c r="F37" s="251" t="s">
        <v>3187</v>
      </c>
      <c r="G37" s="501"/>
      <c r="H37" s="502"/>
      <c r="J37" s="199">
        <v>25</v>
      </c>
      <c r="K37" s="200"/>
      <c r="L37" s="200" t="s">
        <v>447</v>
      </c>
      <c r="M37" s="201" t="s">
        <v>650</v>
      </c>
      <c r="N37" s="536" t="s">
        <v>3463</v>
      </c>
      <c r="O37" s="202">
        <v>1</v>
      </c>
      <c r="P37" s="201" t="s">
        <v>210</v>
      </c>
      <c r="Q37" s="201" t="s">
        <v>1318</v>
      </c>
      <c r="R37" s="201" t="s">
        <v>1433</v>
      </c>
      <c r="S37" s="201" t="s">
        <v>1434</v>
      </c>
      <c r="T37" s="201" t="s">
        <v>96</v>
      </c>
      <c r="U37" s="203">
        <v>3388</v>
      </c>
      <c r="V37" s="203">
        <v>1039</v>
      </c>
      <c r="W37" s="204">
        <v>4</v>
      </c>
      <c r="X37" s="205" t="s">
        <v>97</v>
      </c>
      <c r="Y37" s="203"/>
      <c r="Z37" s="206">
        <v>41353</v>
      </c>
      <c r="AA37" s="206" t="s">
        <v>79</v>
      </c>
      <c r="AB37" s="207" t="s">
        <v>89</v>
      </c>
      <c r="AC37" s="208" t="s">
        <v>80</v>
      </c>
      <c r="AD37" s="209">
        <v>1320000000</v>
      </c>
      <c r="AE37" s="209">
        <v>1320000000</v>
      </c>
      <c r="AF37" s="207">
        <v>2</v>
      </c>
      <c r="AG37" s="207">
        <v>2</v>
      </c>
      <c r="AH37" s="209">
        <v>1200000000</v>
      </c>
      <c r="AI37" s="207"/>
      <c r="AJ37" s="208"/>
      <c r="AK37" s="209"/>
      <c r="AL37" s="209"/>
      <c r="AM37" s="206"/>
      <c r="AN37" s="207"/>
      <c r="AO37" s="208"/>
      <c r="AP37" s="209"/>
      <c r="AQ37" s="209"/>
      <c r="AR37" s="207"/>
      <c r="AS37" s="207"/>
      <c r="AT37" s="209"/>
      <c r="AU37" s="209"/>
      <c r="AV37" s="209"/>
      <c r="AW37" s="466" t="s">
        <v>1313</v>
      </c>
      <c r="AX37" s="466" t="s">
        <v>1313</v>
      </c>
      <c r="AY37" s="466" t="s">
        <v>1313</v>
      </c>
      <c r="AZ37" s="466" t="s">
        <v>1313</v>
      </c>
      <c r="BA37" s="466" t="s">
        <v>1313</v>
      </c>
      <c r="BB37" s="466" t="s">
        <v>1313</v>
      </c>
      <c r="BC37" s="207" t="s">
        <v>82</v>
      </c>
      <c r="BD37" s="210"/>
      <c r="BE37" s="210"/>
      <c r="BF37" s="207"/>
      <c r="BG37" s="207"/>
      <c r="BH37" s="207"/>
      <c r="BI37" s="207"/>
      <c r="BJ37" s="207"/>
      <c r="BK37" s="206"/>
      <c r="BL37" s="206"/>
      <c r="BM37" s="206"/>
      <c r="BN37" s="206"/>
      <c r="BO37" s="211"/>
      <c r="BP37" s="207"/>
      <c r="BQ37" s="207"/>
      <c r="BR37" s="206"/>
      <c r="BS37" s="206"/>
      <c r="BT37" s="212"/>
      <c r="BU37" s="212"/>
      <c r="BV37" s="206"/>
      <c r="BW37" s="212"/>
      <c r="BX37" s="206"/>
      <c r="BY37" s="212"/>
      <c r="BZ37" s="206"/>
      <c r="CA37" s="206">
        <v>42488</v>
      </c>
      <c r="CB37" s="213" t="s">
        <v>1376</v>
      </c>
      <c r="CC37" s="212">
        <v>575960000</v>
      </c>
      <c r="CD37" s="212">
        <v>750137000</v>
      </c>
      <c r="CE37" s="212">
        <v>172000000</v>
      </c>
      <c r="CF37" s="212"/>
      <c r="CG37" s="212">
        <v>1498097000</v>
      </c>
      <c r="CH37" s="200"/>
      <c r="CI37" s="212"/>
      <c r="CJ37" s="255" t="s">
        <v>416</v>
      </c>
    </row>
    <row r="38" spans="1:88" s="503" customFormat="1" ht="14.1" hidden="1" customHeight="1">
      <c r="A38" s="483" t="s">
        <v>3426</v>
      </c>
      <c r="B38" s="478" t="s">
        <v>3216</v>
      </c>
      <c r="C38" s="251" t="s">
        <v>3423</v>
      </c>
      <c r="D38" s="251" t="s">
        <v>3423</v>
      </c>
      <c r="E38" s="500"/>
      <c r="F38" s="251" t="s">
        <v>3187</v>
      </c>
      <c r="G38" s="501" t="s">
        <v>3441</v>
      </c>
      <c r="H38" s="502"/>
      <c r="J38" s="199">
        <v>26</v>
      </c>
      <c r="K38" s="200"/>
      <c r="L38" s="200" t="s">
        <v>447</v>
      </c>
      <c r="M38" s="201" t="s">
        <v>650</v>
      </c>
      <c r="N38" s="536" t="s">
        <v>3463</v>
      </c>
      <c r="O38" s="202">
        <v>2</v>
      </c>
      <c r="P38" s="201" t="s">
        <v>210</v>
      </c>
      <c r="Q38" s="201" t="s">
        <v>1435</v>
      </c>
      <c r="R38" s="201" t="s">
        <v>1436</v>
      </c>
      <c r="S38" s="201" t="s">
        <v>1437</v>
      </c>
      <c r="T38" s="201" t="s">
        <v>106</v>
      </c>
      <c r="U38" s="203">
        <v>43.03</v>
      </c>
      <c r="V38" s="203">
        <v>84.43</v>
      </c>
      <c r="W38" s="204"/>
      <c r="X38" s="205"/>
      <c r="Y38" s="203"/>
      <c r="Z38" s="206">
        <v>42257</v>
      </c>
      <c r="AA38" s="206" t="s">
        <v>79</v>
      </c>
      <c r="AB38" s="207">
        <v>2</v>
      </c>
      <c r="AC38" s="208" t="s">
        <v>80</v>
      </c>
      <c r="AD38" s="209">
        <v>1200000000</v>
      </c>
      <c r="AE38" s="209">
        <v>1200000000</v>
      </c>
      <c r="AF38" s="207">
        <v>1</v>
      </c>
      <c r="AG38" s="207">
        <v>2</v>
      </c>
      <c r="AH38" s="209">
        <v>1200000000</v>
      </c>
      <c r="AI38" s="207"/>
      <c r="AJ38" s="208"/>
      <c r="AK38" s="209"/>
      <c r="AL38" s="209"/>
      <c r="AM38" s="206"/>
      <c r="AN38" s="207">
        <v>1</v>
      </c>
      <c r="AO38" s="208" t="s">
        <v>80</v>
      </c>
      <c r="AP38" s="209">
        <v>132000000</v>
      </c>
      <c r="AQ38" s="209">
        <v>132000000</v>
      </c>
      <c r="AR38" s="207"/>
      <c r="AS38" s="207"/>
      <c r="AT38" s="209"/>
      <c r="AU38" s="209"/>
      <c r="AV38" s="209"/>
      <c r="AW38" s="466" t="s">
        <v>1313</v>
      </c>
      <c r="AX38" s="466" t="s">
        <v>1313</v>
      </c>
      <c r="AY38" s="466" t="s">
        <v>1313</v>
      </c>
      <c r="AZ38" s="466" t="s">
        <v>1313</v>
      </c>
      <c r="BA38" s="466" t="s">
        <v>1313</v>
      </c>
      <c r="BB38" s="466" t="s">
        <v>1313</v>
      </c>
      <c r="BC38" s="207" t="s">
        <v>82</v>
      </c>
      <c r="BD38" s="210"/>
      <c r="BE38" s="210"/>
      <c r="BF38" s="207"/>
      <c r="BG38" s="207"/>
      <c r="BH38" s="207"/>
      <c r="BI38" s="207"/>
      <c r="BJ38" s="207"/>
      <c r="BK38" s="206"/>
      <c r="BL38" s="206"/>
      <c r="BM38" s="206"/>
      <c r="BN38" s="206"/>
      <c r="BO38" s="211"/>
      <c r="BP38" s="207"/>
      <c r="BQ38" s="207"/>
      <c r="BR38" s="206"/>
      <c r="BS38" s="206"/>
      <c r="BT38" s="212"/>
      <c r="BU38" s="212"/>
      <c r="BV38" s="206"/>
      <c r="BW38" s="212"/>
      <c r="BX38" s="206"/>
      <c r="BY38" s="212"/>
      <c r="BZ38" s="206"/>
      <c r="CA38" s="206">
        <v>42482</v>
      </c>
      <c r="CB38" s="213" t="s">
        <v>134</v>
      </c>
      <c r="CC38" s="212"/>
      <c r="CD38" s="212">
        <v>175000000</v>
      </c>
      <c r="CE38" s="212"/>
      <c r="CF38" s="212"/>
      <c r="CG38" s="212">
        <v>175000000</v>
      </c>
      <c r="CH38" s="200"/>
      <c r="CI38" s="212"/>
      <c r="CJ38" s="255" t="s">
        <v>1438</v>
      </c>
    </row>
    <row r="39" spans="1:88" s="503" customFormat="1" ht="14.1" hidden="1" customHeight="1">
      <c r="A39" s="483" t="s">
        <v>3424</v>
      </c>
      <c r="B39" s="478" t="s">
        <v>3217</v>
      </c>
      <c r="C39" s="521" t="s">
        <v>3181</v>
      </c>
      <c r="D39" s="521" t="s">
        <v>3181</v>
      </c>
      <c r="E39" s="500">
        <v>1339335298</v>
      </c>
      <c r="F39" s="251" t="s">
        <v>3184</v>
      </c>
      <c r="G39" s="501"/>
      <c r="H39" s="502"/>
      <c r="J39" s="199">
        <v>27</v>
      </c>
      <c r="K39" s="200"/>
      <c r="L39" s="200" t="s">
        <v>448</v>
      </c>
      <c r="M39" s="201" t="s">
        <v>651</v>
      </c>
      <c r="N39" s="536" t="s">
        <v>3464</v>
      </c>
      <c r="O39" s="202">
        <v>1</v>
      </c>
      <c r="P39" s="201" t="s">
        <v>1312</v>
      </c>
      <c r="Q39" s="201" t="s">
        <v>1439</v>
      </c>
      <c r="R39" s="201" t="s">
        <v>1440</v>
      </c>
      <c r="S39" s="201" t="s">
        <v>1441</v>
      </c>
      <c r="T39" s="201" t="s">
        <v>96</v>
      </c>
      <c r="U39" s="203">
        <v>2916</v>
      </c>
      <c r="V39" s="203">
        <v>2089.6</v>
      </c>
      <c r="W39" s="204">
        <v>6</v>
      </c>
      <c r="X39" s="205" t="s">
        <v>97</v>
      </c>
      <c r="Y39" s="203"/>
      <c r="Z39" s="206">
        <v>41061</v>
      </c>
      <c r="AA39" s="206" t="s">
        <v>79</v>
      </c>
      <c r="AB39" s="207" t="s">
        <v>89</v>
      </c>
      <c r="AC39" s="208" t="s">
        <v>80</v>
      </c>
      <c r="AD39" s="209">
        <v>1807000000</v>
      </c>
      <c r="AE39" s="209">
        <v>1807000000</v>
      </c>
      <c r="AF39" s="207"/>
      <c r="AG39" s="207"/>
      <c r="AH39" s="209"/>
      <c r="AI39" s="207"/>
      <c r="AJ39" s="208"/>
      <c r="AK39" s="209"/>
      <c r="AL39" s="209"/>
      <c r="AM39" s="206"/>
      <c r="AN39" s="207"/>
      <c r="AO39" s="208"/>
      <c r="AP39" s="209"/>
      <c r="AQ39" s="209"/>
      <c r="AR39" s="207"/>
      <c r="AS39" s="207"/>
      <c r="AT39" s="209"/>
      <c r="AU39" s="209"/>
      <c r="AV39" s="209"/>
      <c r="AW39" s="466" t="s">
        <v>1313</v>
      </c>
      <c r="AX39" s="466" t="s">
        <v>1313</v>
      </c>
      <c r="AY39" s="466" t="s">
        <v>1313</v>
      </c>
      <c r="AZ39" s="466" t="s">
        <v>1313</v>
      </c>
      <c r="BA39" s="466" t="s">
        <v>1313</v>
      </c>
      <c r="BB39" s="466" t="s">
        <v>1313</v>
      </c>
      <c r="BC39" s="207" t="s">
        <v>82</v>
      </c>
      <c r="BD39" s="210"/>
      <c r="BE39" s="210"/>
      <c r="BF39" s="207"/>
      <c r="BG39" s="207"/>
      <c r="BH39" s="207"/>
      <c r="BI39" s="207"/>
      <c r="BJ39" s="207"/>
      <c r="BK39" s="206"/>
      <c r="BL39" s="206"/>
      <c r="BM39" s="206"/>
      <c r="BN39" s="206"/>
      <c r="BO39" s="211"/>
      <c r="BP39" s="207"/>
      <c r="BQ39" s="207"/>
      <c r="BR39" s="206"/>
      <c r="BS39" s="206"/>
      <c r="BT39" s="212"/>
      <c r="BU39" s="212"/>
      <c r="BV39" s="206"/>
      <c r="BW39" s="212"/>
      <c r="BX39" s="206"/>
      <c r="BY39" s="212"/>
      <c r="BZ39" s="206"/>
      <c r="CA39" s="206" t="s">
        <v>1442</v>
      </c>
      <c r="CB39" s="213" t="s">
        <v>1443</v>
      </c>
      <c r="CC39" s="212">
        <v>1014120000</v>
      </c>
      <c r="CD39" s="212">
        <v>863861052</v>
      </c>
      <c r="CE39" s="212">
        <v>295308000</v>
      </c>
      <c r="CF39" s="212"/>
      <c r="CG39" s="212">
        <v>2173289052</v>
      </c>
      <c r="CH39" s="200"/>
      <c r="CI39" s="212"/>
      <c r="CJ39" s="255" t="s">
        <v>1444</v>
      </c>
    </row>
    <row r="40" spans="1:88" s="503" customFormat="1" ht="14.1" hidden="1" customHeight="1">
      <c r="A40" s="483" t="s">
        <v>3424</v>
      </c>
      <c r="B40" s="478" t="s">
        <v>3218</v>
      </c>
      <c r="C40" s="521" t="s">
        <v>3181</v>
      </c>
      <c r="D40" s="521" t="s">
        <v>3181</v>
      </c>
      <c r="E40" s="500">
        <v>999997922</v>
      </c>
      <c r="F40" s="544" t="s">
        <v>3476</v>
      </c>
      <c r="G40" s="501"/>
      <c r="H40" s="502"/>
      <c r="J40" s="199">
        <v>28</v>
      </c>
      <c r="K40" s="200"/>
      <c r="L40" s="200" t="s">
        <v>449</v>
      </c>
      <c r="M40" s="201" t="s">
        <v>211</v>
      </c>
      <c r="N40" s="536" t="s">
        <v>3465</v>
      </c>
      <c r="O40" s="202">
        <v>1</v>
      </c>
      <c r="P40" s="201" t="s">
        <v>103</v>
      </c>
      <c r="Q40" s="201" t="s">
        <v>231</v>
      </c>
      <c r="R40" s="201" t="s">
        <v>1445</v>
      </c>
      <c r="S40" s="201" t="s">
        <v>1446</v>
      </c>
      <c r="T40" s="201" t="s">
        <v>78</v>
      </c>
      <c r="U40" s="203">
        <v>322</v>
      </c>
      <c r="V40" s="203">
        <v>811.18</v>
      </c>
      <c r="W40" s="204"/>
      <c r="X40" s="205"/>
      <c r="Y40" s="203"/>
      <c r="Z40" s="206">
        <v>37194</v>
      </c>
      <c r="AA40" s="206" t="s">
        <v>79</v>
      </c>
      <c r="AB40" s="207" t="s">
        <v>91</v>
      </c>
      <c r="AC40" s="208" t="s">
        <v>80</v>
      </c>
      <c r="AD40" s="209">
        <v>1200000000</v>
      </c>
      <c r="AE40" s="209">
        <v>1200000000</v>
      </c>
      <c r="AF40" s="207"/>
      <c r="AG40" s="207"/>
      <c r="AH40" s="209"/>
      <c r="AI40" s="207"/>
      <c r="AJ40" s="208"/>
      <c r="AK40" s="209"/>
      <c r="AL40" s="209"/>
      <c r="AM40" s="206"/>
      <c r="AN40" s="207"/>
      <c r="AO40" s="208"/>
      <c r="AP40" s="209"/>
      <c r="AQ40" s="209"/>
      <c r="AR40" s="207"/>
      <c r="AS40" s="207"/>
      <c r="AT40" s="209"/>
      <c r="AU40" s="209"/>
      <c r="AV40" s="209"/>
      <c r="AW40" s="466" t="s">
        <v>1313</v>
      </c>
      <c r="AX40" s="466" t="s">
        <v>1313</v>
      </c>
      <c r="AY40" s="466" t="s">
        <v>1313</v>
      </c>
      <c r="AZ40" s="466" t="s">
        <v>1313</v>
      </c>
      <c r="BA40" s="466" t="s">
        <v>1313</v>
      </c>
      <c r="BB40" s="466" t="s">
        <v>1313</v>
      </c>
      <c r="BC40" s="207" t="s">
        <v>82</v>
      </c>
      <c r="BD40" s="210"/>
      <c r="BE40" s="210"/>
      <c r="BF40" s="207"/>
      <c r="BG40" s="207"/>
      <c r="BH40" s="207"/>
      <c r="BI40" s="207"/>
      <c r="BJ40" s="207"/>
      <c r="BK40" s="206"/>
      <c r="BL40" s="206"/>
      <c r="BM40" s="206"/>
      <c r="BN40" s="206"/>
      <c r="BO40" s="211"/>
      <c r="BP40" s="207"/>
      <c r="BQ40" s="207"/>
      <c r="BR40" s="206"/>
      <c r="BS40" s="206"/>
      <c r="BT40" s="212"/>
      <c r="BU40" s="212"/>
      <c r="BV40" s="206"/>
      <c r="BW40" s="212"/>
      <c r="BX40" s="206"/>
      <c r="BY40" s="212"/>
      <c r="BZ40" s="206"/>
      <c r="CA40" s="206">
        <v>42488</v>
      </c>
      <c r="CB40" s="213" t="s">
        <v>1321</v>
      </c>
      <c r="CC40" s="212">
        <v>2093000000</v>
      </c>
      <c r="CD40" s="212">
        <v>163746400</v>
      </c>
      <c r="CE40" s="212"/>
      <c r="CF40" s="212"/>
      <c r="CG40" s="212">
        <v>2256746400</v>
      </c>
      <c r="CH40" s="200"/>
      <c r="CI40" s="212"/>
      <c r="CJ40" s="255" t="s">
        <v>1447</v>
      </c>
    </row>
    <row r="41" spans="1:88" s="503" customFormat="1" ht="14.1" hidden="1" customHeight="1">
      <c r="A41" s="483" t="s">
        <v>3424</v>
      </c>
      <c r="B41" s="478" t="s">
        <v>3219</v>
      </c>
      <c r="C41" s="521" t="s">
        <v>3181</v>
      </c>
      <c r="D41" s="521" t="s">
        <v>3181</v>
      </c>
      <c r="E41" s="500">
        <v>997532075</v>
      </c>
      <c r="F41" s="539" t="s">
        <v>3185</v>
      </c>
      <c r="G41" s="501"/>
      <c r="H41" s="502"/>
      <c r="J41" s="199">
        <v>29</v>
      </c>
      <c r="K41" s="200"/>
      <c r="L41" s="200" t="s">
        <v>450</v>
      </c>
      <c r="M41" s="201" t="s">
        <v>135</v>
      </c>
      <c r="N41" s="536" t="s">
        <v>3466</v>
      </c>
      <c r="O41" s="202">
        <v>1</v>
      </c>
      <c r="P41" s="201" t="s">
        <v>93</v>
      </c>
      <c r="Q41" s="201" t="s">
        <v>95</v>
      </c>
      <c r="R41" s="201" t="s">
        <v>1448</v>
      </c>
      <c r="S41" s="201" t="s">
        <v>1449</v>
      </c>
      <c r="T41" s="201" t="s">
        <v>96</v>
      </c>
      <c r="U41" s="203">
        <v>2851</v>
      </c>
      <c r="V41" s="203">
        <v>957.16</v>
      </c>
      <c r="W41" s="204"/>
      <c r="X41" s="205"/>
      <c r="Y41" s="203"/>
      <c r="Z41" s="206">
        <v>41547</v>
      </c>
      <c r="AA41" s="206" t="s">
        <v>79</v>
      </c>
      <c r="AB41" s="207">
        <v>1</v>
      </c>
      <c r="AC41" s="208" t="s">
        <v>80</v>
      </c>
      <c r="AD41" s="209">
        <v>1200000000</v>
      </c>
      <c r="AE41" s="209">
        <v>1200000000</v>
      </c>
      <c r="AF41" s="207"/>
      <c r="AG41" s="207"/>
      <c r="AH41" s="209"/>
      <c r="AI41" s="207"/>
      <c r="AJ41" s="208"/>
      <c r="AK41" s="209"/>
      <c r="AL41" s="209"/>
      <c r="AM41" s="206"/>
      <c r="AN41" s="207"/>
      <c r="AO41" s="208"/>
      <c r="AP41" s="209"/>
      <c r="AQ41" s="209"/>
      <c r="AR41" s="207"/>
      <c r="AS41" s="207"/>
      <c r="AT41" s="209"/>
      <c r="AU41" s="209"/>
      <c r="AV41" s="209"/>
      <c r="AW41" s="466" t="s">
        <v>1313</v>
      </c>
      <c r="AX41" s="466" t="s">
        <v>1313</v>
      </c>
      <c r="AY41" s="466" t="s">
        <v>1313</v>
      </c>
      <c r="AZ41" s="466" t="s">
        <v>1313</v>
      </c>
      <c r="BA41" s="466" t="s">
        <v>1313</v>
      </c>
      <c r="BB41" s="466" t="s">
        <v>1313</v>
      </c>
      <c r="BC41" s="207" t="s">
        <v>1320</v>
      </c>
      <c r="BD41" s="210">
        <v>1068511191</v>
      </c>
      <c r="BE41" s="210">
        <v>20256947</v>
      </c>
      <c r="BF41" s="207" t="s">
        <v>1416</v>
      </c>
      <c r="BG41" s="207" t="s">
        <v>1450</v>
      </c>
      <c r="BH41" s="207" t="s">
        <v>99</v>
      </c>
      <c r="BI41" s="207" t="s">
        <v>1451</v>
      </c>
      <c r="BJ41" s="207" t="s">
        <v>1452</v>
      </c>
      <c r="BK41" s="206">
        <v>42443</v>
      </c>
      <c r="BL41" s="206">
        <v>42520</v>
      </c>
      <c r="BM41" s="206">
        <v>42479</v>
      </c>
      <c r="BN41" s="206"/>
      <c r="BO41" s="211"/>
      <c r="BP41" s="207"/>
      <c r="BQ41" s="207"/>
      <c r="BR41" s="206"/>
      <c r="BS41" s="206"/>
      <c r="BT41" s="212"/>
      <c r="BU41" s="212"/>
      <c r="BV41" s="206"/>
      <c r="BW41" s="212"/>
      <c r="BX41" s="206"/>
      <c r="BY41" s="212"/>
      <c r="BZ41" s="206"/>
      <c r="CA41" s="206">
        <v>41533</v>
      </c>
      <c r="CB41" s="213" t="s">
        <v>1453</v>
      </c>
      <c r="CC41" s="212">
        <v>976850000</v>
      </c>
      <c r="CD41" s="212">
        <v>175149300</v>
      </c>
      <c r="CE41" s="212"/>
      <c r="CF41" s="212"/>
      <c r="CG41" s="212">
        <v>1151999300</v>
      </c>
      <c r="CH41" s="200"/>
      <c r="CI41" s="212"/>
      <c r="CJ41" s="255" t="s">
        <v>1454</v>
      </c>
    </row>
    <row r="42" spans="1:88" s="503" customFormat="1" ht="14.1" hidden="1" customHeight="1">
      <c r="A42" s="483" t="s">
        <v>3425</v>
      </c>
      <c r="B42" s="478" t="s">
        <v>3220</v>
      </c>
      <c r="C42" s="521" t="s">
        <v>3181</v>
      </c>
      <c r="D42" s="521" t="s">
        <v>3181</v>
      </c>
      <c r="E42" s="500">
        <v>991112045</v>
      </c>
      <c r="F42" s="251" t="s">
        <v>3189</v>
      </c>
      <c r="G42" s="501"/>
      <c r="H42" s="502"/>
      <c r="J42" s="199">
        <v>30</v>
      </c>
      <c r="K42" s="200"/>
      <c r="L42" s="200" t="s">
        <v>451</v>
      </c>
      <c r="M42" s="201" t="s">
        <v>652</v>
      </c>
      <c r="N42" s="536" t="s">
        <v>3467</v>
      </c>
      <c r="O42" s="202">
        <v>1</v>
      </c>
      <c r="P42" s="201" t="s">
        <v>93</v>
      </c>
      <c r="Q42" s="201" t="s">
        <v>118</v>
      </c>
      <c r="R42" s="201" t="s">
        <v>1455</v>
      </c>
      <c r="S42" s="201" t="s">
        <v>1456</v>
      </c>
      <c r="T42" s="201" t="s">
        <v>177</v>
      </c>
      <c r="U42" s="203">
        <v>27957.223099999999</v>
      </c>
      <c r="V42" s="203">
        <v>0</v>
      </c>
      <c r="W42" s="204"/>
      <c r="X42" s="205"/>
      <c r="Y42" s="203"/>
      <c r="Z42" s="206">
        <v>41898</v>
      </c>
      <c r="AA42" s="206" t="s">
        <v>79</v>
      </c>
      <c r="AB42" s="207">
        <v>1</v>
      </c>
      <c r="AC42" s="208" t="s">
        <v>80</v>
      </c>
      <c r="AD42" s="209">
        <v>1200000000</v>
      </c>
      <c r="AE42" s="209">
        <v>1200000000</v>
      </c>
      <c r="AF42" s="207">
        <v>2</v>
      </c>
      <c r="AG42" s="207">
        <v>1</v>
      </c>
      <c r="AH42" s="209">
        <v>1200000000</v>
      </c>
      <c r="AI42" s="207"/>
      <c r="AJ42" s="208"/>
      <c r="AK42" s="209"/>
      <c r="AL42" s="209"/>
      <c r="AM42" s="206"/>
      <c r="AN42" s="207"/>
      <c r="AO42" s="208"/>
      <c r="AP42" s="209"/>
      <c r="AQ42" s="209"/>
      <c r="AR42" s="207"/>
      <c r="AS42" s="207"/>
      <c r="AT42" s="209"/>
      <c r="AU42" s="209"/>
      <c r="AV42" s="209"/>
      <c r="AW42" s="466" t="s">
        <v>1313</v>
      </c>
      <c r="AX42" s="466" t="s">
        <v>1313</v>
      </c>
      <c r="AY42" s="466" t="s">
        <v>1313</v>
      </c>
      <c r="AZ42" s="466" t="s">
        <v>1313</v>
      </c>
      <c r="BA42" s="466" t="s">
        <v>1313</v>
      </c>
      <c r="BB42" s="466" t="s">
        <v>1313</v>
      </c>
      <c r="BC42" s="207" t="s">
        <v>82</v>
      </c>
      <c r="BD42" s="210"/>
      <c r="BE42" s="210"/>
      <c r="BF42" s="207"/>
      <c r="BG42" s="207"/>
      <c r="BH42" s="207"/>
      <c r="BI42" s="207"/>
      <c r="BJ42" s="207"/>
      <c r="BK42" s="206"/>
      <c r="BL42" s="206"/>
      <c r="BM42" s="206"/>
      <c r="BN42" s="206"/>
      <c r="BO42" s="211"/>
      <c r="BP42" s="207"/>
      <c r="BQ42" s="207"/>
      <c r="BR42" s="206"/>
      <c r="BS42" s="206"/>
      <c r="BT42" s="212"/>
      <c r="BU42" s="212"/>
      <c r="BV42" s="206"/>
      <c r="BW42" s="212"/>
      <c r="BX42" s="206"/>
      <c r="BY42" s="212"/>
      <c r="BZ42" s="206"/>
      <c r="CA42" s="206">
        <v>41886</v>
      </c>
      <c r="CB42" s="213" t="s">
        <v>1457</v>
      </c>
      <c r="CC42" s="212">
        <v>1554276000</v>
      </c>
      <c r="CD42" s="212"/>
      <c r="CE42" s="212"/>
      <c r="CF42" s="212"/>
      <c r="CG42" s="212">
        <v>1554276000</v>
      </c>
      <c r="CH42" s="200"/>
      <c r="CI42" s="212"/>
      <c r="CJ42" s="255" t="s">
        <v>416</v>
      </c>
    </row>
    <row r="43" spans="1:88" s="503" customFormat="1" ht="14.1" hidden="1" customHeight="1">
      <c r="A43" s="483" t="s">
        <v>3426</v>
      </c>
      <c r="B43" s="478" t="s">
        <v>3221</v>
      </c>
      <c r="C43" s="521" t="s">
        <v>3181</v>
      </c>
      <c r="D43" s="521"/>
      <c r="E43" s="500"/>
      <c r="F43" s="251" t="s">
        <v>3189</v>
      </c>
      <c r="G43" s="501"/>
      <c r="H43" s="502"/>
      <c r="J43" s="199">
        <v>31</v>
      </c>
      <c r="K43" s="200"/>
      <c r="L43" s="200" t="s">
        <v>451</v>
      </c>
      <c r="M43" s="201" t="s">
        <v>652</v>
      </c>
      <c r="N43" s="536" t="s">
        <v>3467</v>
      </c>
      <c r="O43" s="202">
        <v>2</v>
      </c>
      <c r="P43" s="201" t="s">
        <v>93</v>
      </c>
      <c r="Q43" s="201" t="s">
        <v>118</v>
      </c>
      <c r="R43" s="201" t="s">
        <v>1455</v>
      </c>
      <c r="S43" s="201" t="s">
        <v>1458</v>
      </c>
      <c r="T43" s="201" t="s">
        <v>418</v>
      </c>
      <c r="U43" s="203">
        <v>10</v>
      </c>
      <c r="V43" s="203">
        <v>0</v>
      </c>
      <c r="W43" s="204"/>
      <c r="X43" s="205"/>
      <c r="Y43" s="203"/>
      <c r="Z43" s="206">
        <v>41898</v>
      </c>
      <c r="AA43" s="206" t="s">
        <v>79</v>
      </c>
      <c r="AB43" s="207">
        <v>2</v>
      </c>
      <c r="AC43" s="208" t="s">
        <v>80</v>
      </c>
      <c r="AD43" s="209">
        <v>1200000000</v>
      </c>
      <c r="AE43" s="209">
        <v>1200000000</v>
      </c>
      <c r="AF43" s="207">
        <v>1</v>
      </c>
      <c r="AG43" s="207">
        <v>2</v>
      </c>
      <c r="AH43" s="209">
        <v>1200000000</v>
      </c>
      <c r="AI43" s="207"/>
      <c r="AJ43" s="208"/>
      <c r="AK43" s="209"/>
      <c r="AL43" s="209"/>
      <c r="AM43" s="206"/>
      <c r="AN43" s="207">
        <v>1</v>
      </c>
      <c r="AO43" s="208" t="s">
        <v>80</v>
      </c>
      <c r="AP43" s="209">
        <v>30000000</v>
      </c>
      <c r="AQ43" s="209">
        <v>30000000</v>
      </c>
      <c r="AR43" s="207"/>
      <c r="AS43" s="207"/>
      <c r="AT43" s="209"/>
      <c r="AU43" s="209"/>
      <c r="AV43" s="209"/>
      <c r="AW43" s="466" t="s">
        <v>1313</v>
      </c>
      <c r="AX43" s="466" t="s">
        <v>1313</v>
      </c>
      <c r="AY43" s="466" t="s">
        <v>1313</v>
      </c>
      <c r="AZ43" s="466" t="s">
        <v>1313</v>
      </c>
      <c r="BA43" s="466" t="s">
        <v>1313</v>
      </c>
      <c r="BB43" s="466" t="s">
        <v>1313</v>
      </c>
      <c r="BC43" s="207" t="s">
        <v>82</v>
      </c>
      <c r="BD43" s="210"/>
      <c r="BE43" s="210"/>
      <c r="BF43" s="207"/>
      <c r="BG43" s="207"/>
      <c r="BH43" s="207"/>
      <c r="BI43" s="207"/>
      <c r="BJ43" s="207"/>
      <c r="BK43" s="206"/>
      <c r="BL43" s="206"/>
      <c r="BM43" s="206"/>
      <c r="BN43" s="206"/>
      <c r="BO43" s="211"/>
      <c r="BP43" s="207"/>
      <c r="BQ43" s="207"/>
      <c r="BR43" s="206"/>
      <c r="BS43" s="206"/>
      <c r="BT43" s="212"/>
      <c r="BU43" s="212"/>
      <c r="BV43" s="206"/>
      <c r="BW43" s="212"/>
      <c r="BX43" s="206"/>
      <c r="BY43" s="212"/>
      <c r="BZ43" s="206"/>
      <c r="CA43" s="206">
        <v>41886</v>
      </c>
      <c r="CB43" s="213" t="s">
        <v>1457</v>
      </c>
      <c r="CC43" s="209" t="s">
        <v>1459</v>
      </c>
      <c r="CD43" s="212"/>
      <c r="CE43" s="212"/>
      <c r="CF43" s="212"/>
      <c r="CG43" s="209" t="s">
        <v>1459</v>
      </c>
      <c r="CH43" s="200"/>
      <c r="CI43" s="212"/>
      <c r="CJ43" s="255" t="s">
        <v>1460</v>
      </c>
    </row>
    <row r="44" spans="1:88" s="503" customFormat="1" ht="14.1" hidden="1" customHeight="1">
      <c r="A44" s="483" t="s">
        <v>3424</v>
      </c>
      <c r="B44" s="478" t="s">
        <v>3222</v>
      </c>
      <c r="C44" s="521" t="s">
        <v>3181</v>
      </c>
      <c r="D44" s="521" t="s">
        <v>3181</v>
      </c>
      <c r="E44" s="500">
        <v>856000000</v>
      </c>
      <c r="F44" s="544" t="s">
        <v>3438</v>
      </c>
      <c r="G44" s="501"/>
      <c r="H44" s="502"/>
      <c r="J44" s="199">
        <v>32</v>
      </c>
      <c r="K44" s="200"/>
      <c r="L44" s="200" t="s">
        <v>452</v>
      </c>
      <c r="M44" s="201" t="s">
        <v>653</v>
      </c>
      <c r="N44" s="536" t="s">
        <v>3468</v>
      </c>
      <c r="O44" s="202">
        <v>1</v>
      </c>
      <c r="P44" s="201" t="s">
        <v>93</v>
      </c>
      <c r="Q44" s="201" t="s">
        <v>95</v>
      </c>
      <c r="R44" s="201" t="s">
        <v>1461</v>
      </c>
      <c r="S44" s="201" t="s">
        <v>1462</v>
      </c>
      <c r="T44" s="201" t="s">
        <v>96</v>
      </c>
      <c r="U44" s="203">
        <v>1405</v>
      </c>
      <c r="V44" s="203">
        <v>999.22</v>
      </c>
      <c r="W44" s="204"/>
      <c r="X44" s="205"/>
      <c r="Y44" s="203"/>
      <c r="Z44" s="206">
        <v>42272</v>
      </c>
      <c r="AA44" s="206" t="s">
        <v>79</v>
      </c>
      <c r="AB44" s="207">
        <v>1</v>
      </c>
      <c r="AC44" s="208" t="s">
        <v>80</v>
      </c>
      <c r="AD44" s="209">
        <v>1030800000</v>
      </c>
      <c r="AE44" s="209">
        <v>1030800000</v>
      </c>
      <c r="AF44" s="207"/>
      <c r="AG44" s="207"/>
      <c r="AH44" s="209"/>
      <c r="AI44" s="207"/>
      <c r="AJ44" s="208"/>
      <c r="AK44" s="209"/>
      <c r="AL44" s="209"/>
      <c r="AM44" s="206"/>
      <c r="AN44" s="207"/>
      <c r="AO44" s="208"/>
      <c r="AP44" s="209"/>
      <c r="AQ44" s="209"/>
      <c r="AR44" s="207"/>
      <c r="AS44" s="207"/>
      <c r="AT44" s="209"/>
      <c r="AU44" s="209"/>
      <c r="AV44" s="209"/>
      <c r="AW44" s="466" t="s">
        <v>1313</v>
      </c>
      <c r="AX44" s="466" t="s">
        <v>1313</v>
      </c>
      <c r="AY44" s="466" t="s">
        <v>1313</v>
      </c>
      <c r="AZ44" s="466" t="s">
        <v>1313</v>
      </c>
      <c r="BA44" s="466" t="s">
        <v>1313</v>
      </c>
      <c r="BB44" s="466" t="s">
        <v>1313</v>
      </c>
      <c r="BC44" s="207" t="s">
        <v>82</v>
      </c>
      <c r="BD44" s="210"/>
      <c r="BE44" s="210"/>
      <c r="BF44" s="207"/>
      <c r="BG44" s="207"/>
      <c r="BH44" s="207"/>
      <c r="BI44" s="207"/>
      <c r="BJ44" s="207"/>
      <c r="BK44" s="206"/>
      <c r="BL44" s="206"/>
      <c r="BM44" s="206"/>
      <c r="BN44" s="206"/>
      <c r="BO44" s="211"/>
      <c r="BP44" s="207"/>
      <c r="BQ44" s="207"/>
      <c r="BR44" s="206"/>
      <c r="BS44" s="206"/>
      <c r="BT44" s="212"/>
      <c r="BU44" s="212"/>
      <c r="BV44" s="206"/>
      <c r="BW44" s="212"/>
      <c r="BX44" s="206"/>
      <c r="BY44" s="212"/>
      <c r="BZ44" s="206"/>
      <c r="CA44" s="206">
        <v>42256</v>
      </c>
      <c r="CB44" s="213" t="s">
        <v>1348</v>
      </c>
      <c r="CC44" s="212">
        <v>483350000</v>
      </c>
      <c r="CD44" s="212">
        <v>305973900</v>
      </c>
      <c r="CE44" s="212"/>
      <c r="CF44" s="212"/>
      <c r="CG44" s="212">
        <v>789323900</v>
      </c>
      <c r="CH44" s="200"/>
      <c r="CI44" s="212"/>
      <c r="CJ44" s="255" t="s">
        <v>416</v>
      </c>
    </row>
    <row r="45" spans="1:88" s="503" customFormat="1" ht="14.1" hidden="1" customHeight="1">
      <c r="A45" s="483" t="s">
        <v>3424</v>
      </c>
      <c r="B45" s="478" t="s">
        <v>3223</v>
      </c>
      <c r="C45" s="251" t="s">
        <v>3423</v>
      </c>
      <c r="D45" s="251" t="s">
        <v>3423</v>
      </c>
      <c r="E45" s="500">
        <v>827525024</v>
      </c>
      <c r="F45" s="251" t="s">
        <v>3438</v>
      </c>
      <c r="G45" s="501"/>
      <c r="H45" s="502"/>
      <c r="J45" s="199">
        <v>33</v>
      </c>
      <c r="K45" s="200"/>
      <c r="L45" s="200" t="s">
        <v>453</v>
      </c>
      <c r="M45" s="201" t="s">
        <v>109</v>
      </c>
      <c r="N45" s="536"/>
      <c r="O45" s="202">
        <v>1</v>
      </c>
      <c r="P45" s="201" t="s">
        <v>93</v>
      </c>
      <c r="Q45" s="201" t="s">
        <v>95</v>
      </c>
      <c r="R45" s="201" t="s">
        <v>1463</v>
      </c>
      <c r="S45" s="201" t="s">
        <v>1464</v>
      </c>
      <c r="T45" s="201" t="s">
        <v>106</v>
      </c>
      <c r="U45" s="203">
        <v>46.349600000000002</v>
      </c>
      <c r="V45" s="203">
        <v>187.11699999999999</v>
      </c>
      <c r="W45" s="204"/>
      <c r="X45" s="205"/>
      <c r="Y45" s="203"/>
      <c r="Z45" s="206">
        <v>40497</v>
      </c>
      <c r="AA45" s="206" t="s">
        <v>79</v>
      </c>
      <c r="AB45" s="207">
        <v>1</v>
      </c>
      <c r="AC45" s="208" t="s">
        <v>80</v>
      </c>
      <c r="AD45" s="209">
        <v>984000000</v>
      </c>
      <c r="AE45" s="209">
        <v>984000000</v>
      </c>
      <c r="AF45" s="207"/>
      <c r="AG45" s="207"/>
      <c r="AH45" s="209"/>
      <c r="AI45" s="207"/>
      <c r="AJ45" s="208"/>
      <c r="AK45" s="209"/>
      <c r="AL45" s="209"/>
      <c r="AM45" s="206"/>
      <c r="AN45" s="207"/>
      <c r="AO45" s="208"/>
      <c r="AP45" s="209"/>
      <c r="AQ45" s="209"/>
      <c r="AR45" s="207"/>
      <c r="AS45" s="207"/>
      <c r="AT45" s="209"/>
      <c r="AU45" s="209"/>
      <c r="AV45" s="209"/>
      <c r="AW45" s="466" t="s">
        <v>1313</v>
      </c>
      <c r="AX45" s="466" t="s">
        <v>1313</v>
      </c>
      <c r="AY45" s="466" t="s">
        <v>1313</v>
      </c>
      <c r="AZ45" s="466" t="s">
        <v>1313</v>
      </c>
      <c r="BA45" s="466" t="s">
        <v>1313</v>
      </c>
      <c r="BB45" s="466" t="s">
        <v>1313</v>
      </c>
      <c r="BC45" s="207" t="s">
        <v>82</v>
      </c>
      <c r="BD45" s="210"/>
      <c r="BE45" s="210"/>
      <c r="BF45" s="207"/>
      <c r="BG45" s="207"/>
      <c r="BH45" s="207"/>
      <c r="BI45" s="207"/>
      <c r="BJ45" s="207"/>
      <c r="BK45" s="206"/>
      <c r="BL45" s="206"/>
      <c r="BM45" s="206"/>
      <c r="BN45" s="206"/>
      <c r="BO45" s="211"/>
      <c r="BP45" s="207"/>
      <c r="BQ45" s="207"/>
      <c r="BR45" s="206"/>
      <c r="BS45" s="206"/>
      <c r="BT45" s="212"/>
      <c r="BU45" s="212"/>
      <c r="BV45" s="206"/>
      <c r="BW45" s="212"/>
      <c r="BX45" s="206"/>
      <c r="BY45" s="212"/>
      <c r="BZ45" s="206"/>
      <c r="CA45" s="206">
        <v>42478</v>
      </c>
      <c r="CB45" s="213" t="s">
        <v>1321</v>
      </c>
      <c r="CC45" s="212"/>
      <c r="CD45" s="212">
        <v>1410000000</v>
      </c>
      <c r="CE45" s="212"/>
      <c r="CF45" s="212"/>
      <c r="CG45" s="212">
        <v>1410000000</v>
      </c>
      <c r="CH45" s="200"/>
      <c r="CI45" s="212"/>
      <c r="CJ45" s="255" t="s">
        <v>416</v>
      </c>
    </row>
    <row r="46" spans="1:88" s="503" customFormat="1" ht="14.1" hidden="1" customHeight="1">
      <c r="A46" s="483" t="s">
        <v>3425</v>
      </c>
      <c r="B46" s="478" t="s">
        <v>3224</v>
      </c>
      <c r="C46" s="521" t="s">
        <v>3181</v>
      </c>
      <c r="D46" s="521" t="s">
        <v>3181</v>
      </c>
      <c r="E46" s="500">
        <v>817961571</v>
      </c>
      <c r="F46" s="251" t="s">
        <v>3184</v>
      </c>
      <c r="G46" s="501"/>
      <c r="H46" s="502"/>
      <c r="J46" s="199">
        <v>34</v>
      </c>
      <c r="K46" s="200"/>
      <c r="L46" s="200" t="s">
        <v>454</v>
      </c>
      <c r="M46" s="201" t="s">
        <v>654</v>
      </c>
      <c r="N46" s="536" t="s">
        <v>3469</v>
      </c>
      <c r="O46" s="202">
        <v>1</v>
      </c>
      <c r="P46" s="201" t="s">
        <v>164</v>
      </c>
      <c r="Q46" s="201" t="s">
        <v>215</v>
      </c>
      <c r="R46" s="201" t="s">
        <v>1465</v>
      </c>
      <c r="S46" s="201" t="s">
        <v>1466</v>
      </c>
      <c r="T46" s="201" t="s">
        <v>96</v>
      </c>
      <c r="U46" s="203">
        <v>6638</v>
      </c>
      <c r="V46" s="203">
        <v>1237.2</v>
      </c>
      <c r="W46" s="204">
        <v>3</v>
      </c>
      <c r="X46" s="205" t="s">
        <v>97</v>
      </c>
      <c r="Y46" s="203"/>
      <c r="Z46" s="206">
        <v>41992</v>
      </c>
      <c r="AA46" s="206" t="s">
        <v>79</v>
      </c>
      <c r="AB46" s="207">
        <v>1</v>
      </c>
      <c r="AC46" s="208" t="s">
        <v>80</v>
      </c>
      <c r="AD46" s="209">
        <v>960000000</v>
      </c>
      <c r="AE46" s="209">
        <v>960000000</v>
      </c>
      <c r="AF46" s="207">
        <v>2</v>
      </c>
      <c r="AG46" s="207">
        <v>1</v>
      </c>
      <c r="AH46" s="209">
        <v>960000000</v>
      </c>
      <c r="AI46" s="207"/>
      <c r="AJ46" s="208"/>
      <c r="AK46" s="209"/>
      <c r="AL46" s="209"/>
      <c r="AM46" s="206"/>
      <c r="AN46" s="207"/>
      <c r="AO46" s="208"/>
      <c r="AP46" s="209"/>
      <c r="AQ46" s="209"/>
      <c r="AR46" s="207"/>
      <c r="AS46" s="207"/>
      <c r="AT46" s="209"/>
      <c r="AU46" s="209"/>
      <c r="AV46" s="209"/>
      <c r="AW46" s="466" t="s">
        <v>1313</v>
      </c>
      <c r="AX46" s="466" t="s">
        <v>1313</v>
      </c>
      <c r="AY46" s="466" t="s">
        <v>1313</v>
      </c>
      <c r="AZ46" s="466" t="s">
        <v>1313</v>
      </c>
      <c r="BA46" s="466" t="s">
        <v>1313</v>
      </c>
      <c r="BB46" s="466" t="s">
        <v>1313</v>
      </c>
      <c r="BC46" s="207" t="s">
        <v>1320</v>
      </c>
      <c r="BD46" s="210">
        <v>815747052</v>
      </c>
      <c r="BE46" s="210"/>
      <c r="BF46" s="207" t="s">
        <v>101</v>
      </c>
      <c r="BG46" s="207"/>
      <c r="BH46" s="207" t="s">
        <v>167</v>
      </c>
      <c r="BI46" s="207" t="s">
        <v>1467</v>
      </c>
      <c r="BJ46" s="207"/>
      <c r="BK46" s="206">
        <v>42416</v>
      </c>
      <c r="BL46" s="206">
        <v>42485</v>
      </c>
      <c r="BM46" s="206"/>
      <c r="BN46" s="206"/>
      <c r="BO46" s="211"/>
      <c r="BP46" s="207"/>
      <c r="BQ46" s="207"/>
      <c r="BR46" s="206"/>
      <c r="BS46" s="206"/>
      <c r="BT46" s="212"/>
      <c r="BU46" s="212"/>
      <c r="BV46" s="206"/>
      <c r="BW46" s="212"/>
      <c r="BX46" s="206"/>
      <c r="BY46" s="212"/>
      <c r="BZ46" s="206"/>
      <c r="CA46" s="206">
        <v>41984</v>
      </c>
      <c r="CB46" s="213" t="s">
        <v>1317</v>
      </c>
      <c r="CC46" s="212">
        <v>597420000</v>
      </c>
      <c r="CD46" s="212">
        <v>508089600</v>
      </c>
      <c r="CE46" s="212">
        <v>260700000</v>
      </c>
      <c r="CF46" s="212"/>
      <c r="CG46" s="212">
        <v>1366209600</v>
      </c>
      <c r="CH46" s="200"/>
      <c r="CI46" s="212"/>
      <c r="CJ46" s="255" t="s">
        <v>1468</v>
      </c>
    </row>
    <row r="47" spans="1:88" s="503" customFormat="1" ht="14.1" hidden="1" customHeight="1">
      <c r="A47" s="483" t="s">
        <v>3426</v>
      </c>
      <c r="B47" s="478" t="s">
        <v>3225</v>
      </c>
      <c r="C47" s="521" t="s">
        <v>3181</v>
      </c>
      <c r="D47" s="521"/>
      <c r="E47" s="500"/>
      <c r="F47" s="251" t="s">
        <v>3184</v>
      </c>
      <c r="G47" s="501"/>
      <c r="H47" s="502"/>
      <c r="J47" s="199">
        <v>35</v>
      </c>
      <c r="K47" s="200"/>
      <c r="L47" s="200" t="s">
        <v>454</v>
      </c>
      <c r="M47" s="201" t="s">
        <v>654</v>
      </c>
      <c r="N47" s="536" t="s">
        <v>3469</v>
      </c>
      <c r="O47" s="202">
        <v>2</v>
      </c>
      <c r="P47" s="201" t="s">
        <v>164</v>
      </c>
      <c r="Q47" s="201" t="s">
        <v>215</v>
      </c>
      <c r="R47" s="201" t="s">
        <v>1465</v>
      </c>
      <c r="S47" s="201" t="s">
        <v>1469</v>
      </c>
      <c r="T47" s="201" t="s">
        <v>96</v>
      </c>
      <c r="U47" s="203">
        <v>1143</v>
      </c>
      <c r="V47" s="203">
        <v>0</v>
      </c>
      <c r="W47" s="204"/>
      <c r="X47" s="205"/>
      <c r="Y47" s="203"/>
      <c r="Z47" s="206">
        <v>41992</v>
      </c>
      <c r="AA47" s="206" t="s">
        <v>79</v>
      </c>
      <c r="AB47" s="207">
        <v>2</v>
      </c>
      <c r="AC47" s="208" t="s">
        <v>80</v>
      </c>
      <c r="AD47" s="209">
        <v>960000000</v>
      </c>
      <c r="AE47" s="209">
        <v>960000000</v>
      </c>
      <c r="AF47" s="207">
        <v>1</v>
      </c>
      <c r="AG47" s="207">
        <v>2</v>
      </c>
      <c r="AH47" s="209">
        <v>960000000</v>
      </c>
      <c r="AI47" s="207"/>
      <c r="AJ47" s="208"/>
      <c r="AK47" s="209"/>
      <c r="AL47" s="209"/>
      <c r="AM47" s="206"/>
      <c r="AN47" s="207">
        <v>1</v>
      </c>
      <c r="AO47" s="208" t="s">
        <v>80</v>
      </c>
      <c r="AP47" s="209">
        <v>1320000000</v>
      </c>
      <c r="AQ47" s="209">
        <v>1320000000</v>
      </c>
      <c r="AR47" s="207"/>
      <c r="AS47" s="207"/>
      <c r="AT47" s="209"/>
      <c r="AU47" s="209"/>
      <c r="AV47" s="209"/>
      <c r="AW47" s="466" t="s">
        <v>1313</v>
      </c>
      <c r="AX47" s="466" t="s">
        <v>1313</v>
      </c>
      <c r="AY47" s="466" t="s">
        <v>1313</v>
      </c>
      <c r="AZ47" s="466" t="s">
        <v>1313</v>
      </c>
      <c r="BA47" s="466" t="s">
        <v>1313</v>
      </c>
      <c r="BB47" s="466" t="s">
        <v>1313</v>
      </c>
      <c r="BC47" s="207" t="s">
        <v>1320</v>
      </c>
      <c r="BD47" s="210">
        <v>815747052</v>
      </c>
      <c r="BE47" s="210"/>
      <c r="BF47" s="207" t="s">
        <v>101</v>
      </c>
      <c r="BG47" s="207"/>
      <c r="BH47" s="207" t="s">
        <v>167</v>
      </c>
      <c r="BI47" s="207" t="s">
        <v>1467</v>
      </c>
      <c r="BJ47" s="207"/>
      <c r="BK47" s="206">
        <v>42416</v>
      </c>
      <c r="BL47" s="206">
        <v>42485</v>
      </c>
      <c r="BM47" s="206"/>
      <c r="BN47" s="206"/>
      <c r="BO47" s="211"/>
      <c r="BP47" s="207"/>
      <c r="BQ47" s="207"/>
      <c r="BR47" s="206"/>
      <c r="BS47" s="206"/>
      <c r="BT47" s="212"/>
      <c r="BU47" s="212"/>
      <c r="BV47" s="206"/>
      <c r="BW47" s="212"/>
      <c r="BX47" s="206"/>
      <c r="BY47" s="212"/>
      <c r="BZ47" s="206"/>
      <c r="CA47" s="206">
        <v>41984</v>
      </c>
      <c r="CB47" s="213" t="s">
        <v>1317</v>
      </c>
      <c r="CC47" s="209" t="s">
        <v>1459</v>
      </c>
      <c r="CD47" s="212"/>
      <c r="CE47" s="212"/>
      <c r="CF47" s="212"/>
      <c r="CG47" s="209" t="s">
        <v>1459</v>
      </c>
      <c r="CH47" s="200"/>
      <c r="CI47" s="212"/>
      <c r="CJ47" s="255" t="s">
        <v>1470</v>
      </c>
    </row>
    <row r="48" spans="1:88" s="503" customFormat="1" ht="14.1" hidden="1" customHeight="1">
      <c r="A48" s="483" t="s">
        <v>3425</v>
      </c>
      <c r="B48" s="478" t="s">
        <v>3226</v>
      </c>
      <c r="C48" s="521" t="s">
        <v>3181</v>
      </c>
      <c r="D48" s="521" t="s">
        <v>3181</v>
      </c>
      <c r="E48" s="500">
        <v>762676444</v>
      </c>
      <c r="F48" s="251" t="s">
        <v>3189</v>
      </c>
      <c r="G48" s="501"/>
      <c r="H48" s="502"/>
      <c r="J48" s="199">
        <v>36</v>
      </c>
      <c r="K48" s="200"/>
      <c r="L48" s="200" t="s">
        <v>455</v>
      </c>
      <c r="M48" s="201" t="s">
        <v>655</v>
      </c>
      <c r="N48" s="536" t="s">
        <v>3470</v>
      </c>
      <c r="O48" s="202">
        <v>1</v>
      </c>
      <c r="P48" s="201" t="s">
        <v>93</v>
      </c>
      <c r="Q48" s="201" t="s">
        <v>170</v>
      </c>
      <c r="R48" s="201" t="s">
        <v>1471</v>
      </c>
      <c r="S48" s="201" t="s">
        <v>1472</v>
      </c>
      <c r="T48" s="201" t="s">
        <v>96</v>
      </c>
      <c r="U48" s="203">
        <v>2866</v>
      </c>
      <c r="V48" s="203">
        <v>483</v>
      </c>
      <c r="W48" s="204"/>
      <c r="X48" s="205"/>
      <c r="Y48" s="203"/>
      <c r="Z48" s="206">
        <v>41806</v>
      </c>
      <c r="AA48" s="206" t="s">
        <v>79</v>
      </c>
      <c r="AB48" s="207">
        <v>1</v>
      </c>
      <c r="AC48" s="208" t="s">
        <v>80</v>
      </c>
      <c r="AD48" s="209">
        <v>960000000</v>
      </c>
      <c r="AE48" s="209">
        <v>960000000</v>
      </c>
      <c r="AF48" s="207">
        <v>2</v>
      </c>
      <c r="AG48" s="207">
        <v>1</v>
      </c>
      <c r="AH48" s="209">
        <v>960000000</v>
      </c>
      <c r="AI48" s="207"/>
      <c r="AJ48" s="208"/>
      <c r="AK48" s="209"/>
      <c r="AL48" s="209"/>
      <c r="AM48" s="206"/>
      <c r="AN48" s="207"/>
      <c r="AO48" s="208"/>
      <c r="AP48" s="209"/>
      <c r="AQ48" s="209"/>
      <c r="AR48" s="207"/>
      <c r="AS48" s="207"/>
      <c r="AT48" s="209"/>
      <c r="AU48" s="209"/>
      <c r="AV48" s="209"/>
      <c r="AW48" s="466" t="s">
        <v>1313</v>
      </c>
      <c r="AX48" s="466" t="s">
        <v>1313</v>
      </c>
      <c r="AY48" s="466" t="s">
        <v>1313</v>
      </c>
      <c r="AZ48" s="466" t="s">
        <v>1313</v>
      </c>
      <c r="BA48" s="466" t="s">
        <v>1313</v>
      </c>
      <c r="BB48" s="466" t="s">
        <v>1313</v>
      </c>
      <c r="BC48" s="207" t="s">
        <v>1320</v>
      </c>
      <c r="BD48" s="210"/>
      <c r="BE48" s="210">
        <v>4631506</v>
      </c>
      <c r="BF48" s="207" t="s">
        <v>1473</v>
      </c>
      <c r="BG48" s="207"/>
      <c r="BH48" s="207" t="s">
        <v>144</v>
      </c>
      <c r="BI48" s="207" t="s">
        <v>1474</v>
      </c>
      <c r="BJ48" s="207"/>
      <c r="BK48" s="206">
        <v>42383</v>
      </c>
      <c r="BL48" s="206">
        <v>42471</v>
      </c>
      <c r="BM48" s="206"/>
      <c r="BN48" s="206"/>
      <c r="BO48" s="211"/>
      <c r="BP48" s="207"/>
      <c r="BQ48" s="207"/>
      <c r="BR48" s="206"/>
      <c r="BS48" s="206"/>
      <c r="BT48" s="212"/>
      <c r="BU48" s="212"/>
      <c r="BV48" s="206"/>
      <c r="BW48" s="212"/>
      <c r="BX48" s="206"/>
      <c r="BY48" s="212"/>
      <c r="BZ48" s="206"/>
      <c r="CA48" s="206" t="s">
        <v>1475</v>
      </c>
      <c r="CB48" s="213" t="s">
        <v>1317</v>
      </c>
      <c r="CC48" s="212">
        <v>705486000</v>
      </c>
      <c r="CD48" s="212">
        <v>202860000</v>
      </c>
      <c r="CE48" s="212"/>
      <c r="CF48" s="212"/>
      <c r="CG48" s="212">
        <v>908346000</v>
      </c>
      <c r="CH48" s="200"/>
      <c r="CI48" s="212"/>
      <c r="CJ48" s="255" t="s">
        <v>1476</v>
      </c>
    </row>
    <row r="49" spans="1:88" s="503" customFormat="1" ht="14.1" hidden="1" customHeight="1">
      <c r="A49" s="483" t="s">
        <v>3426</v>
      </c>
      <c r="B49" s="478" t="s">
        <v>3227</v>
      </c>
      <c r="C49" s="521" t="s">
        <v>3183</v>
      </c>
      <c r="D49" s="521" t="s">
        <v>3183</v>
      </c>
      <c r="E49" s="500"/>
      <c r="F49" s="251" t="s">
        <v>3446</v>
      </c>
      <c r="G49" s="501"/>
      <c r="H49" s="502"/>
      <c r="J49" s="199">
        <v>37</v>
      </c>
      <c r="K49" s="200"/>
      <c r="L49" s="200" t="s">
        <v>455</v>
      </c>
      <c r="M49" s="201" t="s">
        <v>655</v>
      </c>
      <c r="N49" s="536" t="s">
        <v>3470</v>
      </c>
      <c r="O49" s="202">
        <v>2</v>
      </c>
      <c r="P49" s="201" t="s">
        <v>93</v>
      </c>
      <c r="Q49" s="201" t="s">
        <v>174</v>
      </c>
      <c r="R49" s="201" t="s">
        <v>1477</v>
      </c>
      <c r="S49" s="201" t="s">
        <v>1478</v>
      </c>
      <c r="T49" s="201" t="s">
        <v>220</v>
      </c>
      <c r="U49" s="203">
        <v>53.25</v>
      </c>
      <c r="V49" s="203">
        <v>74.540000000000006</v>
      </c>
      <c r="W49" s="204"/>
      <c r="X49" s="205"/>
      <c r="Y49" s="203"/>
      <c r="Z49" s="206">
        <v>41806</v>
      </c>
      <c r="AA49" s="206" t="s">
        <v>79</v>
      </c>
      <c r="AB49" s="207">
        <v>2</v>
      </c>
      <c r="AC49" s="208" t="s">
        <v>80</v>
      </c>
      <c r="AD49" s="209">
        <v>960000000</v>
      </c>
      <c r="AE49" s="209">
        <v>960000000</v>
      </c>
      <c r="AF49" s="207">
        <v>1</v>
      </c>
      <c r="AG49" s="207">
        <v>2</v>
      </c>
      <c r="AH49" s="209">
        <v>960000000</v>
      </c>
      <c r="AI49" s="207"/>
      <c r="AJ49" s="208"/>
      <c r="AK49" s="209"/>
      <c r="AL49" s="209"/>
      <c r="AM49" s="206"/>
      <c r="AN49" s="207">
        <v>1</v>
      </c>
      <c r="AO49" s="208" t="s">
        <v>80</v>
      </c>
      <c r="AP49" s="209">
        <v>36000000</v>
      </c>
      <c r="AQ49" s="209">
        <v>36000000</v>
      </c>
      <c r="AR49" s="207"/>
      <c r="AS49" s="207"/>
      <c r="AT49" s="209"/>
      <c r="AU49" s="209"/>
      <c r="AV49" s="209"/>
      <c r="AW49" s="466" t="s">
        <v>1313</v>
      </c>
      <c r="AX49" s="466" t="s">
        <v>1313</v>
      </c>
      <c r="AY49" s="466" t="s">
        <v>1313</v>
      </c>
      <c r="AZ49" s="466" t="s">
        <v>1313</v>
      </c>
      <c r="BA49" s="466" t="s">
        <v>1313</v>
      </c>
      <c r="BB49" s="466" t="s">
        <v>1313</v>
      </c>
      <c r="BC49" s="207" t="s">
        <v>82</v>
      </c>
      <c r="BD49" s="210"/>
      <c r="BE49" s="210"/>
      <c r="BF49" s="207"/>
      <c r="BG49" s="207"/>
      <c r="BH49" s="207"/>
      <c r="BI49" s="207"/>
      <c r="BJ49" s="207"/>
      <c r="BK49" s="206"/>
      <c r="BL49" s="206"/>
      <c r="BM49" s="206"/>
      <c r="BN49" s="206"/>
      <c r="BO49" s="211"/>
      <c r="BP49" s="207"/>
      <c r="BQ49" s="207"/>
      <c r="BR49" s="206"/>
      <c r="BS49" s="206"/>
      <c r="BT49" s="212"/>
      <c r="BU49" s="212"/>
      <c r="BV49" s="206"/>
      <c r="BW49" s="212"/>
      <c r="BX49" s="206"/>
      <c r="BY49" s="212"/>
      <c r="BZ49" s="206"/>
      <c r="CA49" s="206">
        <v>42437</v>
      </c>
      <c r="CB49" s="213" t="s">
        <v>1321</v>
      </c>
      <c r="CC49" s="212"/>
      <c r="CD49" s="212">
        <v>125000000</v>
      </c>
      <c r="CE49" s="212"/>
      <c r="CF49" s="212"/>
      <c r="CG49" s="212">
        <v>125000000</v>
      </c>
      <c r="CH49" s="200"/>
      <c r="CI49" s="212"/>
      <c r="CJ49" s="255" t="s">
        <v>1479</v>
      </c>
    </row>
    <row r="50" spans="1:88" s="503" customFormat="1" ht="14.1" hidden="1" customHeight="1">
      <c r="A50" s="483" t="s">
        <v>3424</v>
      </c>
      <c r="B50" s="478" t="s">
        <v>3228</v>
      </c>
      <c r="C50" s="521" t="s">
        <v>3181</v>
      </c>
      <c r="D50" s="521" t="s">
        <v>3181</v>
      </c>
      <c r="E50" s="500">
        <v>741000000</v>
      </c>
      <c r="F50" s="251" t="s">
        <v>3187</v>
      </c>
      <c r="G50" s="501"/>
      <c r="H50" s="502"/>
      <c r="J50" s="199">
        <v>38</v>
      </c>
      <c r="K50" s="200"/>
      <c r="L50" s="200" t="s">
        <v>456</v>
      </c>
      <c r="M50" s="201" t="s">
        <v>214</v>
      </c>
      <c r="N50" s="536" t="s">
        <v>3471</v>
      </c>
      <c r="O50" s="202">
        <v>1</v>
      </c>
      <c r="P50" s="201" t="s">
        <v>83</v>
      </c>
      <c r="Q50" s="201" t="s">
        <v>227</v>
      </c>
      <c r="R50" s="201" t="s">
        <v>228</v>
      </c>
      <c r="S50" s="201" t="s">
        <v>1480</v>
      </c>
      <c r="T50" s="201" t="s">
        <v>122</v>
      </c>
      <c r="U50" s="203">
        <v>80.497</v>
      </c>
      <c r="V50" s="203">
        <v>278.64</v>
      </c>
      <c r="W50" s="204"/>
      <c r="X50" s="205"/>
      <c r="Y50" s="203"/>
      <c r="Z50" s="206">
        <v>38029</v>
      </c>
      <c r="AA50" s="206" t="s">
        <v>79</v>
      </c>
      <c r="AB50" s="207">
        <v>1</v>
      </c>
      <c r="AC50" s="208" t="s">
        <v>80</v>
      </c>
      <c r="AD50" s="209">
        <v>966000000</v>
      </c>
      <c r="AE50" s="209">
        <v>966000000</v>
      </c>
      <c r="AF50" s="207"/>
      <c r="AG50" s="207"/>
      <c r="AH50" s="209"/>
      <c r="AI50" s="207"/>
      <c r="AJ50" s="208"/>
      <c r="AK50" s="209"/>
      <c r="AL50" s="209"/>
      <c r="AM50" s="206"/>
      <c r="AN50" s="207"/>
      <c r="AO50" s="208"/>
      <c r="AP50" s="209"/>
      <c r="AQ50" s="209"/>
      <c r="AR50" s="207"/>
      <c r="AS50" s="207"/>
      <c r="AT50" s="209"/>
      <c r="AU50" s="209"/>
      <c r="AV50" s="209"/>
      <c r="AW50" s="466" t="s">
        <v>1313</v>
      </c>
      <c r="AX50" s="466" t="s">
        <v>1313</v>
      </c>
      <c r="AY50" s="466" t="s">
        <v>1313</v>
      </c>
      <c r="AZ50" s="466" t="s">
        <v>1313</v>
      </c>
      <c r="BA50" s="466" t="s">
        <v>1313</v>
      </c>
      <c r="BB50" s="466" t="s">
        <v>1313</v>
      </c>
      <c r="BC50" s="207" t="s">
        <v>82</v>
      </c>
      <c r="BD50" s="210"/>
      <c r="BE50" s="210"/>
      <c r="BF50" s="207"/>
      <c r="BG50" s="207"/>
      <c r="BH50" s="207"/>
      <c r="BI50" s="207"/>
      <c r="BJ50" s="207"/>
      <c r="BK50" s="206"/>
      <c r="BL50" s="206"/>
      <c r="BM50" s="206"/>
      <c r="BN50" s="206"/>
      <c r="BO50" s="211"/>
      <c r="BP50" s="207"/>
      <c r="BQ50" s="207"/>
      <c r="BR50" s="206"/>
      <c r="BS50" s="206"/>
      <c r="BT50" s="212"/>
      <c r="BU50" s="212"/>
      <c r="BV50" s="206"/>
      <c r="BW50" s="212"/>
      <c r="BX50" s="206"/>
      <c r="BY50" s="212"/>
      <c r="BZ50" s="206"/>
      <c r="CA50" s="206">
        <v>40877</v>
      </c>
      <c r="CB50" s="213" t="s">
        <v>1481</v>
      </c>
      <c r="CC50" s="212"/>
      <c r="CD50" s="212">
        <v>1263000000</v>
      </c>
      <c r="CE50" s="212"/>
      <c r="CF50" s="212"/>
      <c r="CG50" s="212">
        <v>1263000000</v>
      </c>
      <c r="CH50" s="200"/>
      <c r="CI50" s="212"/>
      <c r="CJ50" s="255" t="s">
        <v>1482</v>
      </c>
    </row>
    <row r="51" spans="1:88" s="503" customFormat="1" ht="14.1" hidden="1" customHeight="1">
      <c r="A51" s="483" t="s">
        <v>3424</v>
      </c>
      <c r="B51" s="478" t="s">
        <v>3229</v>
      </c>
      <c r="C51" s="521" t="s">
        <v>3181</v>
      </c>
      <c r="D51" s="521" t="s">
        <v>3181</v>
      </c>
      <c r="E51" s="500">
        <v>699000000</v>
      </c>
      <c r="F51" s="251" t="s">
        <v>3189</v>
      </c>
      <c r="G51" s="501"/>
      <c r="H51" s="502"/>
      <c r="J51" s="199">
        <v>39</v>
      </c>
      <c r="K51" s="200"/>
      <c r="L51" s="200" t="s">
        <v>457</v>
      </c>
      <c r="M51" s="201" t="s">
        <v>656</v>
      </c>
      <c r="N51" s="536" t="s">
        <v>3472</v>
      </c>
      <c r="O51" s="202">
        <v>1</v>
      </c>
      <c r="P51" s="201" t="s">
        <v>103</v>
      </c>
      <c r="Q51" s="201" t="s">
        <v>193</v>
      </c>
      <c r="R51" s="201" t="s">
        <v>1483</v>
      </c>
      <c r="S51" s="201" t="s">
        <v>1484</v>
      </c>
      <c r="T51" s="201" t="s">
        <v>122</v>
      </c>
      <c r="U51" s="203">
        <v>108.965</v>
      </c>
      <c r="V51" s="203">
        <v>300.47000000000003</v>
      </c>
      <c r="W51" s="204"/>
      <c r="X51" s="205"/>
      <c r="Y51" s="203"/>
      <c r="Z51" s="206">
        <v>40459</v>
      </c>
      <c r="AA51" s="206" t="s">
        <v>79</v>
      </c>
      <c r="AB51" s="207">
        <v>1</v>
      </c>
      <c r="AC51" s="208" t="s">
        <v>80</v>
      </c>
      <c r="AD51" s="209">
        <v>1181700000</v>
      </c>
      <c r="AE51" s="209">
        <v>1181700000</v>
      </c>
      <c r="AF51" s="207"/>
      <c r="AG51" s="207"/>
      <c r="AH51" s="209"/>
      <c r="AI51" s="207"/>
      <c r="AJ51" s="208"/>
      <c r="AK51" s="209"/>
      <c r="AL51" s="209"/>
      <c r="AM51" s="206"/>
      <c r="AN51" s="207"/>
      <c r="AO51" s="208"/>
      <c r="AP51" s="209"/>
      <c r="AQ51" s="209"/>
      <c r="AR51" s="207"/>
      <c r="AS51" s="207"/>
      <c r="AT51" s="209"/>
      <c r="AU51" s="209"/>
      <c r="AV51" s="209"/>
      <c r="AW51" s="466" t="s">
        <v>1313</v>
      </c>
      <c r="AX51" s="466" t="s">
        <v>1313</v>
      </c>
      <c r="AY51" s="466" t="s">
        <v>1313</v>
      </c>
      <c r="AZ51" s="466" t="s">
        <v>1313</v>
      </c>
      <c r="BA51" s="466" t="s">
        <v>1313</v>
      </c>
      <c r="BB51" s="466" t="s">
        <v>1313</v>
      </c>
      <c r="BC51" s="207" t="s">
        <v>82</v>
      </c>
      <c r="BD51" s="210"/>
      <c r="BE51" s="210"/>
      <c r="BF51" s="207"/>
      <c r="BG51" s="207"/>
      <c r="BH51" s="207"/>
      <c r="BI51" s="207"/>
      <c r="BJ51" s="207"/>
      <c r="BK51" s="206"/>
      <c r="BL51" s="206"/>
      <c r="BM51" s="206"/>
      <c r="BN51" s="206"/>
      <c r="BO51" s="211"/>
      <c r="BP51" s="207"/>
      <c r="BQ51" s="207"/>
      <c r="BR51" s="206"/>
      <c r="BS51" s="206"/>
      <c r="BT51" s="212"/>
      <c r="BU51" s="212"/>
      <c r="BV51" s="206"/>
      <c r="BW51" s="212"/>
      <c r="BX51" s="206"/>
      <c r="BY51" s="212"/>
      <c r="BZ51" s="206"/>
      <c r="CA51" s="206">
        <v>42293</v>
      </c>
      <c r="CB51" s="213" t="s">
        <v>1321</v>
      </c>
      <c r="CC51" s="212"/>
      <c r="CD51" s="212">
        <v>1200000000</v>
      </c>
      <c r="CE51" s="212"/>
      <c r="CF51" s="212"/>
      <c r="CG51" s="212">
        <v>1200000000</v>
      </c>
      <c r="CH51" s="200"/>
      <c r="CI51" s="212"/>
      <c r="CJ51" s="255" t="s">
        <v>1485</v>
      </c>
    </row>
    <row r="52" spans="1:88" s="503" customFormat="1" ht="14.1" hidden="1" customHeight="1">
      <c r="A52" s="483" t="s">
        <v>3424</v>
      </c>
      <c r="B52" s="478" t="s">
        <v>3230</v>
      </c>
      <c r="C52" s="251" t="s">
        <v>3423</v>
      </c>
      <c r="D52" s="251" t="s">
        <v>3423</v>
      </c>
      <c r="E52" s="500">
        <v>646000000</v>
      </c>
      <c r="F52" s="251" t="s">
        <v>3189</v>
      </c>
      <c r="G52" s="501"/>
      <c r="H52" s="502"/>
      <c r="J52" s="199">
        <v>40</v>
      </c>
      <c r="K52" s="200"/>
      <c r="L52" s="200" t="s">
        <v>458</v>
      </c>
      <c r="M52" s="201" t="s">
        <v>657</v>
      </c>
      <c r="N52" s="536"/>
      <c r="O52" s="202">
        <v>1</v>
      </c>
      <c r="P52" s="201" t="s">
        <v>93</v>
      </c>
      <c r="Q52" s="201" t="s">
        <v>162</v>
      </c>
      <c r="R52" s="201" t="s">
        <v>182</v>
      </c>
      <c r="S52" s="201" t="s">
        <v>1486</v>
      </c>
      <c r="T52" s="201" t="s">
        <v>106</v>
      </c>
      <c r="U52" s="203">
        <v>79.981999999999999</v>
      </c>
      <c r="V52" s="203">
        <v>134.87</v>
      </c>
      <c r="W52" s="204"/>
      <c r="X52" s="205"/>
      <c r="Y52" s="203"/>
      <c r="Z52" s="206">
        <v>38873</v>
      </c>
      <c r="AA52" s="206" t="s">
        <v>79</v>
      </c>
      <c r="AB52" s="207" t="s">
        <v>98</v>
      </c>
      <c r="AC52" s="208" t="s">
        <v>80</v>
      </c>
      <c r="AD52" s="209">
        <v>777600000</v>
      </c>
      <c r="AE52" s="209">
        <v>777600000</v>
      </c>
      <c r="AF52" s="207"/>
      <c r="AG52" s="207"/>
      <c r="AH52" s="209"/>
      <c r="AI52" s="207"/>
      <c r="AJ52" s="208"/>
      <c r="AK52" s="209"/>
      <c r="AL52" s="209"/>
      <c r="AM52" s="206"/>
      <c r="AN52" s="207"/>
      <c r="AO52" s="208"/>
      <c r="AP52" s="209"/>
      <c r="AQ52" s="209"/>
      <c r="AR52" s="207"/>
      <c r="AS52" s="207"/>
      <c r="AT52" s="209"/>
      <c r="AU52" s="209"/>
      <c r="AV52" s="209"/>
      <c r="AW52" s="466" t="s">
        <v>1313</v>
      </c>
      <c r="AX52" s="466" t="s">
        <v>1313</v>
      </c>
      <c r="AY52" s="466" t="s">
        <v>1313</v>
      </c>
      <c r="AZ52" s="466" t="s">
        <v>1313</v>
      </c>
      <c r="BA52" s="466" t="s">
        <v>1313</v>
      </c>
      <c r="BB52" s="466" t="s">
        <v>1313</v>
      </c>
      <c r="BC52" s="207" t="s">
        <v>82</v>
      </c>
      <c r="BD52" s="210"/>
      <c r="BE52" s="210"/>
      <c r="BF52" s="207"/>
      <c r="BG52" s="207"/>
      <c r="BH52" s="207"/>
      <c r="BI52" s="207"/>
      <c r="BJ52" s="207"/>
      <c r="BK52" s="206"/>
      <c r="BL52" s="206"/>
      <c r="BM52" s="206"/>
      <c r="BN52" s="206"/>
      <c r="BO52" s="211"/>
      <c r="BP52" s="207"/>
      <c r="BQ52" s="207"/>
      <c r="BR52" s="206"/>
      <c r="BS52" s="206"/>
      <c r="BT52" s="212"/>
      <c r="BU52" s="212"/>
      <c r="BV52" s="206"/>
      <c r="BW52" s="212"/>
      <c r="BX52" s="206"/>
      <c r="BY52" s="212"/>
      <c r="BZ52" s="206"/>
      <c r="CA52" s="206">
        <v>42482</v>
      </c>
      <c r="CB52" s="213" t="s">
        <v>134</v>
      </c>
      <c r="CC52" s="212"/>
      <c r="CD52" s="212">
        <v>462500000</v>
      </c>
      <c r="CE52" s="212"/>
      <c r="CF52" s="212"/>
      <c r="CG52" s="212">
        <v>462500000</v>
      </c>
      <c r="CH52" s="200"/>
      <c r="CI52" s="212"/>
      <c r="CJ52" s="255" t="s">
        <v>416</v>
      </c>
    </row>
    <row r="53" spans="1:88" s="503" customFormat="1" ht="14.1" hidden="1" customHeight="1">
      <c r="A53" s="483" t="s">
        <v>3424</v>
      </c>
      <c r="B53" s="478" t="s">
        <v>3231</v>
      </c>
      <c r="C53" s="251" t="s">
        <v>3423</v>
      </c>
      <c r="D53" s="251" t="s">
        <v>3423</v>
      </c>
      <c r="E53" s="500">
        <v>610643973</v>
      </c>
      <c r="F53" s="251" t="s">
        <v>3186</v>
      </c>
      <c r="G53" s="501"/>
      <c r="H53" s="502"/>
      <c r="J53" s="199">
        <v>41</v>
      </c>
      <c r="K53" s="200"/>
      <c r="L53" s="200" t="s">
        <v>459</v>
      </c>
      <c r="M53" s="201" t="s">
        <v>239</v>
      </c>
      <c r="N53" s="536"/>
      <c r="O53" s="202">
        <v>1</v>
      </c>
      <c r="P53" s="201" t="s">
        <v>93</v>
      </c>
      <c r="Q53" s="201" t="s">
        <v>149</v>
      </c>
      <c r="R53" s="201" t="s">
        <v>150</v>
      </c>
      <c r="S53" s="201" t="s">
        <v>1487</v>
      </c>
      <c r="T53" s="201" t="s">
        <v>106</v>
      </c>
      <c r="U53" s="203">
        <v>82.661299999999997</v>
      </c>
      <c r="V53" s="203">
        <v>130.761</v>
      </c>
      <c r="W53" s="204"/>
      <c r="X53" s="205"/>
      <c r="Y53" s="203"/>
      <c r="Z53" s="206">
        <v>40521</v>
      </c>
      <c r="AA53" s="206" t="s">
        <v>79</v>
      </c>
      <c r="AB53" s="207" t="s">
        <v>91</v>
      </c>
      <c r="AC53" s="208" t="s">
        <v>80</v>
      </c>
      <c r="AD53" s="209">
        <v>792000000</v>
      </c>
      <c r="AE53" s="209">
        <v>792000000</v>
      </c>
      <c r="AF53" s="207"/>
      <c r="AG53" s="207"/>
      <c r="AH53" s="209"/>
      <c r="AI53" s="207">
        <v>3</v>
      </c>
      <c r="AJ53" s="208" t="s">
        <v>80</v>
      </c>
      <c r="AK53" s="209">
        <v>55000000</v>
      </c>
      <c r="AL53" s="209">
        <v>55000000</v>
      </c>
      <c r="AM53" s="206">
        <v>42461</v>
      </c>
      <c r="AN53" s="207"/>
      <c r="AO53" s="208"/>
      <c r="AP53" s="209"/>
      <c r="AQ53" s="209"/>
      <c r="AR53" s="207"/>
      <c r="AS53" s="207"/>
      <c r="AT53" s="209"/>
      <c r="AU53" s="209"/>
      <c r="AV53" s="209"/>
      <c r="AW53" s="466" t="s">
        <v>1313</v>
      </c>
      <c r="AX53" s="466" t="s">
        <v>1313</v>
      </c>
      <c r="AY53" s="466" t="s">
        <v>1313</v>
      </c>
      <c r="AZ53" s="466" t="s">
        <v>1313</v>
      </c>
      <c r="BA53" s="466" t="s">
        <v>1313</v>
      </c>
      <c r="BB53" s="466" t="s">
        <v>1313</v>
      </c>
      <c r="BC53" s="207" t="s">
        <v>1320</v>
      </c>
      <c r="BD53" s="210">
        <v>614929794</v>
      </c>
      <c r="BE53" s="210"/>
      <c r="BF53" s="207" t="s">
        <v>101</v>
      </c>
      <c r="BG53" s="207"/>
      <c r="BH53" s="207" t="s">
        <v>99</v>
      </c>
      <c r="BI53" s="207" t="s">
        <v>1488</v>
      </c>
      <c r="BJ53" s="207"/>
      <c r="BK53" s="206">
        <v>42480</v>
      </c>
      <c r="BL53" s="206">
        <v>42556</v>
      </c>
      <c r="BM53" s="206"/>
      <c r="BN53" s="206"/>
      <c r="BO53" s="211"/>
      <c r="BP53" s="207"/>
      <c r="BQ53" s="207"/>
      <c r="BR53" s="206"/>
      <c r="BS53" s="206"/>
      <c r="BT53" s="212"/>
      <c r="BU53" s="212"/>
      <c r="BV53" s="206"/>
      <c r="BW53" s="212"/>
      <c r="BX53" s="206"/>
      <c r="BY53" s="212"/>
      <c r="BZ53" s="206"/>
      <c r="CA53" s="206">
        <v>42482</v>
      </c>
      <c r="CB53" s="213" t="s">
        <v>134</v>
      </c>
      <c r="CC53" s="212"/>
      <c r="CD53" s="212">
        <v>670000000</v>
      </c>
      <c r="CE53" s="212"/>
      <c r="CF53" s="212"/>
      <c r="CG53" s="212">
        <v>670000000</v>
      </c>
      <c r="CH53" s="200"/>
      <c r="CI53" s="212"/>
      <c r="CJ53" s="255" t="s">
        <v>1489</v>
      </c>
    </row>
    <row r="54" spans="1:88" s="503" customFormat="1" ht="14.1" hidden="1" customHeight="1">
      <c r="A54" s="483" t="s">
        <v>3424</v>
      </c>
      <c r="B54" s="478" t="s">
        <v>3232</v>
      </c>
      <c r="C54" s="251" t="s">
        <v>3434</v>
      </c>
      <c r="D54" s="521" t="s">
        <v>3434</v>
      </c>
      <c r="E54" s="500">
        <v>602147470</v>
      </c>
      <c r="F54" s="544" t="s">
        <v>3438</v>
      </c>
      <c r="G54" s="501"/>
      <c r="H54" s="502"/>
      <c r="J54" s="199">
        <v>42</v>
      </c>
      <c r="K54" s="200"/>
      <c r="L54" s="200" t="s">
        <v>460</v>
      </c>
      <c r="M54" s="201" t="s">
        <v>92</v>
      </c>
      <c r="N54" s="536" t="s">
        <v>3473</v>
      </c>
      <c r="O54" s="202">
        <v>1</v>
      </c>
      <c r="P54" s="201" t="s">
        <v>93</v>
      </c>
      <c r="Q54" s="201" t="s">
        <v>95</v>
      </c>
      <c r="R54" s="201" t="s">
        <v>1490</v>
      </c>
      <c r="S54" s="201" t="s">
        <v>1491</v>
      </c>
      <c r="T54" s="201" t="s">
        <v>417</v>
      </c>
      <c r="U54" s="203">
        <v>991</v>
      </c>
      <c r="V54" s="203">
        <v>554.65</v>
      </c>
      <c r="W54" s="204"/>
      <c r="X54" s="205"/>
      <c r="Y54" s="203"/>
      <c r="Z54" s="206">
        <v>38791</v>
      </c>
      <c r="AA54" s="206" t="s">
        <v>1315</v>
      </c>
      <c r="AB54" s="207" t="s">
        <v>88</v>
      </c>
      <c r="AC54" s="208" t="s">
        <v>80</v>
      </c>
      <c r="AD54" s="209">
        <v>585000000</v>
      </c>
      <c r="AE54" s="209">
        <v>585000000</v>
      </c>
      <c r="AF54" s="207"/>
      <c r="AG54" s="207"/>
      <c r="AH54" s="209"/>
      <c r="AI54" s="207"/>
      <c r="AJ54" s="208"/>
      <c r="AK54" s="209"/>
      <c r="AL54" s="209"/>
      <c r="AM54" s="206"/>
      <c r="AN54" s="207">
        <v>3</v>
      </c>
      <c r="AO54" s="208" t="s">
        <v>80</v>
      </c>
      <c r="AP54" s="209">
        <v>90000000</v>
      </c>
      <c r="AQ54" s="209">
        <v>90000000</v>
      </c>
      <c r="AR54" s="207"/>
      <c r="AS54" s="207"/>
      <c r="AT54" s="209"/>
      <c r="AU54" s="209"/>
      <c r="AV54" s="209"/>
      <c r="AW54" s="466" t="s">
        <v>1313</v>
      </c>
      <c r="AX54" s="466" t="s">
        <v>1313</v>
      </c>
      <c r="AY54" s="466" t="s">
        <v>1313</v>
      </c>
      <c r="AZ54" s="466" t="s">
        <v>1313</v>
      </c>
      <c r="BA54" s="466" t="s">
        <v>1313</v>
      </c>
      <c r="BB54" s="466" t="s">
        <v>1313</v>
      </c>
      <c r="BC54" s="207" t="s">
        <v>1320</v>
      </c>
      <c r="BD54" s="210">
        <v>585000000</v>
      </c>
      <c r="BE54" s="210">
        <v>118037820</v>
      </c>
      <c r="BF54" s="207" t="s">
        <v>1492</v>
      </c>
      <c r="BG54" s="207" t="s">
        <v>101</v>
      </c>
      <c r="BH54" s="207" t="s">
        <v>99</v>
      </c>
      <c r="BI54" s="207" t="s">
        <v>1493</v>
      </c>
      <c r="BJ54" s="207" t="s">
        <v>1494</v>
      </c>
      <c r="BK54" s="206">
        <v>42451</v>
      </c>
      <c r="BL54" s="206">
        <v>42528</v>
      </c>
      <c r="BM54" s="206">
        <v>42478</v>
      </c>
      <c r="BN54" s="206"/>
      <c r="BO54" s="211"/>
      <c r="BP54" s="207"/>
      <c r="BQ54" s="207"/>
      <c r="BR54" s="206"/>
      <c r="BS54" s="206"/>
      <c r="BT54" s="212"/>
      <c r="BU54" s="212"/>
      <c r="BV54" s="206"/>
      <c r="BW54" s="212"/>
      <c r="BX54" s="206"/>
      <c r="BY54" s="212"/>
      <c r="BZ54" s="206"/>
      <c r="CA54" s="206">
        <v>42208</v>
      </c>
      <c r="CB54" s="213" t="s">
        <v>1495</v>
      </c>
      <c r="CC54" s="212">
        <v>429000000</v>
      </c>
      <c r="CD54" s="212">
        <v>285000000</v>
      </c>
      <c r="CE54" s="212"/>
      <c r="CF54" s="212"/>
      <c r="CG54" s="212">
        <v>714000000</v>
      </c>
      <c r="CH54" s="200"/>
      <c r="CI54" s="212"/>
      <c r="CJ54" s="255" t="s">
        <v>1496</v>
      </c>
    </row>
    <row r="55" spans="1:88" s="503" customFormat="1" ht="14.1" hidden="1" customHeight="1">
      <c r="A55" s="483" t="s">
        <v>3425</v>
      </c>
      <c r="B55" s="478" t="s">
        <v>3233</v>
      </c>
      <c r="C55" s="521" t="s">
        <v>3434</v>
      </c>
      <c r="D55" s="521" t="s">
        <v>3434</v>
      </c>
      <c r="E55" s="500">
        <v>588696047</v>
      </c>
      <c r="F55" s="251" t="s">
        <v>3186</v>
      </c>
      <c r="G55" s="501"/>
      <c r="H55" s="502"/>
      <c r="J55" s="199">
        <v>43</v>
      </c>
      <c r="K55" s="200"/>
      <c r="L55" s="200" t="s">
        <v>461</v>
      </c>
      <c r="M55" s="201" t="s">
        <v>658</v>
      </c>
      <c r="N55" s="536" t="s">
        <v>3474</v>
      </c>
      <c r="O55" s="202">
        <v>1</v>
      </c>
      <c r="P55" s="201" t="s">
        <v>164</v>
      </c>
      <c r="Q55" s="201" t="s">
        <v>1497</v>
      </c>
      <c r="R55" s="201" t="s">
        <v>1498</v>
      </c>
      <c r="S55" s="201" t="s">
        <v>1499</v>
      </c>
      <c r="T55" s="201" t="s">
        <v>96</v>
      </c>
      <c r="U55" s="203">
        <v>5918</v>
      </c>
      <c r="V55" s="203">
        <v>2796.47</v>
      </c>
      <c r="W55" s="204">
        <v>19</v>
      </c>
      <c r="X55" s="205" t="s">
        <v>97</v>
      </c>
      <c r="Y55" s="203"/>
      <c r="Z55" s="206">
        <v>41885</v>
      </c>
      <c r="AA55" s="206" t="s">
        <v>79</v>
      </c>
      <c r="AB55" s="207" t="s">
        <v>89</v>
      </c>
      <c r="AC55" s="208" t="s">
        <v>80</v>
      </c>
      <c r="AD55" s="209">
        <v>870000000</v>
      </c>
      <c r="AE55" s="209">
        <v>870000000</v>
      </c>
      <c r="AF55" s="207"/>
      <c r="AG55" s="207"/>
      <c r="AH55" s="209"/>
      <c r="AI55" s="207"/>
      <c r="AJ55" s="208"/>
      <c r="AK55" s="209"/>
      <c r="AL55" s="209"/>
      <c r="AM55" s="206"/>
      <c r="AN55" s="207"/>
      <c r="AO55" s="208"/>
      <c r="AP55" s="209"/>
      <c r="AQ55" s="209"/>
      <c r="AR55" s="207"/>
      <c r="AS55" s="207"/>
      <c r="AT55" s="209"/>
      <c r="AU55" s="209"/>
      <c r="AV55" s="209"/>
      <c r="AW55" s="466" t="s">
        <v>1313</v>
      </c>
      <c r="AX55" s="466" t="s">
        <v>1313</v>
      </c>
      <c r="AY55" s="466" t="s">
        <v>1313</v>
      </c>
      <c r="AZ55" s="466" t="s">
        <v>1313</v>
      </c>
      <c r="BA55" s="466" t="s">
        <v>1313</v>
      </c>
      <c r="BB55" s="466" t="s">
        <v>1313</v>
      </c>
      <c r="BC55" s="207" t="s">
        <v>82</v>
      </c>
      <c r="BD55" s="210"/>
      <c r="BE55" s="210"/>
      <c r="BF55" s="207"/>
      <c r="BG55" s="207"/>
      <c r="BH55" s="207"/>
      <c r="BI55" s="207"/>
      <c r="BJ55" s="207"/>
      <c r="BK55" s="206"/>
      <c r="BL55" s="206"/>
      <c r="BM55" s="206"/>
      <c r="BN55" s="206"/>
      <c r="BO55" s="211"/>
      <c r="BP55" s="207"/>
      <c r="BQ55" s="207"/>
      <c r="BR55" s="206"/>
      <c r="BS55" s="206"/>
      <c r="BT55" s="212"/>
      <c r="BU55" s="212"/>
      <c r="BV55" s="206"/>
      <c r="BW55" s="212"/>
      <c r="BX55" s="206"/>
      <c r="BY55" s="212"/>
      <c r="BZ55" s="206"/>
      <c r="CA55" s="206">
        <v>41884</v>
      </c>
      <c r="CB55" s="213" t="s">
        <v>1500</v>
      </c>
      <c r="CC55" s="212">
        <v>284064000</v>
      </c>
      <c r="CD55" s="212">
        <v>540872070</v>
      </c>
      <c r="CE55" s="212"/>
      <c r="CF55" s="212"/>
      <c r="CG55" s="212">
        <v>824936070</v>
      </c>
      <c r="CH55" s="200"/>
      <c r="CI55" s="212"/>
      <c r="CJ55" s="255" t="s">
        <v>1501</v>
      </c>
    </row>
    <row r="56" spans="1:88" s="503" customFormat="1" ht="14.1" hidden="1" customHeight="1">
      <c r="A56" s="483" t="s">
        <v>3426</v>
      </c>
      <c r="B56" s="478" t="s">
        <v>3234</v>
      </c>
      <c r="C56" s="251" t="s">
        <v>3435</v>
      </c>
      <c r="D56" s="521" t="s">
        <v>3435</v>
      </c>
      <c r="E56" s="500"/>
      <c r="F56" s="251" t="s">
        <v>3186</v>
      </c>
      <c r="G56" s="501"/>
      <c r="H56" s="502"/>
      <c r="J56" s="199">
        <v>44</v>
      </c>
      <c r="K56" s="200"/>
      <c r="L56" s="200" t="s">
        <v>461</v>
      </c>
      <c r="M56" s="201" t="s">
        <v>658</v>
      </c>
      <c r="N56" s="536" t="s">
        <v>3474</v>
      </c>
      <c r="O56" s="202">
        <v>2</v>
      </c>
      <c r="P56" s="201" t="s">
        <v>164</v>
      </c>
      <c r="Q56" s="201" t="s">
        <v>1502</v>
      </c>
      <c r="R56" s="201" t="s">
        <v>1503</v>
      </c>
      <c r="S56" s="201" t="s">
        <v>1504</v>
      </c>
      <c r="T56" s="201" t="s">
        <v>1505</v>
      </c>
      <c r="U56" s="203">
        <v>1652</v>
      </c>
      <c r="V56" s="203">
        <v>0</v>
      </c>
      <c r="W56" s="204"/>
      <c r="X56" s="205"/>
      <c r="Y56" s="203"/>
      <c r="Z56" s="206">
        <v>42051</v>
      </c>
      <c r="AA56" s="206" t="s">
        <v>79</v>
      </c>
      <c r="AB56" s="207">
        <v>2</v>
      </c>
      <c r="AC56" s="208" t="s">
        <v>80</v>
      </c>
      <c r="AD56" s="209">
        <v>120000000</v>
      </c>
      <c r="AE56" s="209">
        <v>120000000</v>
      </c>
      <c r="AF56" s="207"/>
      <c r="AG56" s="207"/>
      <c r="AH56" s="209"/>
      <c r="AI56" s="207"/>
      <c r="AJ56" s="208"/>
      <c r="AK56" s="209"/>
      <c r="AL56" s="209"/>
      <c r="AM56" s="206"/>
      <c r="AN56" s="207">
        <v>1</v>
      </c>
      <c r="AO56" s="208" t="s">
        <v>80</v>
      </c>
      <c r="AP56" s="209">
        <v>130000000</v>
      </c>
      <c r="AQ56" s="209">
        <v>130000000</v>
      </c>
      <c r="AR56" s="207"/>
      <c r="AS56" s="207"/>
      <c r="AT56" s="209"/>
      <c r="AU56" s="209"/>
      <c r="AV56" s="209"/>
      <c r="AW56" s="466" t="s">
        <v>1313</v>
      </c>
      <c r="AX56" s="466" t="s">
        <v>1313</v>
      </c>
      <c r="AY56" s="466" t="s">
        <v>1313</v>
      </c>
      <c r="AZ56" s="466" t="s">
        <v>1313</v>
      </c>
      <c r="BA56" s="466" t="s">
        <v>1313</v>
      </c>
      <c r="BB56" s="466" t="s">
        <v>1313</v>
      </c>
      <c r="BC56" s="207" t="s">
        <v>82</v>
      </c>
      <c r="BD56" s="210"/>
      <c r="BE56" s="210"/>
      <c r="BF56" s="207"/>
      <c r="BG56" s="207"/>
      <c r="BH56" s="207"/>
      <c r="BI56" s="207"/>
      <c r="BJ56" s="207"/>
      <c r="BK56" s="206"/>
      <c r="BL56" s="206"/>
      <c r="BM56" s="206"/>
      <c r="BN56" s="206"/>
      <c r="BO56" s="211"/>
      <c r="BP56" s="207"/>
      <c r="BQ56" s="207"/>
      <c r="BR56" s="206"/>
      <c r="BS56" s="206"/>
      <c r="BT56" s="212"/>
      <c r="BU56" s="212"/>
      <c r="BV56" s="206"/>
      <c r="BW56" s="212"/>
      <c r="BX56" s="206"/>
      <c r="BY56" s="212"/>
      <c r="BZ56" s="206"/>
      <c r="CA56" s="206">
        <v>42051</v>
      </c>
      <c r="CB56" s="213" t="s">
        <v>1321</v>
      </c>
      <c r="CC56" s="212">
        <v>75000000</v>
      </c>
      <c r="CD56" s="212"/>
      <c r="CE56" s="212"/>
      <c r="CF56" s="212"/>
      <c r="CG56" s="212">
        <v>75000000</v>
      </c>
      <c r="CH56" s="200"/>
      <c r="CI56" s="212"/>
      <c r="CJ56" s="255" t="s">
        <v>1506</v>
      </c>
    </row>
    <row r="57" spans="1:88" s="503" customFormat="1" ht="14.1" hidden="1" customHeight="1">
      <c r="A57" s="483" t="s">
        <v>3425</v>
      </c>
      <c r="B57" s="478" t="s">
        <v>3235</v>
      </c>
      <c r="C57" s="521" t="s">
        <v>3435</v>
      </c>
      <c r="D57" s="521" t="s">
        <v>3435</v>
      </c>
      <c r="E57" s="500">
        <v>564945325</v>
      </c>
      <c r="F57" s="251" t="s">
        <v>3187</v>
      </c>
      <c r="G57" s="501"/>
      <c r="H57" s="502"/>
      <c r="J57" s="199">
        <v>45</v>
      </c>
      <c r="K57" s="200"/>
      <c r="L57" s="200" t="s">
        <v>462</v>
      </c>
      <c r="M57" s="201" t="s">
        <v>659</v>
      </c>
      <c r="N57" s="536"/>
      <c r="O57" s="202">
        <v>1</v>
      </c>
      <c r="P57" s="201" t="s">
        <v>83</v>
      </c>
      <c r="Q57" s="201" t="s">
        <v>227</v>
      </c>
      <c r="R57" s="201" t="s">
        <v>228</v>
      </c>
      <c r="S57" s="201" t="s">
        <v>1507</v>
      </c>
      <c r="T57" s="201" t="s">
        <v>122</v>
      </c>
      <c r="U57" s="203">
        <v>89.03</v>
      </c>
      <c r="V57" s="203">
        <v>444.23</v>
      </c>
      <c r="W57" s="204"/>
      <c r="X57" s="205"/>
      <c r="Y57" s="203"/>
      <c r="Z57" s="206">
        <v>41775</v>
      </c>
      <c r="AA57" s="206" t="s">
        <v>79</v>
      </c>
      <c r="AB57" s="207" t="s">
        <v>89</v>
      </c>
      <c r="AC57" s="208" t="s">
        <v>80</v>
      </c>
      <c r="AD57" s="209">
        <v>490800000</v>
      </c>
      <c r="AE57" s="209">
        <v>490800000</v>
      </c>
      <c r="AF57" s="207"/>
      <c r="AG57" s="207"/>
      <c r="AH57" s="209"/>
      <c r="AI57" s="207"/>
      <c r="AJ57" s="208"/>
      <c r="AK57" s="209"/>
      <c r="AL57" s="209"/>
      <c r="AM57" s="206"/>
      <c r="AN57" s="207"/>
      <c r="AO57" s="208"/>
      <c r="AP57" s="209"/>
      <c r="AQ57" s="209"/>
      <c r="AR57" s="207"/>
      <c r="AS57" s="207"/>
      <c r="AT57" s="209"/>
      <c r="AU57" s="209"/>
      <c r="AV57" s="209"/>
      <c r="AW57" s="466" t="s">
        <v>1313</v>
      </c>
      <c r="AX57" s="466" t="s">
        <v>1313</v>
      </c>
      <c r="AY57" s="466" t="s">
        <v>1313</v>
      </c>
      <c r="AZ57" s="466" t="s">
        <v>1313</v>
      </c>
      <c r="BA57" s="466" t="s">
        <v>1313</v>
      </c>
      <c r="BB57" s="466" t="s">
        <v>1313</v>
      </c>
      <c r="BC57" s="207" t="s">
        <v>1320</v>
      </c>
      <c r="BD57" s="210">
        <v>569090613</v>
      </c>
      <c r="BE57" s="210"/>
      <c r="BF57" s="207" t="s">
        <v>101</v>
      </c>
      <c r="BG57" s="207"/>
      <c r="BH57" s="207" t="s">
        <v>87</v>
      </c>
      <c r="BI57" s="207" t="s">
        <v>1508</v>
      </c>
      <c r="BJ57" s="207"/>
      <c r="BK57" s="206">
        <v>42412</v>
      </c>
      <c r="BL57" s="206">
        <v>42485</v>
      </c>
      <c r="BM57" s="206"/>
      <c r="BN57" s="206"/>
      <c r="BO57" s="211"/>
      <c r="BP57" s="207"/>
      <c r="BQ57" s="207"/>
      <c r="BR57" s="206"/>
      <c r="BS57" s="206"/>
      <c r="BT57" s="212"/>
      <c r="BU57" s="212"/>
      <c r="BV57" s="206"/>
      <c r="BW57" s="212"/>
      <c r="BX57" s="206"/>
      <c r="BY57" s="212"/>
      <c r="BZ57" s="206"/>
      <c r="CA57" s="206">
        <v>42122</v>
      </c>
      <c r="CB57" s="213" t="s">
        <v>1509</v>
      </c>
      <c r="CC57" s="212"/>
      <c r="CD57" s="212">
        <v>1000000000</v>
      </c>
      <c r="CE57" s="212"/>
      <c r="CF57" s="212"/>
      <c r="CG57" s="212">
        <v>1000000000</v>
      </c>
      <c r="CH57" s="200"/>
      <c r="CI57" s="212"/>
      <c r="CJ57" s="255" t="s">
        <v>416</v>
      </c>
    </row>
    <row r="58" spans="1:88" s="503" customFormat="1" ht="14.1" hidden="1" customHeight="1">
      <c r="A58" s="483" t="s">
        <v>3426</v>
      </c>
      <c r="B58" s="478" t="s">
        <v>3236</v>
      </c>
      <c r="C58" s="521" t="s">
        <v>3435</v>
      </c>
      <c r="D58" s="521"/>
      <c r="E58" s="500"/>
      <c r="F58" s="251" t="s">
        <v>3187</v>
      </c>
      <c r="G58" s="501"/>
      <c r="H58" s="502"/>
      <c r="J58" s="199">
        <v>46</v>
      </c>
      <c r="K58" s="200"/>
      <c r="L58" s="200" t="s">
        <v>462</v>
      </c>
      <c r="M58" s="201" t="s">
        <v>659</v>
      </c>
      <c r="N58" s="536"/>
      <c r="O58" s="202">
        <v>2</v>
      </c>
      <c r="P58" s="201" t="s">
        <v>83</v>
      </c>
      <c r="Q58" s="201" t="s">
        <v>227</v>
      </c>
      <c r="R58" s="201" t="s">
        <v>228</v>
      </c>
      <c r="S58" s="201" t="s">
        <v>1510</v>
      </c>
      <c r="T58" s="201" t="s">
        <v>122</v>
      </c>
      <c r="U58" s="203">
        <v>105.95</v>
      </c>
      <c r="V58" s="203">
        <v>529.4</v>
      </c>
      <c r="W58" s="204"/>
      <c r="X58" s="205"/>
      <c r="Y58" s="203"/>
      <c r="Z58" s="206">
        <v>42166</v>
      </c>
      <c r="AA58" s="206" t="s">
        <v>79</v>
      </c>
      <c r="AB58" s="207">
        <v>1</v>
      </c>
      <c r="AC58" s="208" t="s">
        <v>80</v>
      </c>
      <c r="AD58" s="209">
        <v>120000000</v>
      </c>
      <c r="AE58" s="209">
        <v>120000000</v>
      </c>
      <c r="AF58" s="207"/>
      <c r="AG58" s="207"/>
      <c r="AH58" s="209"/>
      <c r="AI58" s="207"/>
      <c r="AJ58" s="208"/>
      <c r="AK58" s="209"/>
      <c r="AL58" s="209"/>
      <c r="AM58" s="206"/>
      <c r="AN58" s="207"/>
      <c r="AO58" s="208"/>
      <c r="AP58" s="209"/>
      <c r="AQ58" s="209"/>
      <c r="AR58" s="207"/>
      <c r="AS58" s="207"/>
      <c r="AT58" s="209"/>
      <c r="AU58" s="209"/>
      <c r="AV58" s="209"/>
      <c r="AW58" s="466" t="s">
        <v>1313</v>
      </c>
      <c r="AX58" s="466" t="s">
        <v>1313</v>
      </c>
      <c r="AY58" s="466" t="s">
        <v>1313</v>
      </c>
      <c r="AZ58" s="466" t="s">
        <v>1313</v>
      </c>
      <c r="BA58" s="466" t="s">
        <v>1313</v>
      </c>
      <c r="BB58" s="466" t="s">
        <v>1313</v>
      </c>
      <c r="BC58" s="207" t="s">
        <v>1320</v>
      </c>
      <c r="BD58" s="210">
        <v>569090613</v>
      </c>
      <c r="BE58" s="210"/>
      <c r="BF58" s="207" t="s">
        <v>101</v>
      </c>
      <c r="BG58" s="207"/>
      <c r="BH58" s="207" t="s">
        <v>87</v>
      </c>
      <c r="BI58" s="207" t="s">
        <v>1508</v>
      </c>
      <c r="BJ58" s="207"/>
      <c r="BK58" s="206">
        <v>42412</v>
      </c>
      <c r="BL58" s="206">
        <v>42485</v>
      </c>
      <c r="BM58" s="206"/>
      <c r="BN58" s="206"/>
      <c r="BO58" s="211"/>
      <c r="BP58" s="207"/>
      <c r="BQ58" s="207"/>
      <c r="BR58" s="206"/>
      <c r="BS58" s="206"/>
      <c r="BT58" s="212"/>
      <c r="BU58" s="212"/>
      <c r="BV58" s="206"/>
      <c r="BW58" s="212"/>
      <c r="BX58" s="206"/>
      <c r="BY58" s="212"/>
      <c r="BZ58" s="206"/>
      <c r="CA58" s="206">
        <v>42118</v>
      </c>
      <c r="CB58" s="213" t="s">
        <v>1511</v>
      </c>
      <c r="CC58" s="212"/>
      <c r="CD58" s="212">
        <v>240000000</v>
      </c>
      <c r="CE58" s="212"/>
      <c r="CF58" s="212"/>
      <c r="CG58" s="212">
        <v>240000000</v>
      </c>
      <c r="CH58" s="200"/>
      <c r="CI58" s="212"/>
      <c r="CJ58" s="255" t="s">
        <v>1512</v>
      </c>
    </row>
    <row r="59" spans="1:88" s="503" customFormat="1" ht="14.1" hidden="1" customHeight="1">
      <c r="A59" s="483" t="s">
        <v>3424</v>
      </c>
      <c r="B59" s="478" t="s">
        <v>3237</v>
      </c>
      <c r="C59" s="251" t="s">
        <v>3423</v>
      </c>
      <c r="D59" s="517" t="s">
        <v>3423</v>
      </c>
      <c r="E59" s="500">
        <v>556016855</v>
      </c>
      <c r="F59" s="251" t="s">
        <v>3189</v>
      </c>
      <c r="G59" s="501"/>
      <c r="H59" s="502"/>
      <c r="J59" s="199">
        <v>47</v>
      </c>
      <c r="K59" s="200"/>
      <c r="L59" s="200" t="s">
        <v>463</v>
      </c>
      <c r="M59" s="201" t="s">
        <v>152</v>
      </c>
      <c r="N59" s="536"/>
      <c r="O59" s="202">
        <v>1</v>
      </c>
      <c r="P59" s="201" t="s">
        <v>103</v>
      </c>
      <c r="Q59" s="201" t="s">
        <v>131</v>
      </c>
      <c r="R59" s="201" t="s">
        <v>132</v>
      </c>
      <c r="S59" s="201" t="s">
        <v>1513</v>
      </c>
      <c r="T59" s="201" t="s">
        <v>106</v>
      </c>
      <c r="U59" s="203">
        <v>35.258000000000003</v>
      </c>
      <c r="V59" s="203">
        <v>84.98</v>
      </c>
      <c r="W59" s="204"/>
      <c r="X59" s="205"/>
      <c r="Y59" s="203"/>
      <c r="Z59" s="206">
        <v>39889</v>
      </c>
      <c r="AA59" s="206" t="s">
        <v>79</v>
      </c>
      <c r="AB59" s="207" t="s">
        <v>89</v>
      </c>
      <c r="AC59" s="208" t="s">
        <v>80</v>
      </c>
      <c r="AD59" s="209">
        <v>399000000</v>
      </c>
      <c r="AE59" s="209">
        <v>399000000</v>
      </c>
      <c r="AF59" s="207"/>
      <c r="AG59" s="207"/>
      <c r="AH59" s="209"/>
      <c r="AI59" s="207"/>
      <c r="AJ59" s="208"/>
      <c r="AK59" s="209"/>
      <c r="AL59" s="209"/>
      <c r="AM59" s="206"/>
      <c r="AN59" s="207"/>
      <c r="AO59" s="208"/>
      <c r="AP59" s="209"/>
      <c r="AQ59" s="209"/>
      <c r="AR59" s="207"/>
      <c r="AS59" s="207"/>
      <c r="AT59" s="209"/>
      <c r="AU59" s="209"/>
      <c r="AV59" s="209"/>
      <c r="AW59" s="466" t="s">
        <v>1313</v>
      </c>
      <c r="AX59" s="466" t="s">
        <v>1313</v>
      </c>
      <c r="AY59" s="466" t="s">
        <v>1313</v>
      </c>
      <c r="AZ59" s="466" t="s">
        <v>1313</v>
      </c>
      <c r="BA59" s="466" t="s">
        <v>1313</v>
      </c>
      <c r="BB59" s="466" t="s">
        <v>1313</v>
      </c>
      <c r="BC59" s="207" t="s">
        <v>1320</v>
      </c>
      <c r="BD59" s="210">
        <v>399000000</v>
      </c>
      <c r="BE59" s="210">
        <v>300000000</v>
      </c>
      <c r="BF59" s="207" t="s">
        <v>1514</v>
      </c>
      <c r="BG59" s="207" t="s">
        <v>101</v>
      </c>
      <c r="BH59" s="207" t="s">
        <v>123</v>
      </c>
      <c r="BI59" s="207" t="s">
        <v>1515</v>
      </c>
      <c r="BJ59" s="207" t="s">
        <v>1516</v>
      </c>
      <c r="BK59" s="206">
        <v>42436</v>
      </c>
      <c r="BL59" s="206">
        <v>42529</v>
      </c>
      <c r="BM59" s="206">
        <v>42457</v>
      </c>
      <c r="BN59" s="206"/>
      <c r="BO59" s="211"/>
      <c r="BP59" s="207"/>
      <c r="BQ59" s="207"/>
      <c r="BR59" s="206"/>
      <c r="BS59" s="206"/>
      <c r="BT59" s="212"/>
      <c r="BU59" s="212"/>
      <c r="BV59" s="206"/>
      <c r="BW59" s="212"/>
      <c r="BX59" s="206"/>
      <c r="BY59" s="212"/>
      <c r="BZ59" s="206"/>
      <c r="CA59" s="206">
        <v>42482</v>
      </c>
      <c r="CB59" s="213" t="s">
        <v>134</v>
      </c>
      <c r="CC59" s="212"/>
      <c r="CD59" s="212">
        <v>562500000</v>
      </c>
      <c r="CE59" s="212"/>
      <c r="CF59" s="212"/>
      <c r="CG59" s="212">
        <v>562500000</v>
      </c>
      <c r="CH59" s="200"/>
      <c r="CI59" s="212"/>
      <c r="CJ59" s="255" t="s">
        <v>416</v>
      </c>
    </row>
    <row r="60" spans="1:88" s="503" customFormat="1" ht="14.1" hidden="1" customHeight="1">
      <c r="A60" s="483" t="s">
        <v>3424</v>
      </c>
      <c r="B60" s="478" t="s">
        <v>3238</v>
      </c>
      <c r="C60" s="251" t="s">
        <v>3423</v>
      </c>
      <c r="D60" s="517" t="s">
        <v>3423</v>
      </c>
      <c r="E60" s="500">
        <v>538998916</v>
      </c>
      <c r="F60" s="251" t="s">
        <v>3189</v>
      </c>
      <c r="G60" s="501"/>
      <c r="H60" s="502"/>
      <c r="J60" s="199">
        <v>48</v>
      </c>
      <c r="K60" s="200"/>
      <c r="L60" s="200" t="s">
        <v>464</v>
      </c>
      <c r="M60" s="201" t="s">
        <v>130</v>
      </c>
      <c r="N60" s="536"/>
      <c r="O60" s="202">
        <v>1</v>
      </c>
      <c r="P60" s="201" t="s">
        <v>103</v>
      </c>
      <c r="Q60" s="201" t="s">
        <v>193</v>
      </c>
      <c r="R60" s="201" t="s">
        <v>1517</v>
      </c>
      <c r="S60" s="201" t="s">
        <v>1518</v>
      </c>
      <c r="T60" s="201" t="s">
        <v>106</v>
      </c>
      <c r="U60" s="203">
        <v>87.48</v>
      </c>
      <c r="V60" s="203">
        <v>177.86</v>
      </c>
      <c r="W60" s="204"/>
      <c r="X60" s="205"/>
      <c r="Y60" s="203"/>
      <c r="Z60" s="206">
        <v>37971</v>
      </c>
      <c r="AA60" s="206" t="s">
        <v>79</v>
      </c>
      <c r="AB60" s="207" t="s">
        <v>91</v>
      </c>
      <c r="AC60" s="208" t="s">
        <v>80</v>
      </c>
      <c r="AD60" s="209">
        <v>823200000</v>
      </c>
      <c r="AE60" s="209">
        <v>823200000</v>
      </c>
      <c r="AF60" s="207"/>
      <c r="AG60" s="207"/>
      <c r="AH60" s="209"/>
      <c r="AI60" s="207"/>
      <c r="AJ60" s="208"/>
      <c r="AK60" s="209"/>
      <c r="AL60" s="209"/>
      <c r="AM60" s="206"/>
      <c r="AN60" s="207"/>
      <c r="AO60" s="208"/>
      <c r="AP60" s="209"/>
      <c r="AQ60" s="209"/>
      <c r="AR60" s="207"/>
      <c r="AS60" s="207"/>
      <c r="AT60" s="209"/>
      <c r="AU60" s="209"/>
      <c r="AV60" s="209"/>
      <c r="AW60" s="466" t="s">
        <v>1313</v>
      </c>
      <c r="AX60" s="466" t="s">
        <v>1313</v>
      </c>
      <c r="AY60" s="466" t="s">
        <v>1313</v>
      </c>
      <c r="AZ60" s="466" t="s">
        <v>1313</v>
      </c>
      <c r="BA60" s="466" t="s">
        <v>1313</v>
      </c>
      <c r="BB60" s="466" t="s">
        <v>1313</v>
      </c>
      <c r="BC60" s="207" t="s">
        <v>82</v>
      </c>
      <c r="BD60" s="210"/>
      <c r="BE60" s="210"/>
      <c r="BF60" s="207"/>
      <c r="BG60" s="207"/>
      <c r="BH60" s="207"/>
      <c r="BI60" s="207"/>
      <c r="BJ60" s="207"/>
      <c r="BK60" s="206"/>
      <c r="BL60" s="206"/>
      <c r="BM60" s="206"/>
      <c r="BN60" s="206"/>
      <c r="BO60" s="211"/>
      <c r="BP60" s="207"/>
      <c r="BQ60" s="207"/>
      <c r="BR60" s="206"/>
      <c r="BS60" s="206"/>
      <c r="BT60" s="212"/>
      <c r="BU60" s="212"/>
      <c r="BV60" s="206"/>
      <c r="BW60" s="212"/>
      <c r="BX60" s="206"/>
      <c r="BY60" s="212"/>
      <c r="BZ60" s="206"/>
      <c r="CA60" s="206">
        <v>42482</v>
      </c>
      <c r="CB60" s="213" t="s">
        <v>134</v>
      </c>
      <c r="CC60" s="212"/>
      <c r="CD60" s="212">
        <v>730000000</v>
      </c>
      <c r="CE60" s="212"/>
      <c r="CF60" s="212"/>
      <c r="CG60" s="212">
        <v>730000000</v>
      </c>
      <c r="CH60" s="200"/>
      <c r="CI60" s="212"/>
      <c r="CJ60" s="255" t="s">
        <v>416</v>
      </c>
    </row>
    <row r="61" spans="1:88" s="503" customFormat="1" ht="14.1" hidden="1" customHeight="1">
      <c r="A61" s="483" t="s">
        <v>3424</v>
      </c>
      <c r="B61" s="478" t="s">
        <v>3239</v>
      </c>
      <c r="C61" s="251" t="s">
        <v>3423</v>
      </c>
      <c r="D61" s="517" t="s">
        <v>3423</v>
      </c>
      <c r="E61" s="500">
        <v>536960968</v>
      </c>
      <c r="F61" s="251" t="s">
        <v>3189</v>
      </c>
      <c r="G61" s="501"/>
      <c r="H61" s="502"/>
      <c r="J61" s="199">
        <v>49</v>
      </c>
      <c r="K61" s="200"/>
      <c r="L61" s="200" t="s">
        <v>465</v>
      </c>
      <c r="M61" s="201" t="s">
        <v>175</v>
      </c>
      <c r="N61" s="536"/>
      <c r="O61" s="202">
        <v>1</v>
      </c>
      <c r="P61" s="201" t="s">
        <v>103</v>
      </c>
      <c r="Q61" s="201" t="s">
        <v>142</v>
      </c>
      <c r="R61" s="201" t="s">
        <v>1519</v>
      </c>
      <c r="S61" s="201" t="s">
        <v>1520</v>
      </c>
      <c r="T61" s="201" t="s">
        <v>106</v>
      </c>
      <c r="U61" s="203">
        <v>26.44</v>
      </c>
      <c r="V61" s="203">
        <v>199.46</v>
      </c>
      <c r="W61" s="204"/>
      <c r="X61" s="205"/>
      <c r="Y61" s="203"/>
      <c r="Z61" s="206">
        <v>38685</v>
      </c>
      <c r="AA61" s="206" t="s">
        <v>79</v>
      </c>
      <c r="AB61" s="207">
        <v>1</v>
      </c>
      <c r="AC61" s="208" t="s">
        <v>80</v>
      </c>
      <c r="AD61" s="209">
        <v>624000000</v>
      </c>
      <c r="AE61" s="209">
        <v>624000000</v>
      </c>
      <c r="AF61" s="207"/>
      <c r="AG61" s="207"/>
      <c r="AH61" s="209"/>
      <c r="AI61" s="207"/>
      <c r="AJ61" s="208"/>
      <c r="AK61" s="209"/>
      <c r="AL61" s="209"/>
      <c r="AM61" s="206"/>
      <c r="AN61" s="207"/>
      <c r="AO61" s="208"/>
      <c r="AP61" s="209"/>
      <c r="AQ61" s="209"/>
      <c r="AR61" s="207"/>
      <c r="AS61" s="207"/>
      <c r="AT61" s="209"/>
      <c r="AU61" s="209"/>
      <c r="AV61" s="209"/>
      <c r="AW61" s="466" t="s">
        <v>1313</v>
      </c>
      <c r="AX61" s="466" t="s">
        <v>1313</v>
      </c>
      <c r="AY61" s="466" t="s">
        <v>1313</v>
      </c>
      <c r="AZ61" s="466" t="s">
        <v>1313</v>
      </c>
      <c r="BA61" s="466" t="s">
        <v>1313</v>
      </c>
      <c r="BB61" s="466" t="s">
        <v>1313</v>
      </c>
      <c r="BC61" s="207" t="s">
        <v>1320</v>
      </c>
      <c r="BD61" s="210"/>
      <c r="BE61" s="210">
        <v>514161871</v>
      </c>
      <c r="BF61" s="207" t="s">
        <v>1521</v>
      </c>
      <c r="BG61" s="207"/>
      <c r="BH61" s="207" t="s">
        <v>123</v>
      </c>
      <c r="BI61" s="207" t="s">
        <v>1522</v>
      </c>
      <c r="BJ61" s="207"/>
      <c r="BK61" s="206">
        <v>42341</v>
      </c>
      <c r="BL61" s="206">
        <v>42423</v>
      </c>
      <c r="BM61" s="206"/>
      <c r="BN61" s="206"/>
      <c r="BO61" s="211">
        <v>1400000000</v>
      </c>
      <c r="BP61" s="207">
        <v>1</v>
      </c>
      <c r="BQ61" s="207" t="s">
        <v>147</v>
      </c>
      <c r="BR61" s="206">
        <v>42474</v>
      </c>
      <c r="BS61" s="206">
        <v>42474</v>
      </c>
      <c r="BT61" s="212">
        <v>1400000000</v>
      </c>
      <c r="BU61" s="212">
        <v>1400000000</v>
      </c>
      <c r="BV61" s="206">
        <v>42508</v>
      </c>
      <c r="BW61" s="212">
        <v>1120000000</v>
      </c>
      <c r="BX61" s="206"/>
      <c r="BY61" s="212"/>
      <c r="BZ61" s="206"/>
      <c r="CA61" s="206">
        <v>42364</v>
      </c>
      <c r="CB61" s="213" t="s">
        <v>1523</v>
      </c>
      <c r="CC61" s="212">
        <v>840000000</v>
      </c>
      <c r="CD61" s="212">
        <v>560000000</v>
      </c>
      <c r="CE61" s="212"/>
      <c r="CF61" s="212"/>
      <c r="CG61" s="212">
        <v>1400000000</v>
      </c>
      <c r="CH61" s="200"/>
      <c r="CI61" s="212"/>
      <c r="CJ61" s="255" t="s">
        <v>416</v>
      </c>
    </row>
    <row r="62" spans="1:88" s="503" customFormat="1" ht="14.1" hidden="1" customHeight="1">
      <c r="A62" s="483" t="s">
        <v>3424</v>
      </c>
      <c r="B62" s="478" t="s">
        <v>3240</v>
      </c>
      <c r="C62" s="251" t="s">
        <v>3423</v>
      </c>
      <c r="D62" s="517" t="s">
        <v>3423</v>
      </c>
      <c r="E62" s="500">
        <v>530698580</v>
      </c>
      <c r="F62" s="251" t="s">
        <v>3189</v>
      </c>
      <c r="G62" s="501"/>
      <c r="H62" s="502"/>
      <c r="J62" s="199">
        <v>50</v>
      </c>
      <c r="K62" s="200"/>
      <c r="L62" s="200" t="s">
        <v>466</v>
      </c>
      <c r="M62" s="201" t="s">
        <v>152</v>
      </c>
      <c r="N62" s="536"/>
      <c r="O62" s="202">
        <v>1</v>
      </c>
      <c r="P62" s="201" t="s">
        <v>93</v>
      </c>
      <c r="Q62" s="201" t="s">
        <v>143</v>
      </c>
      <c r="R62" s="201" t="s">
        <v>158</v>
      </c>
      <c r="S62" s="201" t="s">
        <v>1524</v>
      </c>
      <c r="T62" s="201" t="s">
        <v>106</v>
      </c>
      <c r="U62" s="203" t="s">
        <v>159</v>
      </c>
      <c r="V62" s="203">
        <v>162.7081</v>
      </c>
      <c r="W62" s="204"/>
      <c r="X62" s="205"/>
      <c r="Y62" s="203"/>
      <c r="Z62" s="206">
        <v>40945</v>
      </c>
      <c r="AA62" s="206" t="s">
        <v>79</v>
      </c>
      <c r="AB62" s="207">
        <v>1</v>
      </c>
      <c r="AC62" s="208" t="s">
        <v>80</v>
      </c>
      <c r="AD62" s="209">
        <v>630120000</v>
      </c>
      <c r="AE62" s="209">
        <v>630120000</v>
      </c>
      <c r="AF62" s="207"/>
      <c r="AG62" s="207"/>
      <c r="AH62" s="209"/>
      <c r="AI62" s="207"/>
      <c r="AJ62" s="208"/>
      <c r="AK62" s="209"/>
      <c r="AL62" s="209"/>
      <c r="AM62" s="206"/>
      <c r="AN62" s="207"/>
      <c r="AO62" s="208"/>
      <c r="AP62" s="209"/>
      <c r="AQ62" s="209"/>
      <c r="AR62" s="207"/>
      <c r="AS62" s="207"/>
      <c r="AT62" s="209"/>
      <c r="AU62" s="209"/>
      <c r="AV62" s="209"/>
      <c r="AW62" s="466" t="s">
        <v>1313</v>
      </c>
      <c r="AX62" s="466" t="s">
        <v>1313</v>
      </c>
      <c r="AY62" s="466" t="s">
        <v>1313</v>
      </c>
      <c r="AZ62" s="466" t="s">
        <v>1313</v>
      </c>
      <c r="BA62" s="466" t="s">
        <v>1313</v>
      </c>
      <c r="BB62" s="466" t="s">
        <v>1313</v>
      </c>
      <c r="BC62" s="207" t="s">
        <v>1320</v>
      </c>
      <c r="BD62" s="210">
        <v>538035032</v>
      </c>
      <c r="BE62" s="210"/>
      <c r="BF62" s="207" t="s">
        <v>101</v>
      </c>
      <c r="BG62" s="207"/>
      <c r="BH62" s="207" t="s">
        <v>144</v>
      </c>
      <c r="BI62" s="207" t="s">
        <v>1525</v>
      </c>
      <c r="BJ62" s="207"/>
      <c r="BK62" s="206">
        <v>42416</v>
      </c>
      <c r="BL62" s="206">
        <v>42499</v>
      </c>
      <c r="BM62" s="206"/>
      <c r="BN62" s="206"/>
      <c r="BO62" s="211"/>
      <c r="BP62" s="207"/>
      <c r="BQ62" s="207"/>
      <c r="BR62" s="206"/>
      <c r="BS62" s="206"/>
      <c r="BT62" s="212"/>
      <c r="BU62" s="212"/>
      <c r="BV62" s="206"/>
      <c r="BW62" s="212"/>
      <c r="BX62" s="206"/>
      <c r="BY62" s="212"/>
      <c r="BZ62" s="206"/>
      <c r="CA62" s="206">
        <v>42482</v>
      </c>
      <c r="CB62" s="213" t="s">
        <v>134</v>
      </c>
      <c r="CC62" s="212"/>
      <c r="CD62" s="212">
        <v>670000000</v>
      </c>
      <c r="CE62" s="212"/>
      <c r="CF62" s="212"/>
      <c r="CG62" s="212">
        <v>670000000</v>
      </c>
      <c r="CH62" s="200"/>
      <c r="CI62" s="212"/>
      <c r="CJ62" s="255" t="s">
        <v>416</v>
      </c>
    </row>
    <row r="63" spans="1:88" s="503" customFormat="1" ht="14.1" hidden="1" customHeight="1">
      <c r="A63" s="483" t="s">
        <v>3424</v>
      </c>
      <c r="B63" s="478" t="s">
        <v>3241</v>
      </c>
      <c r="C63" s="251" t="s">
        <v>3423</v>
      </c>
      <c r="D63" s="517" t="s">
        <v>3423</v>
      </c>
      <c r="E63" s="500">
        <v>508888990</v>
      </c>
      <c r="F63" s="251" t="s">
        <v>3187</v>
      </c>
      <c r="G63" s="501"/>
      <c r="H63" s="502"/>
      <c r="J63" s="199">
        <v>51</v>
      </c>
      <c r="K63" s="200"/>
      <c r="L63" s="200" t="s">
        <v>467</v>
      </c>
      <c r="M63" s="201" t="s">
        <v>175</v>
      </c>
      <c r="N63" s="536"/>
      <c r="O63" s="202">
        <v>1</v>
      </c>
      <c r="P63" s="201" t="s">
        <v>145</v>
      </c>
      <c r="Q63" s="201" t="s">
        <v>1526</v>
      </c>
      <c r="R63" s="201" t="s">
        <v>1527</v>
      </c>
      <c r="S63" s="201" t="s">
        <v>1528</v>
      </c>
      <c r="T63" s="201" t="s">
        <v>106</v>
      </c>
      <c r="U63" s="203">
        <v>19.273</v>
      </c>
      <c r="V63" s="203">
        <v>157.91999999999999</v>
      </c>
      <c r="W63" s="204"/>
      <c r="X63" s="205"/>
      <c r="Y63" s="203"/>
      <c r="Z63" s="206">
        <v>40795</v>
      </c>
      <c r="AA63" s="206" t="s">
        <v>79</v>
      </c>
      <c r="AB63" s="207">
        <v>1</v>
      </c>
      <c r="AC63" s="208" t="s">
        <v>80</v>
      </c>
      <c r="AD63" s="209">
        <v>596520000</v>
      </c>
      <c r="AE63" s="209">
        <v>596520000</v>
      </c>
      <c r="AF63" s="207"/>
      <c r="AG63" s="207"/>
      <c r="AH63" s="209"/>
      <c r="AI63" s="207"/>
      <c r="AJ63" s="208"/>
      <c r="AK63" s="209"/>
      <c r="AL63" s="209"/>
      <c r="AM63" s="206"/>
      <c r="AN63" s="207"/>
      <c r="AO63" s="208"/>
      <c r="AP63" s="209"/>
      <c r="AQ63" s="209"/>
      <c r="AR63" s="207"/>
      <c r="AS63" s="207"/>
      <c r="AT63" s="209"/>
      <c r="AU63" s="209"/>
      <c r="AV63" s="209"/>
      <c r="AW63" s="466" t="s">
        <v>1313</v>
      </c>
      <c r="AX63" s="466" t="s">
        <v>1313</v>
      </c>
      <c r="AY63" s="466" t="s">
        <v>1313</v>
      </c>
      <c r="AZ63" s="466" t="s">
        <v>1313</v>
      </c>
      <c r="BA63" s="466" t="s">
        <v>1313</v>
      </c>
      <c r="BB63" s="466" t="s">
        <v>1313</v>
      </c>
      <c r="BC63" s="207" t="s">
        <v>82</v>
      </c>
      <c r="BD63" s="210"/>
      <c r="BE63" s="210"/>
      <c r="BF63" s="207"/>
      <c r="BG63" s="207"/>
      <c r="BH63" s="207"/>
      <c r="BI63" s="207"/>
      <c r="BJ63" s="207"/>
      <c r="BK63" s="206"/>
      <c r="BL63" s="206"/>
      <c r="BM63" s="206"/>
      <c r="BN63" s="206"/>
      <c r="BO63" s="211"/>
      <c r="BP63" s="207"/>
      <c r="BQ63" s="207"/>
      <c r="BR63" s="206"/>
      <c r="BS63" s="206"/>
      <c r="BT63" s="212"/>
      <c r="BU63" s="212"/>
      <c r="BV63" s="206"/>
      <c r="BW63" s="212"/>
      <c r="BX63" s="206"/>
      <c r="BY63" s="212"/>
      <c r="BZ63" s="206"/>
      <c r="CA63" s="206">
        <v>40725</v>
      </c>
      <c r="CB63" s="213" t="s">
        <v>1388</v>
      </c>
      <c r="CC63" s="212"/>
      <c r="CD63" s="212">
        <v>828600000</v>
      </c>
      <c r="CE63" s="212"/>
      <c r="CF63" s="212"/>
      <c r="CG63" s="212">
        <v>828600000</v>
      </c>
      <c r="CH63" s="200"/>
      <c r="CI63" s="212"/>
      <c r="CJ63" s="255" t="s">
        <v>416</v>
      </c>
    </row>
    <row r="64" spans="1:88" s="503" customFormat="1" ht="14.1" hidden="1" customHeight="1">
      <c r="A64" s="483" t="s">
        <v>3424</v>
      </c>
      <c r="B64" s="478" t="s">
        <v>3242</v>
      </c>
      <c r="C64" s="251" t="s">
        <v>3423</v>
      </c>
      <c r="D64" s="517" t="s">
        <v>3423</v>
      </c>
      <c r="E64" s="500">
        <v>504053720</v>
      </c>
      <c r="F64" s="251" t="s">
        <v>3184</v>
      </c>
      <c r="G64" s="501"/>
      <c r="H64" s="502"/>
      <c r="J64" s="199">
        <v>52</v>
      </c>
      <c r="K64" s="200"/>
      <c r="L64" s="200" t="s">
        <v>468</v>
      </c>
      <c r="M64" s="201" t="s">
        <v>138</v>
      </c>
      <c r="N64" s="536"/>
      <c r="O64" s="202">
        <v>1</v>
      </c>
      <c r="P64" s="201" t="s">
        <v>103</v>
      </c>
      <c r="Q64" s="201" t="s">
        <v>104</v>
      </c>
      <c r="R64" s="201" t="s">
        <v>1529</v>
      </c>
      <c r="S64" s="201" t="s">
        <v>1530</v>
      </c>
      <c r="T64" s="201" t="s">
        <v>106</v>
      </c>
      <c r="U64" s="203">
        <v>55.22</v>
      </c>
      <c r="V64" s="203">
        <v>72.510000000000005</v>
      </c>
      <c r="W64" s="204"/>
      <c r="X64" s="205"/>
      <c r="Y64" s="203"/>
      <c r="Z64" s="206">
        <v>37004</v>
      </c>
      <c r="AA64" s="206" t="s">
        <v>79</v>
      </c>
      <c r="AB64" s="207" t="s">
        <v>98</v>
      </c>
      <c r="AC64" s="208" t="s">
        <v>80</v>
      </c>
      <c r="AD64" s="209">
        <v>510000000</v>
      </c>
      <c r="AE64" s="209">
        <v>510000000</v>
      </c>
      <c r="AF64" s="207"/>
      <c r="AG64" s="207"/>
      <c r="AH64" s="209"/>
      <c r="AI64" s="207"/>
      <c r="AJ64" s="208"/>
      <c r="AK64" s="209"/>
      <c r="AL64" s="209"/>
      <c r="AM64" s="206"/>
      <c r="AN64" s="207"/>
      <c r="AO64" s="208"/>
      <c r="AP64" s="209"/>
      <c r="AQ64" s="209"/>
      <c r="AR64" s="207"/>
      <c r="AS64" s="207"/>
      <c r="AT64" s="209"/>
      <c r="AU64" s="209"/>
      <c r="AV64" s="209"/>
      <c r="AW64" s="466" t="s">
        <v>1313</v>
      </c>
      <c r="AX64" s="466" t="s">
        <v>1313</v>
      </c>
      <c r="AY64" s="466" t="s">
        <v>1313</v>
      </c>
      <c r="AZ64" s="466" t="s">
        <v>1313</v>
      </c>
      <c r="BA64" s="466" t="s">
        <v>1313</v>
      </c>
      <c r="BB64" s="466" t="s">
        <v>1313</v>
      </c>
      <c r="BC64" s="207" t="s">
        <v>1320</v>
      </c>
      <c r="BD64" s="210">
        <v>504732804</v>
      </c>
      <c r="BE64" s="210">
        <v>500000000</v>
      </c>
      <c r="BF64" s="207" t="s">
        <v>1326</v>
      </c>
      <c r="BG64" s="207" t="s">
        <v>101</v>
      </c>
      <c r="BH64" s="207" t="s">
        <v>107</v>
      </c>
      <c r="BI64" s="207" t="s">
        <v>1531</v>
      </c>
      <c r="BJ64" s="207" t="s">
        <v>1532</v>
      </c>
      <c r="BK64" s="206">
        <v>42116</v>
      </c>
      <c r="BL64" s="206">
        <v>42198</v>
      </c>
      <c r="BM64" s="206">
        <v>42359</v>
      </c>
      <c r="BN64" s="206"/>
      <c r="BO64" s="211">
        <v>1240000000</v>
      </c>
      <c r="BP64" s="207"/>
      <c r="BQ64" s="207"/>
      <c r="BR64" s="206" t="s">
        <v>1533</v>
      </c>
      <c r="BS64" s="206"/>
      <c r="BT64" s="212"/>
      <c r="BU64" s="212"/>
      <c r="BV64" s="206"/>
      <c r="BW64" s="212"/>
      <c r="BX64" s="206"/>
      <c r="BY64" s="212"/>
      <c r="BZ64" s="206"/>
      <c r="CA64" s="206">
        <v>42125</v>
      </c>
      <c r="CB64" s="213" t="s">
        <v>1534</v>
      </c>
      <c r="CC64" s="212">
        <v>1116000000</v>
      </c>
      <c r="CD64" s="212">
        <v>124000000</v>
      </c>
      <c r="CE64" s="212"/>
      <c r="CF64" s="212"/>
      <c r="CG64" s="212">
        <v>1240000000</v>
      </c>
      <c r="CH64" s="200"/>
      <c r="CI64" s="212"/>
      <c r="CJ64" s="255" t="s">
        <v>1535</v>
      </c>
    </row>
    <row r="65" spans="1:88" s="503" customFormat="1" ht="14.1" hidden="1" customHeight="1">
      <c r="A65" s="483" t="s">
        <v>3424</v>
      </c>
      <c r="B65" s="478" t="s">
        <v>3243</v>
      </c>
      <c r="C65" s="251" t="s">
        <v>3423</v>
      </c>
      <c r="D65" s="517" t="s">
        <v>3423</v>
      </c>
      <c r="E65" s="500">
        <v>500000000</v>
      </c>
      <c r="F65" s="251" t="s">
        <v>3189</v>
      </c>
      <c r="G65" s="501"/>
      <c r="H65" s="502"/>
      <c r="J65" s="199">
        <v>53</v>
      </c>
      <c r="K65" s="200"/>
      <c r="L65" s="200" t="s">
        <v>469</v>
      </c>
      <c r="M65" s="201" t="s">
        <v>234</v>
      </c>
      <c r="N65" s="536"/>
      <c r="O65" s="202">
        <v>1</v>
      </c>
      <c r="P65" s="201" t="s">
        <v>103</v>
      </c>
      <c r="Q65" s="201" t="s">
        <v>193</v>
      </c>
      <c r="R65" s="201" t="s">
        <v>1517</v>
      </c>
      <c r="S65" s="201" t="s">
        <v>1536</v>
      </c>
      <c r="T65" s="201" t="s">
        <v>106</v>
      </c>
      <c r="U65" s="203">
        <v>65.421000000000006</v>
      </c>
      <c r="V65" s="203">
        <v>120.11</v>
      </c>
      <c r="W65" s="204"/>
      <c r="X65" s="205"/>
      <c r="Y65" s="203"/>
      <c r="Z65" s="206">
        <v>41008</v>
      </c>
      <c r="AA65" s="206" t="s">
        <v>79</v>
      </c>
      <c r="AB65" s="207">
        <v>1</v>
      </c>
      <c r="AC65" s="208" t="s">
        <v>80</v>
      </c>
      <c r="AD65" s="209">
        <v>600000000</v>
      </c>
      <c r="AE65" s="209">
        <v>600000000</v>
      </c>
      <c r="AF65" s="207"/>
      <c r="AG65" s="207"/>
      <c r="AH65" s="209"/>
      <c r="AI65" s="207"/>
      <c r="AJ65" s="208"/>
      <c r="AK65" s="209"/>
      <c r="AL65" s="209"/>
      <c r="AM65" s="206"/>
      <c r="AN65" s="207"/>
      <c r="AO65" s="208"/>
      <c r="AP65" s="209"/>
      <c r="AQ65" s="209"/>
      <c r="AR65" s="207"/>
      <c r="AS65" s="207"/>
      <c r="AT65" s="209"/>
      <c r="AU65" s="209"/>
      <c r="AV65" s="209"/>
      <c r="AW65" s="466" t="s">
        <v>1313</v>
      </c>
      <c r="AX65" s="466" t="s">
        <v>1313</v>
      </c>
      <c r="AY65" s="466" t="s">
        <v>1313</v>
      </c>
      <c r="AZ65" s="466" t="s">
        <v>1313</v>
      </c>
      <c r="BA65" s="466" t="s">
        <v>1313</v>
      </c>
      <c r="BB65" s="466" t="s">
        <v>1313</v>
      </c>
      <c r="BC65" s="207" t="s">
        <v>82</v>
      </c>
      <c r="BD65" s="210"/>
      <c r="BE65" s="210"/>
      <c r="BF65" s="207"/>
      <c r="BG65" s="207"/>
      <c r="BH65" s="207"/>
      <c r="BI65" s="207"/>
      <c r="BJ65" s="207"/>
      <c r="BK65" s="206"/>
      <c r="BL65" s="206"/>
      <c r="BM65" s="206"/>
      <c r="BN65" s="206"/>
      <c r="BO65" s="211"/>
      <c r="BP65" s="207"/>
      <c r="BQ65" s="207"/>
      <c r="BR65" s="206"/>
      <c r="BS65" s="206"/>
      <c r="BT65" s="212"/>
      <c r="BU65" s="212"/>
      <c r="BV65" s="206"/>
      <c r="BW65" s="212"/>
      <c r="BX65" s="206"/>
      <c r="BY65" s="212"/>
      <c r="BZ65" s="206"/>
      <c r="CA65" s="206">
        <v>42482</v>
      </c>
      <c r="CB65" s="213" t="s">
        <v>134</v>
      </c>
      <c r="CC65" s="212"/>
      <c r="CD65" s="212">
        <v>507500000</v>
      </c>
      <c r="CE65" s="212"/>
      <c r="CF65" s="212"/>
      <c r="CG65" s="212">
        <v>507500000</v>
      </c>
      <c r="CH65" s="200"/>
      <c r="CI65" s="212"/>
      <c r="CJ65" s="255" t="s">
        <v>416</v>
      </c>
    </row>
    <row r="66" spans="1:88" s="503" customFormat="1" ht="14.1" hidden="1" customHeight="1">
      <c r="A66" s="483" t="s">
        <v>3424</v>
      </c>
      <c r="B66" s="478" t="s">
        <v>3244</v>
      </c>
      <c r="C66" s="251" t="s">
        <v>3423</v>
      </c>
      <c r="D66" s="517" t="s">
        <v>3423</v>
      </c>
      <c r="E66" s="500">
        <v>503347340</v>
      </c>
      <c r="F66" s="251" t="s">
        <v>3187</v>
      </c>
      <c r="G66" s="501"/>
      <c r="H66" s="502"/>
      <c r="J66" s="199">
        <v>54</v>
      </c>
      <c r="K66" s="200"/>
      <c r="L66" s="200" t="s">
        <v>470</v>
      </c>
      <c r="M66" s="201" t="s">
        <v>168</v>
      </c>
      <c r="N66" s="536"/>
      <c r="O66" s="202">
        <v>1</v>
      </c>
      <c r="P66" s="201" t="s">
        <v>83</v>
      </c>
      <c r="Q66" s="201" t="s">
        <v>155</v>
      </c>
      <c r="R66" s="201" t="s">
        <v>156</v>
      </c>
      <c r="S66" s="201" t="s">
        <v>1537</v>
      </c>
      <c r="T66" s="201" t="s">
        <v>106</v>
      </c>
      <c r="U66" s="203">
        <v>82.918000000000006</v>
      </c>
      <c r="V66" s="203">
        <v>163.61799999999999</v>
      </c>
      <c r="W66" s="204"/>
      <c r="X66" s="205"/>
      <c r="Y66" s="203"/>
      <c r="Z66" s="206">
        <v>41163</v>
      </c>
      <c r="AA66" s="206" t="s">
        <v>79</v>
      </c>
      <c r="AB66" s="207">
        <v>1</v>
      </c>
      <c r="AC66" s="208" t="s">
        <v>80</v>
      </c>
      <c r="AD66" s="209">
        <v>597600000</v>
      </c>
      <c r="AE66" s="209">
        <v>597600000</v>
      </c>
      <c r="AF66" s="207"/>
      <c r="AG66" s="207"/>
      <c r="AH66" s="209"/>
      <c r="AI66" s="207"/>
      <c r="AJ66" s="208"/>
      <c r="AK66" s="209"/>
      <c r="AL66" s="209"/>
      <c r="AM66" s="206"/>
      <c r="AN66" s="207"/>
      <c r="AO66" s="208"/>
      <c r="AP66" s="209"/>
      <c r="AQ66" s="209"/>
      <c r="AR66" s="207"/>
      <c r="AS66" s="207"/>
      <c r="AT66" s="209"/>
      <c r="AU66" s="209"/>
      <c r="AV66" s="209"/>
      <c r="AW66" s="466" t="s">
        <v>1313</v>
      </c>
      <c r="AX66" s="466" t="s">
        <v>1313</v>
      </c>
      <c r="AY66" s="466" t="s">
        <v>1313</v>
      </c>
      <c r="AZ66" s="466" t="s">
        <v>1313</v>
      </c>
      <c r="BA66" s="466" t="s">
        <v>1313</v>
      </c>
      <c r="BB66" s="466" t="s">
        <v>1313</v>
      </c>
      <c r="BC66" s="207" t="s">
        <v>1320</v>
      </c>
      <c r="BD66" s="210"/>
      <c r="BE66" s="210"/>
      <c r="BF66" s="207" t="s">
        <v>101</v>
      </c>
      <c r="BG66" s="207"/>
      <c r="BH66" s="207" t="s">
        <v>87</v>
      </c>
      <c r="BI66" s="207" t="s">
        <v>1538</v>
      </c>
      <c r="BJ66" s="207"/>
      <c r="BK66" s="206">
        <v>42486</v>
      </c>
      <c r="BL66" s="206"/>
      <c r="BM66" s="206"/>
      <c r="BN66" s="206"/>
      <c r="BO66" s="211"/>
      <c r="BP66" s="207"/>
      <c r="BQ66" s="207"/>
      <c r="BR66" s="206"/>
      <c r="BS66" s="206"/>
      <c r="BT66" s="212"/>
      <c r="BU66" s="212"/>
      <c r="BV66" s="206"/>
      <c r="BW66" s="212"/>
      <c r="BX66" s="206"/>
      <c r="BY66" s="212"/>
      <c r="BZ66" s="206"/>
      <c r="CA66" s="206">
        <v>41103</v>
      </c>
      <c r="CB66" s="213" t="s">
        <v>1388</v>
      </c>
      <c r="CC66" s="212"/>
      <c r="CD66" s="212">
        <v>831000000</v>
      </c>
      <c r="CE66" s="212"/>
      <c r="CF66" s="212"/>
      <c r="CG66" s="212">
        <v>831000000</v>
      </c>
      <c r="CH66" s="200"/>
      <c r="CI66" s="212"/>
      <c r="CJ66" s="255" t="s">
        <v>416</v>
      </c>
    </row>
    <row r="67" spans="1:88" s="503" customFormat="1" ht="14.1" hidden="1" customHeight="1">
      <c r="A67" s="483" t="s">
        <v>3424</v>
      </c>
      <c r="B67" s="478" t="s">
        <v>3245</v>
      </c>
      <c r="C67" s="251" t="s">
        <v>3423</v>
      </c>
      <c r="D67" s="517" t="s">
        <v>3423</v>
      </c>
      <c r="E67" s="500">
        <v>492340770</v>
      </c>
      <c r="F67" s="251" t="s">
        <v>3186</v>
      </c>
      <c r="G67" s="501"/>
      <c r="H67" s="502"/>
      <c r="J67" s="199">
        <v>55</v>
      </c>
      <c r="K67" s="200"/>
      <c r="L67" s="200" t="s">
        <v>471</v>
      </c>
      <c r="M67" s="201" t="s">
        <v>130</v>
      </c>
      <c r="N67" s="536"/>
      <c r="O67" s="202">
        <v>1</v>
      </c>
      <c r="P67" s="201" t="s">
        <v>93</v>
      </c>
      <c r="Q67" s="201" t="s">
        <v>149</v>
      </c>
      <c r="R67" s="201" t="s">
        <v>150</v>
      </c>
      <c r="S67" s="201" t="s">
        <v>1539</v>
      </c>
      <c r="T67" s="201" t="s">
        <v>106</v>
      </c>
      <c r="U67" s="203">
        <v>79.891999999999996</v>
      </c>
      <c r="V67" s="203">
        <v>134.85900000000001</v>
      </c>
      <c r="W67" s="204"/>
      <c r="X67" s="205"/>
      <c r="Y67" s="203"/>
      <c r="Z67" s="206">
        <v>41001</v>
      </c>
      <c r="AA67" s="206" t="s">
        <v>79</v>
      </c>
      <c r="AB67" s="207">
        <v>1</v>
      </c>
      <c r="AC67" s="208" t="s">
        <v>80</v>
      </c>
      <c r="AD67" s="209">
        <v>584400000</v>
      </c>
      <c r="AE67" s="209">
        <v>584400000</v>
      </c>
      <c r="AF67" s="207"/>
      <c r="AG67" s="207"/>
      <c r="AH67" s="209"/>
      <c r="AI67" s="207"/>
      <c r="AJ67" s="208"/>
      <c r="AK67" s="209"/>
      <c r="AL67" s="209"/>
      <c r="AM67" s="206"/>
      <c r="AN67" s="207"/>
      <c r="AO67" s="208"/>
      <c r="AP67" s="209"/>
      <c r="AQ67" s="209"/>
      <c r="AR67" s="207"/>
      <c r="AS67" s="207"/>
      <c r="AT67" s="209"/>
      <c r="AU67" s="209"/>
      <c r="AV67" s="209"/>
      <c r="AW67" s="466" t="s">
        <v>1313</v>
      </c>
      <c r="AX67" s="466" t="s">
        <v>1313</v>
      </c>
      <c r="AY67" s="466" t="s">
        <v>1313</v>
      </c>
      <c r="AZ67" s="466" t="s">
        <v>1313</v>
      </c>
      <c r="BA67" s="466" t="s">
        <v>1313</v>
      </c>
      <c r="BB67" s="466" t="s">
        <v>1313</v>
      </c>
      <c r="BC67" s="207" t="s">
        <v>1320</v>
      </c>
      <c r="BD67" s="210">
        <v>501073557</v>
      </c>
      <c r="BE67" s="210"/>
      <c r="BF67" s="207" t="s">
        <v>101</v>
      </c>
      <c r="BG67" s="207"/>
      <c r="BH67" s="207" t="s">
        <v>99</v>
      </c>
      <c r="BI67" s="207" t="s">
        <v>1540</v>
      </c>
      <c r="BJ67" s="207"/>
      <c r="BK67" s="206">
        <v>42454</v>
      </c>
      <c r="BL67" s="206">
        <v>42528</v>
      </c>
      <c r="BM67" s="206"/>
      <c r="BN67" s="206"/>
      <c r="BO67" s="211"/>
      <c r="BP67" s="207"/>
      <c r="BQ67" s="207"/>
      <c r="BR67" s="206"/>
      <c r="BS67" s="206"/>
      <c r="BT67" s="212"/>
      <c r="BU67" s="212"/>
      <c r="BV67" s="206"/>
      <c r="BW67" s="212"/>
      <c r="BX67" s="206"/>
      <c r="BY67" s="212"/>
      <c r="BZ67" s="206"/>
      <c r="CA67" s="206">
        <v>40959</v>
      </c>
      <c r="CB67" s="213" t="s">
        <v>1388</v>
      </c>
      <c r="CC67" s="212"/>
      <c r="CD67" s="212">
        <v>812960000</v>
      </c>
      <c r="CE67" s="212"/>
      <c r="CF67" s="212"/>
      <c r="CG67" s="212">
        <v>812960000</v>
      </c>
      <c r="CH67" s="200"/>
      <c r="CI67" s="212"/>
      <c r="CJ67" s="255" t="s">
        <v>416</v>
      </c>
    </row>
    <row r="68" spans="1:88" s="503" customFormat="1" ht="14.1" hidden="1" customHeight="1">
      <c r="A68" s="483" t="s">
        <v>3424</v>
      </c>
      <c r="B68" s="478" t="s">
        <v>3246</v>
      </c>
      <c r="C68" s="251" t="s">
        <v>3423</v>
      </c>
      <c r="D68" s="517" t="s">
        <v>3423</v>
      </c>
      <c r="E68" s="500">
        <v>482800000</v>
      </c>
      <c r="F68" s="251" t="s">
        <v>3187</v>
      </c>
      <c r="G68" s="501"/>
      <c r="H68" s="502"/>
      <c r="J68" s="199">
        <v>56</v>
      </c>
      <c r="K68" s="200"/>
      <c r="L68" s="200" t="s">
        <v>472</v>
      </c>
      <c r="M68" s="201" t="s">
        <v>152</v>
      </c>
      <c r="N68" s="536"/>
      <c r="O68" s="202">
        <v>1</v>
      </c>
      <c r="P68" s="201" t="s">
        <v>145</v>
      </c>
      <c r="Q68" s="201" t="s">
        <v>1526</v>
      </c>
      <c r="R68" s="201" t="s">
        <v>1527</v>
      </c>
      <c r="S68" s="201" t="s">
        <v>1541</v>
      </c>
      <c r="T68" s="201" t="s">
        <v>106</v>
      </c>
      <c r="U68" s="203">
        <v>15.861000000000001</v>
      </c>
      <c r="V68" s="203">
        <v>129.96199999999999</v>
      </c>
      <c r="W68" s="204"/>
      <c r="X68" s="205"/>
      <c r="Y68" s="203"/>
      <c r="Z68" s="206">
        <v>40907</v>
      </c>
      <c r="AA68" s="206" t="s">
        <v>79</v>
      </c>
      <c r="AB68" s="207" t="s">
        <v>89</v>
      </c>
      <c r="AC68" s="208" t="s">
        <v>80</v>
      </c>
      <c r="AD68" s="209">
        <v>579360000</v>
      </c>
      <c r="AE68" s="209">
        <v>579360000</v>
      </c>
      <c r="AF68" s="207"/>
      <c r="AG68" s="207"/>
      <c r="AH68" s="209"/>
      <c r="AI68" s="207"/>
      <c r="AJ68" s="208"/>
      <c r="AK68" s="209"/>
      <c r="AL68" s="209"/>
      <c r="AM68" s="206"/>
      <c r="AN68" s="207"/>
      <c r="AO68" s="208"/>
      <c r="AP68" s="209"/>
      <c r="AQ68" s="209"/>
      <c r="AR68" s="207"/>
      <c r="AS68" s="207"/>
      <c r="AT68" s="209"/>
      <c r="AU68" s="209"/>
      <c r="AV68" s="209"/>
      <c r="AW68" s="466" t="s">
        <v>1313</v>
      </c>
      <c r="AX68" s="466" t="s">
        <v>1313</v>
      </c>
      <c r="AY68" s="466" t="s">
        <v>1313</v>
      </c>
      <c r="AZ68" s="466" t="s">
        <v>1313</v>
      </c>
      <c r="BA68" s="466" t="s">
        <v>1313</v>
      </c>
      <c r="BB68" s="466" t="s">
        <v>1313</v>
      </c>
      <c r="BC68" s="207" t="s">
        <v>82</v>
      </c>
      <c r="BD68" s="210"/>
      <c r="BE68" s="210"/>
      <c r="BF68" s="207"/>
      <c r="BG68" s="207"/>
      <c r="BH68" s="207"/>
      <c r="BI68" s="207"/>
      <c r="BJ68" s="207"/>
      <c r="BK68" s="206"/>
      <c r="BL68" s="206"/>
      <c r="BM68" s="206"/>
      <c r="BN68" s="206"/>
      <c r="BO68" s="211"/>
      <c r="BP68" s="207"/>
      <c r="BQ68" s="207"/>
      <c r="BR68" s="206"/>
      <c r="BS68" s="206"/>
      <c r="BT68" s="212"/>
      <c r="BU68" s="212"/>
      <c r="BV68" s="206"/>
      <c r="BW68" s="212"/>
      <c r="BX68" s="206"/>
      <c r="BY68" s="212"/>
      <c r="BZ68" s="206"/>
      <c r="CA68" s="206">
        <v>40772</v>
      </c>
      <c r="CB68" s="213" t="s">
        <v>1388</v>
      </c>
      <c r="CC68" s="212"/>
      <c r="CD68" s="212">
        <v>688000000</v>
      </c>
      <c r="CE68" s="212"/>
      <c r="CF68" s="212"/>
      <c r="CG68" s="212">
        <v>688000000</v>
      </c>
      <c r="CH68" s="200"/>
      <c r="CI68" s="212"/>
      <c r="CJ68" s="255" t="s">
        <v>1542</v>
      </c>
    </row>
    <row r="69" spans="1:88" s="503" customFormat="1" ht="14.1" hidden="1" customHeight="1">
      <c r="A69" s="483" t="s">
        <v>3425</v>
      </c>
      <c r="B69" s="478" t="s">
        <v>3247</v>
      </c>
      <c r="C69" s="521" t="s">
        <v>3435</v>
      </c>
      <c r="D69" s="521" t="s">
        <v>3435</v>
      </c>
      <c r="E69" s="500">
        <v>480000000</v>
      </c>
      <c r="F69" s="251" t="s">
        <v>3186</v>
      </c>
      <c r="G69" s="501"/>
      <c r="H69" s="502"/>
      <c r="J69" s="199">
        <v>57</v>
      </c>
      <c r="K69" s="200"/>
      <c r="L69" s="200" t="s">
        <v>473</v>
      </c>
      <c r="M69" s="201" t="s">
        <v>137</v>
      </c>
      <c r="N69" s="536"/>
      <c r="O69" s="202">
        <v>1</v>
      </c>
      <c r="P69" s="201" t="s">
        <v>103</v>
      </c>
      <c r="Q69" s="201" t="s">
        <v>209</v>
      </c>
      <c r="R69" s="201" t="s">
        <v>1543</v>
      </c>
      <c r="S69" s="201" t="s">
        <v>1544</v>
      </c>
      <c r="T69" s="201" t="s">
        <v>417</v>
      </c>
      <c r="U69" s="203">
        <v>200.3</v>
      </c>
      <c r="V69" s="203">
        <v>325.74</v>
      </c>
      <c r="W69" s="204"/>
      <c r="X69" s="205"/>
      <c r="Y69" s="203"/>
      <c r="Z69" s="206">
        <v>40458</v>
      </c>
      <c r="AA69" s="206" t="s">
        <v>79</v>
      </c>
      <c r="AB69" s="207">
        <v>1</v>
      </c>
      <c r="AC69" s="208" t="s">
        <v>80</v>
      </c>
      <c r="AD69" s="209">
        <v>396000000</v>
      </c>
      <c r="AE69" s="209">
        <v>396000000</v>
      </c>
      <c r="AF69" s="207"/>
      <c r="AG69" s="207"/>
      <c r="AH69" s="209"/>
      <c r="AI69" s="207"/>
      <c r="AJ69" s="208"/>
      <c r="AK69" s="209"/>
      <c r="AL69" s="209"/>
      <c r="AM69" s="206"/>
      <c r="AN69" s="207"/>
      <c r="AO69" s="208"/>
      <c r="AP69" s="209"/>
      <c r="AQ69" s="209"/>
      <c r="AR69" s="207"/>
      <c r="AS69" s="207"/>
      <c r="AT69" s="209"/>
      <c r="AU69" s="209"/>
      <c r="AV69" s="209"/>
      <c r="AW69" s="466" t="s">
        <v>1313</v>
      </c>
      <c r="AX69" s="466" t="s">
        <v>1313</v>
      </c>
      <c r="AY69" s="466" t="s">
        <v>1313</v>
      </c>
      <c r="AZ69" s="466" t="s">
        <v>1313</v>
      </c>
      <c r="BA69" s="466" t="s">
        <v>1313</v>
      </c>
      <c r="BB69" s="466" t="s">
        <v>1313</v>
      </c>
      <c r="BC69" s="207" t="s">
        <v>82</v>
      </c>
      <c r="BD69" s="210"/>
      <c r="BE69" s="210"/>
      <c r="BF69" s="207"/>
      <c r="BG69" s="207"/>
      <c r="BH69" s="207"/>
      <c r="BI69" s="207"/>
      <c r="BJ69" s="207"/>
      <c r="BK69" s="206"/>
      <c r="BL69" s="206"/>
      <c r="BM69" s="206"/>
      <c r="BN69" s="206"/>
      <c r="BO69" s="211"/>
      <c r="BP69" s="207"/>
      <c r="BQ69" s="207"/>
      <c r="BR69" s="206"/>
      <c r="BS69" s="206"/>
      <c r="BT69" s="212"/>
      <c r="BU69" s="212"/>
      <c r="BV69" s="206"/>
      <c r="BW69" s="212"/>
      <c r="BX69" s="206"/>
      <c r="BY69" s="212"/>
      <c r="BZ69" s="206"/>
      <c r="CA69" s="206">
        <v>40247</v>
      </c>
      <c r="CB69" s="213" t="s">
        <v>1545</v>
      </c>
      <c r="CC69" s="212">
        <v>697044000</v>
      </c>
      <c r="CD69" s="212">
        <v>194792520</v>
      </c>
      <c r="CE69" s="212"/>
      <c r="CF69" s="212"/>
      <c r="CG69" s="212">
        <v>891836520</v>
      </c>
      <c r="CH69" s="200"/>
      <c r="CI69" s="212"/>
      <c r="CJ69" s="255" t="s">
        <v>1546</v>
      </c>
    </row>
    <row r="70" spans="1:88" s="503" customFormat="1" ht="14.1" hidden="1" customHeight="1">
      <c r="A70" s="483" t="s">
        <v>3426</v>
      </c>
      <c r="B70" s="478" t="s">
        <v>3248</v>
      </c>
      <c r="C70" s="251" t="s">
        <v>3423</v>
      </c>
      <c r="D70" s="517" t="s">
        <v>3423</v>
      </c>
      <c r="E70" s="500"/>
      <c r="F70" s="251" t="s">
        <v>3187</v>
      </c>
      <c r="G70" s="501"/>
      <c r="H70" s="502"/>
      <c r="J70" s="199">
        <v>58</v>
      </c>
      <c r="K70" s="200"/>
      <c r="L70" s="200" t="s">
        <v>473</v>
      </c>
      <c r="M70" s="201" t="s">
        <v>137</v>
      </c>
      <c r="N70" s="536"/>
      <c r="O70" s="202">
        <v>2</v>
      </c>
      <c r="P70" s="201" t="s">
        <v>83</v>
      </c>
      <c r="Q70" s="201" t="s">
        <v>188</v>
      </c>
      <c r="R70" s="201" t="s">
        <v>201</v>
      </c>
      <c r="S70" s="201" t="s">
        <v>1547</v>
      </c>
      <c r="T70" s="201" t="s">
        <v>106</v>
      </c>
      <c r="U70" s="203">
        <v>77.95</v>
      </c>
      <c r="V70" s="203">
        <v>163.51</v>
      </c>
      <c r="W70" s="204"/>
      <c r="X70" s="205"/>
      <c r="Y70" s="203"/>
      <c r="Z70" s="206">
        <v>40458</v>
      </c>
      <c r="AA70" s="206" t="s">
        <v>79</v>
      </c>
      <c r="AB70" s="207">
        <v>1</v>
      </c>
      <c r="AC70" s="208" t="s">
        <v>80</v>
      </c>
      <c r="AD70" s="209">
        <v>180000000</v>
      </c>
      <c r="AE70" s="209">
        <v>180000000</v>
      </c>
      <c r="AF70" s="207"/>
      <c r="AG70" s="207"/>
      <c r="AH70" s="209"/>
      <c r="AI70" s="207"/>
      <c r="AJ70" s="208"/>
      <c r="AK70" s="209"/>
      <c r="AL70" s="209"/>
      <c r="AM70" s="206"/>
      <c r="AN70" s="207"/>
      <c r="AO70" s="208"/>
      <c r="AP70" s="209"/>
      <c r="AQ70" s="209"/>
      <c r="AR70" s="207"/>
      <c r="AS70" s="207"/>
      <c r="AT70" s="209"/>
      <c r="AU70" s="209"/>
      <c r="AV70" s="209"/>
      <c r="AW70" s="466" t="s">
        <v>1313</v>
      </c>
      <c r="AX70" s="466" t="s">
        <v>1313</v>
      </c>
      <c r="AY70" s="466" t="s">
        <v>1313</v>
      </c>
      <c r="AZ70" s="466" t="s">
        <v>1313</v>
      </c>
      <c r="BA70" s="466" t="s">
        <v>1313</v>
      </c>
      <c r="BB70" s="466" t="s">
        <v>1313</v>
      </c>
      <c r="BC70" s="207" t="s">
        <v>82</v>
      </c>
      <c r="BD70" s="210"/>
      <c r="BE70" s="210"/>
      <c r="BF70" s="207"/>
      <c r="BG70" s="207"/>
      <c r="BH70" s="207"/>
      <c r="BI70" s="207"/>
      <c r="BJ70" s="207"/>
      <c r="BK70" s="206"/>
      <c r="BL70" s="206"/>
      <c r="BM70" s="206"/>
      <c r="BN70" s="206"/>
      <c r="BO70" s="211"/>
      <c r="BP70" s="207"/>
      <c r="BQ70" s="207"/>
      <c r="BR70" s="206"/>
      <c r="BS70" s="206"/>
      <c r="BT70" s="212"/>
      <c r="BU70" s="212"/>
      <c r="BV70" s="206"/>
      <c r="BW70" s="212"/>
      <c r="BX70" s="206"/>
      <c r="BY70" s="212"/>
      <c r="BZ70" s="206"/>
      <c r="CA70" s="206">
        <v>42482</v>
      </c>
      <c r="CB70" s="213" t="s">
        <v>134</v>
      </c>
      <c r="CC70" s="212"/>
      <c r="CD70" s="212">
        <v>280000000</v>
      </c>
      <c r="CE70" s="212"/>
      <c r="CF70" s="212"/>
      <c r="CG70" s="212">
        <v>280000000</v>
      </c>
      <c r="CH70" s="200"/>
      <c r="CI70" s="212"/>
      <c r="CJ70" s="255" t="s">
        <v>416</v>
      </c>
    </row>
    <row r="71" spans="1:88" s="503" customFormat="1" ht="14.1" hidden="1" customHeight="1">
      <c r="A71" s="483" t="s">
        <v>3424</v>
      </c>
      <c r="B71" s="478" t="s">
        <v>3249</v>
      </c>
      <c r="C71" s="521" t="s">
        <v>3435</v>
      </c>
      <c r="D71" s="521" t="s">
        <v>3435</v>
      </c>
      <c r="E71" s="500">
        <v>477862876</v>
      </c>
      <c r="F71" s="251" t="s">
        <v>3186</v>
      </c>
      <c r="G71" s="501"/>
      <c r="H71" s="502"/>
      <c r="J71" s="199">
        <v>59</v>
      </c>
      <c r="K71" s="200"/>
      <c r="L71" s="200" t="s">
        <v>474</v>
      </c>
      <c r="M71" s="201" t="s">
        <v>175</v>
      </c>
      <c r="N71" s="536"/>
      <c r="O71" s="202">
        <v>1</v>
      </c>
      <c r="P71" s="201" t="s">
        <v>119</v>
      </c>
      <c r="Q71" s="201" t="s">
        <v>180</v>
      </c>
      <c r="R71" s="201" t="s">
        <v>1548</v>
      </c>
      <c r="S71" s="201" t="s">
        <v>1549</v>
      </c>
      <c r="T71" s="201" t="s">
        <v>1550</v>
      </c>
      <c r="U71" s="203">
        <v>622.4</v>
      </c>
      <c r="V71" s="203">
        <v>297.85000000000002</v>
      </c>
      <c r="W71" s="204"/>
      <c r="X71" s="205"/>
      <c r="Y71" s="203"/>
      <c r="Z71" s="206">
        <v>36796</v>
      </c>
      <c r="AA71" s="206" t="s">
        <v>79</v>
      </c>
      <c r="AB71" s="207" t="s">
        <v>89</v>
      </c>
      <c r="AC71" s="208" t="s">
        <v>80</v>
      </c>
      <c r="AD71" s="209">
        <v>780800000</v>
      </c>
      <c r="AE71" s="209">
        <v>780800000</v>
      </c>
      <c r="AF71" s="207"/>
      <c r="AG71" s="207"/>
      <c r="AH71" s="209"/>
      <c r="AI71" s="207"/>
      <c r="AJ71" s="208"/>
      <c r="AK71" s="209"/>
      <c r="AL71" s="209"/>
      <c r="AM71" s="206"/>
      <c r="AN71" s="207"/>
      <c r="AO71" s="208"/>
      <c r="AP71" s="209"/>
      <c r="AQ71" s="209"/>
      <c r="AR71" s="207"/>
      <c r="AS71" s="207"/>
      <c r="AT71" s="209"/>
      <c r="AU71" s="209"/>
      <c r="AV71" s="209"/>
      <c r="AW71" s="466" t="s">
        <v>1313</v>
      </c>
      <c r="AX71" s="466" t="s">
        <v>1313</v>
      </c>
      <c r="AY71" s="466" t="s">
        <v>1313</v>
      </c>
      <c r="AZ71" s="466" t="s">
        <v>1313</v>
      </c>
      <c r="BA71" s="466" t="s">
        <v>1313</v>
      </c>
      <c r="BB71" s="466" t="s">
        <v>1313</v>
      </c>
      <c r="BC71" s="207" t="s">
        <v>1320</v>
      </c>
      <c r="BD71" s="210"/>
      <c r="BE71" s="210">
        <v>106592030</v>
      </c>
      <c r="BF71" s="207" t="s">
        <v>86</v>
      </c>
      <c r="BG71" s="207"/>
      <c r="BH71" s="207" t="s">
        <v>181</v>
      </c>
      <c r="BI71" s="207" t="s">
        <v>1551</v>
      </c>
      <c r="BJ71" s="207"/>
      <c r="BK71" s="206">
        <v>42468</v>
      </c>
      <c r="BL71" s="206">
        <v>42564</v>
      </c>
      <c r="BM71" s="206"/>
      <c r="BN71" s="206"/>
      <c r="BO71" s="211"/>
      <c r="BP71" s="207"/>
      <c r="BQ71" s="207"/>
      <c r="BR71" s="206"/>
      <c r="BS71" s="206"/>
      <c r="BT71" s="212"/>
      <c r="BU71" s="212"/>
      <c r="BV71" s="206"/>
      <c r="BW71" s="212"/>
      <c r="BX71" s="206"/>
      <c r="BY71" s="212"/>
      <c r="BZ71" s="206"/>
      <c r="CA71" s="206">
        <v>39252</v>
      </c>
      <c r="CB71" s="213" t="s">
        <v>1509</v>
      </c>
      <c r="CC71" s="212">
        <v>622400000</v>
      </c>
      <c r="CD71" s="212">
        <v>21409500</v>
      </c>
      <c r="CE71" s="212"/>
      <c r="CF71" s="212"/>
      <c r="CG71" s="212">
        <v>643809500</v>
      </c>
      <c r="CH71" s="200"/>
      <c r="CI71" s="212"/>
      <c r="CJ71" s="255" t="s">
        <v>1552</v>
      </c>
    </row>
    <row r="72" spans="1:88" s="503" customFormat="1" ht="14.1" hidden="1" customHeight="1">
      <c r="A72" s="483" t="s">
        <v>3424</v>
      </c>
      <c r="B72" s="478" t="s">
        <v>3250</v>
      </c>
      <c r="C72" s="251" t="s">
        <v>3423</v>
      </c>
      <c r="D72" s="517" t="s">
        <v>3423</v>
      </c>
      <c r="E72" s="500">
        <v>464634226</v>
      </c>
      <c r="F72" s="251" t="s">
        <v>3189</v>
      </c>
      <c r="G72" s="501"/>
      <c r="H72" s="502"/>
      <c r="J72" s="199">
        <v>60</v>
      </c>
      <c r="K72" s="200"/>
      <c r="L72" s="200" t="s">
        <v>475</v>
      </c>
      <c r="M72" s="201" t="s">
        <v>175</v>
      </c>
      <c r="N72" s="536"/>
      <c r="O72" s="202">
        <v>1</v>
      </c>
      <c r="P72" s="201" t="s">
        <v>93</v>
      </c>
      <c r="Q72" s="201" t="s">
        <v>143</v>
      </c>
      <c r="R72" s="201" t="s">
        <v>158</v>
      </c>
      <c r="S72" s="201" t="s">
        <v>1553</v>
      </c>
      <c r="T72" s="201" t="s">
        <v>106</v>
      </c>
      <c r="U72" s="203" t="s">
        <v>159</v>
      </c>
      <c r="V72" s="203">
        <v>134.7996</v>
      </c>
      <c r="W72" s="204"/>
      <c r="X72" s="205"/>
      <c r="Y72" s="203"/>
      <c r="Z72" s="206">
        <v>40738</v>
      </c>
      <c r="AA72" s="206" t="s">
        <v>79</v>
      </c>
      <c r="AB72" s="207">
        <v>1</v>
      </c>
      <c r="AC72" s="208" t="s">
        <v>80</v>
      </c>
      <c r="AD72" s="209">
        <v>533760000</v>
      </c>
      <c r="AE72" s="209">
        <v>533760000</v>
      </c>
      <c r="AF72" s="207"/>
      <c r="AG72" s="207"/>
      <c r="AH72" s="209"/>
      <c r="AI72" s="207"/>
      <c r="AJ72" s="208"/>
      <c r="AK72" s="209"/>
      <c r="AL72" s="209"/>
      <c r="AM72" s="206"/>
      <c r="AN72" s="207"/>
      <c r="AO72" s="208"/>
      <c r="AP72" s="209"/>
      <c r="AQ72" s="209"/>
      <c r="AR72" s="207"/>
      <c r="AS72" s="207"/>
      <c r="AT72" s="209"/>
      <c r="AU72" s="209"/>
      <c r="AV72" s="209"/>
      <c r="AW72" s="466" t="s">
        <v>1313</v>
      </c>
      <c r="AX72" s="466" t="s">
        <v>1313</v>
      </c>
      <c r="AY72" s="466" t="s">
        <v>1313</v>
      </c>
      <c r="AZ72" s="466" t="s">
        <v>1313</v>
      </c>
      <c r="BA72" s="466" t="s">
        <v>1313</v>
      </c>
      <c r="BB72" s="466" t="s">
        <v>1313</v>
      </c>
      <c r="BC72" s="207" t="s">
        <v>1320</v>
      </c>
      <c r="BD72" s="210">
        <v>446818048</v>
      </c>
      <c r="BE72" s="210"/>
      <c r="BF72" s="207" t="s">
        <v>101</v>
      </c>
      <c r="BG72" s="207"/>
      <c r="BH72" s="207" t="s">
        <v>144</v>
      </c>
      <c r="BI72" s="207" t="s">
        <v>1554</v>
      </c>
      <c r="BJ72" s="207"/>
      <c r="BK72" s="206">
        <v>42474</v>
      </c>
      <c r="BL72" s="206">
        <v>42562</v>
      </c>
      <c r="BM72" s="206"/>
      <c r="BN72" s="206"/>
      <c r="BO72" s="211"/>
      <c r="BP72" s="207"/>
      <c r="BQ72" s="207"/>
      <c r="BR72" s="206"/>
      <c r="BS72" s="206"/>
      <c r="BT72" s="212"/>
      <c r="BU72" s="212"/>
      <c r="BV72" s="206"/>
      <c r="BW72" s="212"/>
      <c r="BX72" s="206"/>
      <c r="BY72" s="212"/>
      <c r="BZ72" s="206"/>
      <c r="CA72" s="206">
        <v>42482</v>
      </c>
      <c r="CB72" s="213" t="s">
        <v>134</v>
      </c>
      <c r="CC72" s="212"/>
      <c r="CD72" s="212">
        <v>570000000</v>
      </c>
      <c r="CE72" s="212"/>
      <c r="CF72" s="212"/>
      <c r="CG72" s="212">
        <v>570000000</v>
      </c>
      <c r="CH72" s="200"/>
      <c r="CI72" s="212"/>
      <c r="CJ72" s="255" t="s">
        <v>416</v>
      </c>
    </row>
    <row r="73" spans="1:88" s="503" customFormat="1" ht="14.1" hidden="1" customHeight="1">
      <c r="A73" s="483" t="s">
        <v>3427</v>
      </c>
      <c r="B73" s="478" t="s">
        <v>3251</v>
      </c>
      <c r="C73" s="521" t="s">
        <v>3435</v>
      </c>
      <c r="D73" s="521" t="s">
        <v>3435</v>
      </c>
      <c r="E73" s="500">
        <v>460000000</v>
      </c>
      <c r="F73" s="251" t="s">
        <v>3439</v>
      </c>
      <c r="G73" s="501"/>
      <c r="H73" s="502"/>
      <c r="J73" s="199">
        <v>61</v>
      </c>
      <c r="K73" s="200"/>
      <c r="L73" s="200" t="s">
        <v>476</v>
      </c>
      <c r="M73" s="201" t="s">
        <v>168</v>
      </c>
      <c r="N73" s="536"/>
      <c r="O73" s="202">
        <v>1</v>
      </c>
      <c r="P73" s="201" t="s">
        <v>1555</v>
      </c>
      <c r="Q73" s="201" t="s">
        <v>1556</v>
      </c>
      <c r="R73" s="201" t="s">
        <v>1557</v>
      </c>
      <c r="S73" s="201" t="s">
        <v>1558</v>
      </c>
      <c r="T73" s="201" t="s">
        <v>129</v>
      </c>
      <c r="U73" s="203">
        <v>356</v>
      </c>
      <c r="V73" s="203">
        <v>545.47</v>
      </c>
      <c r="W73" s="204"/>
      <c r="X73" s="205"/>
      <c r="Y73" s="203"/>
      <c r="Z73" s="206">
        <v>37394</v>
      </c>
      <c r="AA73" s="206" t="s">
        <v>79</v>
      </c>
      <c r="AB73" s="207" t="s">
        <v>89</v>
      </c>
      <c r="AC73" s="208" t="s">
        <v>80</v>
      </c>
      <c r="AD73" s="209">
        <v>552000000</v>
      </c>
      <c r="AE73" s="209">
        <v>552000000</v>
      </c>
      <c r="AF73" s="207" t="s">
        <v>427</v>
      </c>
      <c r="AG73" s="207" t="s">
        <v>89</v>
      </c>
      <c r="AH73" s="209">
        <v>552000000</v>
      </c>
      <c r="AI73" s="207"/>
      <c r="AJ73" s="208"/>
      <c r="AK73" s="209"/>
      <c r="AL73" s="209"/>
      <c r="AM73" s="206"/>
      <c r="AN73" s="207"/>
      <c r="AO73" s="208"/>
      <c r="AP73" s="209"/>
      <c r="AQ73" s="209"/>
      <c r="AR73" s="207"/>
      <c r="AS73" s="207"/>
      <c r="AT73" s="209"/>
      <c r="AU73" s="209"/>
      <c r="AV73" s="209"/>
      <c r="AW73" s="466" t="s">
        <v>1313</v>
      </c>
      <c r="AX73" s="466" t="s">
        <v>1313</v>
      </c>
      <c r="AY73" s="466" t="s">
        <v>1313</v>
      </c>
      <c r="AZ73" s="466" t="s">
        <v>1313</v>
      </c>
      <c r="BA73" s="466" t="s">
        <v>1313</v>
      </c>
      <c r="BB73" s="466" t="s">
        <v>1313</v>
      </c>
      <c r="BC73" s="207" t="s">
        <v>82</v>
      </c>
      <c r="BD73" s="210"/>
      <c r="BE73" s="210"/>
      <c r="BF73" s="207"/>
      <c r="BG73" s="207"/>
      <c r="BH73" s="207"/>
      <c r="BI73" s="207"/>
      <c r="BJ73" s="207"/>
      <c r="BK73" s="206"/>
      <c r="BL73" s="206"/>
      <c r="BM73" s="206"/>
      <c r="BN73" s="206"/>
      <c r="BO73" s="211"/>
      <c r="BP73" s="207"/>
      <c r="BQ73" s="207"/>
      <c r="BR73" s="206"/>
      <c r="BS73" s="206"/>
      <c r="BT73" s="212"/>
      <c r="BU73" s="212"/>
      <c r="BV73" s="206"/>
      <c r="BW73" s="212"/>
      <c r="BX73" s="206"/>
      <c r="BY73" s="212"/>
      <c r="BZ73" s="206"/>
      <c r="CA73" s="206">
        <v>42284</v>
      </c>
      <c r="CB73" s="213" t="s">
        <v>1321</v>
      </c>
      <c r="CC73" s="212">
        <v>84000000</v>
      </c>
      <c r="CD73" s="212">
        <v>341000000</v>
      </c>
      <c r="CE73" s="212"/>
      <c r="CF73" s="212"/>
      <c r="CG73" s="212">
        <v>425000000</v>
      </c>
      <c r="CH73" s="200"/>
      <c r="CI73" s="212"/>
      <c r="CJ73" s="255" t="s">
        <v>416</v>
      </c>
    </row>
    <row r="74" spans="1:88" s="503" customFormat="1" ht="14.1" hidden="1" customHeight="1">
      <c r="A74" s="483" t="s">
        <v>3428</v>
      </c>
      <c r="B74" s="478" t="s">
        <v>3252</v>
      </c>
      <c r="C74" s="521" t="s">
        <v>3435</v>
      </c>
      <c r="D74" s="517"/>
      <c r="E74" s="500"/>
      <c r="F74" s="539" t="s">
        <v>3439</v>
      </c>
      <c r="G74" s="501"/>
      <c r="H74" s="502"/>
      <c r="J74" s="199">
        <v>62</v>
      </c>
      <c r="K74" s="200"/>
      <c r="L74" s="200" t="s">
        <v>476</v>
      </c>
      <c r="M74" s="201" t="s">
        <v>168</v>
      </c>
      <c r="N74" s="536"/>
      <c r="O74" s="202">
        <v>2</v>
      </c>
      <c r="P74" s="201" t="s">
        <v>1555</v>
      </c>
      <c r="Q74" s="201" t="s">
        <v>1556</v>
      </c>
      <c r="R74" s="201" t="s">
        <v>1557</v>
      </c>
      <c r="S74" s="201" t="s">
        <v>1559</v>
      </c>
      <c r="T74" s="201" t="s">
        <v>129</v>
      </c>
      <c r="U74" s="203">
        <v>322</v>
      </c>
      <c r="V74" s="203">
        <v>503.86</v>
      </c>
      <c r="W74" s="204"/>
      <c r="X74" s="205"/>
      <c r="Y74" s="203"/>
      <c r="Z74" s="206">
        <v>37394</v>
      </c>
      <c r="AA74" s="206" t="s">
        <v>79</v>
      </c>
      <c r="AB74" s="207" t="s">
        <v>89</v>
      </c>
      <c r="AC74" s="208" t="s">
        <v>80</v>
      </c>
      <c r="AD74" s="209">
        <v>552000000</v>
      </c>
      <c r="AE74" s="209">
        <v>552000000</v>
      </c>
      <c r="AF74" s="207" t="s">
        <v>428</v>
      </c>
      <c r="AG74" s="207" t="s">
        <v>89</v>
      </c>
      <c r="AH74" s="209">
        <v>552000000</v>
      </c>
      <c r="AI74" s="207"/>
      <c r="AJ74" s="208"/>
      <c r="AK74" s="209"/>
      <c r="AL74" s="209"/>
      <c r="AM74" s="206"/>
      <c r="AN74" s="207"/>
      <c r="AO74" s="208"/>
      <c r="AP74" s="209"/>
      <c r="AQ74" s="209"/>
      <c r="AR74" s="207"/>
      <c r="AS74" s="207"/>
      <c r="AT74" s="209"/>
      <c r="AU74" s="209"/>
      <c r="AV74" s="209"/>
      <c r="AW74" s="466" t="s">
        <v>1313</v>
      </c>
      <c r="AX74" s="466" t="s">
        <v>1313</v>
      </c>
      <c r="AY74" s="466" t="s">
        <v>1313</v>
      </c>
      <c r="AZ74" s="466" t="s">
        <v>1313</v>
      </c>
      <c r="BA74" s="466" t="s">
        <v>1313</v>
      </c>
      <c r="BB74" s="466" t="s">
        <v>1313</v>
      </c>
      <c r="BC74" s="207" t="s">
        <v>82</v>
      </c>
      <c r="BD74" s="210"/>
      <c r="BE74" s="210"/>
      <c r="BF74" s="207"/>
      <c r="BG74" s="207"/>
      <c r="BH74" s="207"/>
      <c r="BI74" s="207"/>
      <c r="BJ74" s="207"/>
      <c r="BK74" s="206"/>
      <c r="BL74" s="206"/>
      <c r="BM74" s="206"/>
      <c r="BN74" s="206"/>
      <c r="BO74" s="211"/>
      <c r="BP74" s="207"/>
      <c r="BQ74" s="207"/>
      <c r="BR74" s="206"/>
      <c r="BS74" s="206"/>
      <c r="BT74" s="212"/>
      <c r="BU74" s="212"/>
      <c r="BV74" s="206"/>
      <c r="BW74" s="212"/>
      <c r="BX74" s="206"/>
      <c r="BY74" s="212"/>
      <c r="BZ74" s="206"/>
      <c r="CA74" s="206">
        <v>42284</v>
      </c>
      <c r="CB74" s="213" t="s">
        <v>1321</v>
      </c>
      <c r="CC74" s="212">
        <v>76000000</v>
      </c>
      <c r="CD74" s="212">
        <v>315000000</v>
      </c>
      <c r="CE74" s="212"/>
      <c r="CF74" s="212"/>
      <c r="CG74" s="212">
        <v>391000000</v>
      </c>
      <c r="CH74" s="200"/>
      <c r="CI74" s="212"/>
      <c r="CJ74" s="255" t="s">
        <v>416</v>
      </c>
    </row>
    <row r="75" spans="1:88" s="503" customFormat="1" ht="14.1" hidden="1" customHeight="1">
      <c r="A75" s="483" t="s">
        <v>3429</v>
      </c>
      <c r="B75" s="478" t="s">
        <v>3253</v>
      </c>
      <c r="C75" s="521" t="s">
        <v>3435</v>
      </c>
      <c r="D75" s="517"/>
      <c r="E75" s="500"/>
      <c r="F75" s="539" t="s">
        <v>3439</v>
      </c>
      <c r="G75" s="501"/>
      <c r="H75" s="502"/>
      <c r="J75" s="199">
        <v>63</v>
      </c>
      <c r="K75" s="200"/>
      <c r="L75" s="200" t="s">
        <v>476</v>
      </c>
      <c r="M75" s="201" t="s">
        <v>168</v>
      </c>
      <c r="N75" s="536"/>
      <c r="O75" s="202">
        <v>3</v>
      </c>
      <c r="P75" s="201" t="s">
        <v>1555</v>
      </c>
      <c r="Q75" s="201" t="s">
        <v>1556</v>
      </c>
      <c r="R75" s="201" t="s">
        <v>1557</v>
      </c>
      <c r="S75" s="201" t="s">
        <v>1560</v>
      </c>
      <c r="T75" s="201" t="s">
        <v>129</v>
      </c>
      <c r="U75" s="203">
        <v>317</v>
      </c>
      <c r="V75" s="203">
        <v>499.6</v>
      </c>
      <c r="W75" s="204"/>
      <c r="X75" s="205"/>
      <c r="Y75" s="203"/>
      <c r="Z75" s="206">
        <v>37394</v>
      </c>
      <c r="AA75" s="206" t="s">
        <v>79</v>
      </c>
      <c r="AB75" s="207" t="s">
        <v>89</v>
      </c>
      <c r="AC75" s="208" t="s">
        <v>80</v>
      </c>
      <c r="AD75" s="209">
        <v>552000000</v>
      </c>
      <c r="AE75" s="209">
        <v>552000000</v>
      </c>
      <c r="AF75" s="207" t="s">
        <v>89</v>
      </c>
      <c r="AG75" s="207" t="s">
        <v>89</v>
      </c>
      <c r="AH75" s="209">
        <v>552000000</v>
      </c>
      <c r="AI75" s="207"/>
      <c r="AJ75" s="208"/>
      <c r="AK75" s="209"/>
      <c r="AL75" s="209"/>
      <c r="AM75" s="206"/>
      <c r="AN75" s="207"/>
      <c r="AO75" s="208"/>
      <c r="AP75" s="209"/>
      <c r="AQ75" s="209"/>
      <c r="AR75" s="207"/>
      <c r="AS75" s="207"/>
      <c r="AT75" s="209"/>
      <c r="AU75" s="209"/>
      <c r="AV75" s="209"/>
      <c r="AW75" s="466" t="s">
        <v>1313</v>
      </c>
      <c r="AX75" s="466" t="s">
        <v>1313</v>
      </c>
      <c r="AY75" s="466" t="s">
        <v>1313</v>
      </c>
      <c r="AZ75" s="466" t="s">
        <v>1313</v>
      </c>
      <c r="BA75" s="466" t="s">
        <v>1313</v>
      </c>
      <c r="BB75" s="466" t="s">
        <v>1313</v>
      </c>
      <c r="BC75" s="207" t="s">
        <v>82</v>
      </c>
      <c r="BD75" s="210"/>
      <c r="BE75" s="210"/>
      <c r="BF75" s="207"/>
      <c r="BG75" s="207"/>
      <c r="BH75" s="207"/>
      <c r="BI75" s="207"/>
      <c r="BJ75" s="207"/>
      <c r="BK75" s="206"/>
      <c r="BL75" s="206"/>
      <c r="BM75" s="206"/>
      <c r="BN75" s="206"/>
      <c r="BO75" s="211"/>
      <c r="BP75" s="207"/>
      <c r="BQ75" s="207"/>
      <c r="BR75" s="206"/>
      <c r="BS75" s="206"/>
      <c r="BT75" s="212"/>
      <c r="BU75" s="212"/>
      <c r="BV75" s="206"/>
      <c r="BW75" s="212"/>
      <c r="BX75" s="206"/>
      <c r="BY75" s="212"/>
      <c r="BZ75" s="206"/>
      <c r="CA75" s="206">
        <v>42284</v>
      </c>
      <c r="CB75" s="213" t="s">
        <v>1321</v>
      </c>
      <c r="CC75" s="212">
        <v>75000000</v>
      </c>
      <c r="CD75" s="212">
        <v>312000000</v>
      </c>
      <c r="CE75" s="212"/>
      <c r="CF75" s="212"/>
      <c r="CG75" s="212">
        <v>387000000</v>
      </c>
      <c r="CH75" s="200"/>
      <c r="CI75" s="212"/>
      <c r="CJ75" s="255" t="s">
        <v>416</v>
      </c>
    </row>
    <row r="76" spans="1:88" s="503" customFormat="1" ht="14.1" hidden="1" customHeight="1">
      <c r="A76" s="483" t="s">
        <v>3424</v>
      </c>
      <c r="B76" s="478" t="s">
        <v>3254</v>
      </c>
      <c r="C76" s="251" t="s">
        <v>3423</v>
      </c>
      <c r="D76" s="517" t="s">
        <v>3423</v>
      </c>
      <c r="E76" s="500">
        <v>455500000</v>
      </c>
      <c r="F76" s="251" t="s">
        <v>3186</v>
      </c>
      <c r="G76" s="501"/>
      <c r="H76" s="502"/>
      <c r="J76" s="199">
        <v>64</v>
      </c>
      <c r="K76" s="200"/>
      <c r="L76" s="200" t="s">
        <v>477</v>
      </c>
      <c r="M76" s="201" t="s">
        <v>148</v>
      </c>
      <c r="N76" s="536"/>
      <c r="O76" s="202">
        <v>1</v>
      </c>
      <c r="P76" s="201" t="s">
        <v>93</v>
      </c>
      <c r="Q76" s="201" t="s">
        <v>149</v>
      </c>
      <c r="R76" s="201" t="s">
        <v>150</v>
      </c>
      <c r="S76" s="201" t="s">
        <v>1561</v>
      </c>
      <c r="T76" s="201" t="s">
        <v>106</v>
      </c>
      <c r="U76" s="203">
        <v>72.962000000000003</v>
      </c>
      <c r="V76" s="203">
        <v>126.489</v>
      </c>
      <c r="W76" s="204"/>
      <c r="X76" s="205"/>
      <c r="Y76" s="203"/>
      <c r="Z76" s="206">
        <v>40359</v>
      </c>
      <c r="AA76" s="206" t="s">
        <v>79</v>
      </c>
      <c r="AB76" s="207" t="s">
        <v>89</v>
      </c>
      <c r="AC76" s="208" t="s">
        <v>80</v>
      </c>
      <c r="AD76" s="209">
        <v>555600000</v>
      </c>
      <c r="AE76" s="209">
        <v>555600000</v>
      </c>
      <c r="AF76" s="207"/>
      <c r="AG76" s="207"/>
      <c r="AH76" s="209"/>
      <c r="AI76" s="207"/>
      <c r="AJ76" s="208"/>
      <c r="AK76" s="209"/>
      <c r="AL76" s="209"/>
      <c r="AM76" s="206"/>
      <c r="AN76" s="207"/>
      <c r="AO76" s="208"/>
      <c r="AP76" s="209"/>
      <c r="AQ76" s="209"/>
      <c r="AR76" s="207"/>
      <c r="AS76" s="207"/>
      <c r="AT76" s="209"/>
      <c r="AU76" s="209"/>
      <c r="AV76" s="209"/>
      <c r="AW76" s="466" t="s">
        <v>1313</v>
      </c>
      <c r="AX76" s="466" t="s">
        <v>1313</v>
      </c>
      <c r="AY76" s="466" t="s">
        <v>1313</v>
      </c>
      <c r="AZ76" s="466" t="s">
        <v>1313</v>
      </c>
      <c r="BA76" s="466" t="s">
        <v>1313</v>
      </c>
      <c r="BB76" s="466" t="s">
        <v>1313</v>
      </c>
      <c r="BC76" s="207" t="s">
        <v>82</v>
      </c>
      <c r="BD76" s="210"/>
      <c r="BE76" s="210"/>
      <c r="BF76" s="207"/>
      <c r="BG76" s="207"/>
      <c r="BH76" s="207"/>
      <c r="BI76" s="207"/>
      <c r="BJ76" s="207"/>
      <c r="BK76" s="206"/>
      <c r="BL76" s="206"/>
      <c r="BM76" s="206"/>
      <c r="BN76" s="206"/>
      <c r="BO76" s="211"/>
      <c r="BP76" s="207"/>
      <c r="BQ76" s="207"/>
      <c r="BR76" s="206"/>
      <c r="BS76" s="206"/>
      <c r="BT76" s="212"/>
      <c r="BU76" s="212"/>
      <c r="BV76" s="206"/>
      <c r="BW76" s="212"/>
      <c r="BX76" s="206"/>
      <c r="BY76" s="212"/>
      <c r="BZ76" s="206"/>
      <c r="CA76" s="206">
        <v>40353</v>
      </c>
      <c r="CB76" s="213" t="s">
        <v>1388</v>
      </c>
      <c r="CC76" s="212"/>
      <c r="CD76" s="212">
        <v>722500000</v>
      </c>
      <c r="CE76" s="212"/>
      <c r="CF76" s="212"/>
      <c r="CG76" s="212">
        <v>722500000</v>
      </c>
      <c r="CH76" s="200"/>
      <c r="CI76" s="212"/>
      <c r="CJ76" s="255" t="s">
        <v>416</v>
      </c>
    </row>
    <row r="77" spans="1:88" s="503" customFormat="1" ht="14.1" hidden="1" customHeight="1">
      <c r="A77" s="483" t="s">
        <v>3424</v>
      </c>
      <c r="B77" s="478" t="s">
        <v>3255</v>
      </c>
      <c r="C77" s="251" t="s">
        <v>3423</v>
      </c>
      <c r="D77" s="517" t="s">
        <v>3423</v>
      </c>
      <c r="E77" s="500">
        <v>455203721</v>
      </c>
      <c r="F77" s="251" t="s">
        <v>3189</v>
      </c>
      <c r="G77" s="501"/>
      <c r="H77" s="502"/>
      <c r="J77" s="199">
        <v>65</v>
      </c>
      <c r="K77" s="200"/>
      <c r="L77" s="200" t="s">
        <v>478</v>
      </c>
      <c r="M77" s="201" t="s">
        <v>109</v>
      </c>
      <c r="N77" s="536"/>
      <c r="O77" s="202">
        <v>1</v>
      </c>
      <c r="P77" s="201" t="s">
        <v>93</v>
      </c>
      <c r="Q77" s="201" t="s">
        <v>128</v>
      </c>
      <c r="R77" s="201" t="s">
        <v>1562</v>
      </c>
      <c r="S77" s="201" t="s">
        <v>1563</v>
      </c>
      <c r="T77" s="201" t="s">
        <v>106</v>
      </c>
      <c r="U77" s="203">
        <v>54.802999999999997</v>
      </c>
      <c r="V77" s="203">
        <v>168.75</v>
      </c>
      <c r="W77" s="204"/>
      <c r="X77" s="205"/>
      <c r="Y77" s="203"/>
      <c r="Z77" s="206">
        <v>39051</v>
      </c>
      <c r="AA77" s="206" t="s">
        <v>79</v>
      </c>
      <c r="AB77" s="207" t="s">
        <v>91</v>
      </c>
      <c r="AC77" s="208" t="s">
        <v>80</v>
      </c>
      <c r="AD77" s="209">
        <v>540000000</v>
      </c>
      <c r="AE77" s="209">
        <v>540000000</v>
      </c>
      <c r="AF77" s="207"/>
      <c r="AG77" s="207"/>
      <c r="AH77" s="209"/>
      <c r="AI77" s="207"/>
      <c r="AJ77" s="208"/>
      <c r="AK77" s="209"/>
      <c r="AL77" s="209"/>
      <c r="AM77" s="206"/>
      <c r="AN77" s="207"/>
      <c r="AO77" s="208"/>
      <c r="AP77" s="209"/>
      <c r="AQ77" s="209"/>
      <c r="AR77" s="207"/>
      <c r="AS77" s="207"/>
      <c r="AT77" s="209"/>
      <c r="AU77" s="209"/>
      <c r="AV77" s="209"/>
      <c r="AW77" s="466" t="s">
        <v>1313</v>
      </c>
      <c r="AX77" s="466" t="s">
        <v>1313</v>
      </c>
      <c r="AY77" s="466" t="s">
        <v>1313</v>
      </c>
      <c r="AZ77" s="466" t="s">
        <v>1313</v>
      </c>
      <c r="BA77" s="466" t="s">
        <v>1313</v>
      </c>
      <c r="BB77" s="466" t="s">
        <v>1313</v>
      </c>
      <c r="BC77" s="207" t="s">
        <v>1320</v>
      </c>
      <c r="BD77" s="210">
        <v>454729797</v>
      </c>
      <c r="BE77" s="210"/>
      <c r="BF77" s="207" t="s">
        <v>101</v>
      </c>
      <c r="BG77" s="207"/>
      <c r="BH77" s="207" t="s">
        <v>115</v>
      </c>
      <c r="BI77" s="207" t="s">
        <v>1564</v>
      </c>
      <c r="BJ77" s="207"/>
      <c r="BK77" s="206">
        <v>42433</v>
      </c>
      <c r="BL77" s="206">
        <v>42513</v>
      </c>
      <c r="BM77" s="206"/>
      <c r="BN77" s="206"/>
      <c r="BO77" s="211"/>
      <c r="BP77" s="207"/>
      <c r="BQ77" s="207"/>
      <c r="BR77" s="206"/>
      <c r="BS77" s="206"/>
      <c r="BT77" s="212"/>
      <c r="BU77" s="212"/>
      <c r="BV77" s="206"/>
      <c r="BW77" s="212"/>
      <c r="BX77" s="206"/>
      <c r="BY77" s="212"/>
      <c r="BZ77" s="206"/>
      <c r="CA77" s="206">
        <v>42482</v>
      </c>
      <c r="CB77" s="213" t="s">
        <v>134</v>
      </c>
      <c r="CC77" s="212"/>
      <c r="CD77" s="212">
        <v>580000000</v>
      </c>
      <c r="CE77" s="212"/>
      <c r="CF77" s="212"/>
      <c r="CG77" s="212">
        <v>580000000</v>
      </c>
      <c r="CH77" s="200"/>
      <c r="CI77" s="212"/>
      <c r="CJ77" s="255" t="s">
        <v>416</v>
      </c>
    </row>
    <row r="78" spans="1:88" s="503" customFormat="1" ht="14.1" hidden="1" customHeight="1">
      <c r="A78" s="483" t="s">
        <v>3424</v>
      </c>
      <c r="B78" s="478" t="s">
        <v>3256</v>
      </c>
      <c r="C78" s="251" t="s">
        <v>3423</v>
      </c>
      <c r="D78" s="517" t="s">
        <v>3423</v>
      </c>
      <c r="E78" s="500">
        <v>449770190</v>
      </c>
      <c r="F78" s="251" t="s">
        <v>3189</v>
      </c>
      <c r="G78" s="501"/>
      <c r="H78" s="502"/>
      <c r="J78" s="199">
        <v>66</v>
      </c>
      <c r="K78" s="200"/>
      <c r="L78" s="200" t="s">
        <v>479</v>
      </c>
      <c r="M78" s="201" t="s">
        <v>109</v>
      </c>
      <c r="N78" s="536"/>
      <c r="O78" s="202">
        <v>1</v>
      </c>
      <c r="P78" s="201" t="s">
        <v>93</v>
      </c>
      <c r="Q78" s="201" t="s">
        <v>143</v>
      </c>
      <c r="R78" s="201" t="s">
        <v>158</v>
      </c>
      <c r="S78" s="201" t="s">
        <v>1565</v>
      </c>
      <c r="T78" s="201" t="s">
        <v>106</v>
      </c>
      <c r="U78" s="203" t="s">
        <v>159</v>
      </c>
      <c r="V78" s="203">
        <v>137.13939999999999</v>
      </c>
      <c r="W78" s="204"/>
      <c r="X78" s="205"/>
      <c r="Y78" s="203"/>
      <c r="Z78" s="206">
        <v>40925</v>
      </c>
      <c r="AA78" s="206" t="s">
        <v>79</v>
      </c>
      <c r="AB78" s="207">
        <v>1</v>
      </c>
      <c r="AC78" s="208" t="s">
        <v>80</v>
      </c>
      <c r="AD78" s="209">
        <v>533640000</v>
      </c>
      <c r="AE78" s="209">
        <v>533640000</v>
      </c>
      <c r="AF78" s="207"/>
      <c r="AG78" s="207"/>
      <c r="AH78" s="209"/>
      <c r="AI78" s="207"/>
      <c r="AJ78" s="208"/>
      <c r="AK78" s="209"/>
      <c r="AL78" s="209"/>
      <c r="AM78" s="206"/>
      <c r="AN78" s="207"/>
      <c r="AO78" s="208"/>
      <c r="AP78" s="209"/>
      <c r="AQ78" s="209"/>
      <c r="AR78" s="207"/>
      <c r="AS78" s="207"/>
      <c r="AT78" s="209"/>
      <c r="AU78" s="209"/>
      <c r="AV78" s="209"/>
      <c r="AW78" s="466" t="s">
        <v>1313</v>
      </c>
      <c r="AX78" s="466" t="s">
        <v>1313</v>
      </c>
      <c r="AY78" s="466" t="s">
        <v>1313</v>
      </c>
      <c r="AZ78" s="466" t="s">
        <v>1313</v>
      </c>
      <c r="BA78" s="466" t="s">
        <v>1313</v>
      </c>
      <c r="BB78" s="466" t="s">
        <v>1313</v>
      </c>
      <c r="BC78" s="207" t="s">
        <v>1320</v>
      </c>
      <c r="BD78" s="210">
        <v>453738360</v>
      </c>
      <c r="BE78" s="210"/>
      <c r="BF78" s="207" t="s">
        <v>101</v>
      </c>
      <c r="BG78" s="207"/>
      <c r="BH78" s="207" t="s">
        <v>144</v>
      </c>
      <c r="BI78" s="207" t="s">
        <v>1566</v>
      </c>
      <c r="BJ78" s="207"/>
      <c r="BK78" s="206">
        <v>42425</v>
      </c>
      <c r="BL78" s="206">
        <v>42516</v>
      </c>
      <c r="BM78" s="206"/>
      <c r="BN78" s="206"/>
      <c r="BO78" s="211"/>
      <c r="BP78" s="207"/>
      <c r="BQ78" s="207"/>
      <c r="BR78" s="206"/>
      <c r="BS78" s="206"/>
      <c r="BT78" s="212"/>
      <c r="BU78" s="212"/>
      <c r="BV78" s="206"/>
      <c r="BW78" s="212"/>
      <c r="BX78" s="206"/>
      <c r="BY78" s="212"/>
      <c r="BZ78" s="206"/>
      <c r="CA78" s="206">
        <v>42482</v>
      </c>
      <c r="CB78" s="213" t="s">
        <v>134</v>
      </c>
      <c r="CC78" s="212"/>
      <c r="CD78" s="212">
        <v>605000000</v>
      </c>
      <c r="CE78" s="212"/>
      <c r="CF78" s="212"/>
      <c r="CG78" s="212">
        <v>605000000</v>
      </c>
      <c r="CH78" s="200"/>
      <c r="CI78" s="212"/>
      <c r="CJ78" s="255" t="s">
        <v>1567</v>
      </c>
    </row>
    <row r="79" spans="1:88" s="503" customFormat="1" ht="14.1" hidden="1" customHeight="1">
      <c r="A79" s="483" t="s">
        <v>3424</v>
      </c>
      <c r="B79" s="478" t="s">
        <v>3257</v>
      </c>
      <c r="C79" s="521" t="s">
        <v>3435</v>
      </c>
      <c r="D79" s="521" t="s">
        <v>3435</v>
      </c>
      <c r="E79" s="500">
        <v>447675511</v>
      </c>
      <c r="F79" s="251" t="s">
        <v>3186</v>
      </c>
      <c r="G79" s="501"/>
      <c r="H79" s="502"/>
      <c r="J79" s="199">
        <v>67</v>
      </c>
      <c r="K79" s="200"/>
      <c r="L79" s="200" t="s">
        <v>480</v>
      </c>
      <c r="M79" s="201" t="s">
        <v>660</v>
      </c>
      <c r="N79" s="536"/>
      <c r="O79" s="202">
        <v>1</v>
      </c>
      <c r="P79" s="201" t="s">
        <v>119</v>
      </c>
      <c r="Q79" s="201" t="s">
        <v>1568</v>
      </c>
      <c r="R79" s="201" t="s">
        <v>1569</v>
      </c>
      <c r="S79" s="201" t="s">
        <v>1570</v>
      </c>
      <c r="T79" s="201" t="s">
        <v>1571</v>
      </c>
      <c r="U79" s="203">
        <v>909</v>
      </c>
      <c r="V79" s="203">
        <v>1615.68</v>
      </c>
      <c r="W79" s="204"/>
      <c r="X79" s="205"/>
      <c r="Y79" s="203"/>
      <c r="Z79" s="206">
        <v>39575</v>
      </c>
      <c r="AA79" s="206" t="s">
        <v>79</v>
      </c>
      <c r="AB79" s="207">
        <v>1</v>
      </c>
      <c r="AC79" s="208" t="s">
        <v>80</v>
      </c>
      <c r="AD79" s="209">
        <v>780000000</v>
      </c>
      <c r="AE79" s="209">
        <v>780000000</v>
      </c>
      <c r="AF79" s="207"/>
      <c r="AG79" s="207"/>
      <c r="AH79" s="209"/>
      <c r="AI79" s="207"/>
      <c r="AJ79" s="208"/>
      <c r="AK79" s="209"/>
      <c r="AL79" s="209"/>
      <c r="AM79" s="206"/>
      <c r="AN79" s="207"/>
      <c r="AO79" s="208"/>
      <c r="AP79" s="209"/>
      <c r="AQ79" s="209"/>
      <c r="AR79" s="207"/>
      <c r="AS79" s="207"/>
      <c r="AT79" s="209"/>
      <c r="AU79" s="209"/>
      <c r="AV79" s="209"/>
      <c r="AW79" s="466" t="s">
        <v>1313</v>
      </c>
      <c r="AX79" s="466" t="s">
        <v>1313</v>
      </c>
      <c r="AY79" s="466" t="s">
        <v>1313</v>
      </c>
      <c r="AZ79" s="466" t="s">
        <v>1313</v>
      </c>
      <c r="BA79" s="466" t="s">
        <v>1313</v>
      </c>
      <c r="BB79" s="466" t="s">
        <v>1313</v>
      </c>
      <c r="BC79" s="207" t="s">
        <v>82</v>
      </c>
      <c r="BD79" s="210"/>
      <c r="BE79" s="210"/>
      <c r="BF79" s="207"/>
      <c r="BG79" s="207"/>
      <c r="BH79" s="207"/>
      <c r="BI79" s="207"/>
      <c r="BJ79" s="207"/>
      <c r="BK79" s="206"/>
      <c r="BL79" s="206"/>
      <c r="BM79" s="206"/>
      <c r="BN79" s="206"/>
      <c r="BO79" s="211"/>
      <c r="BP79" s="207"/>
      <c r="BQ79" s="207"/>
      <c r="BR79" s="206"/>
      <c r="BS79" s="206"/>
      <c r="BT79" s="212"/>
      <c r="BU79" s="212"/>
      <c r="BV79" s="206"/>
      <c r="BW79" s="212"/>
      <c r="BX79" s="206"/>
      <c r="BY79" s="212"/>
      <c r="BZ79" s="206"/>
      <c r="CA79" s="206">
        <v>42380</v>
      </c>
      <c r="CB79" s="213" t="s">
        <v>1321</v>
      </c>
      <c r="CC79" s="212">
        <v>21000000</v>
      </c>
      <c r="CD79" s="212">
        <v>1047000000</v>
      </c>
      <c r="CE79" s="212"/>
      <c r="CF79" s="212"/>
      <c r="CG79" s="212">
        <v>1068000000</v>
      </c>
      <c r="CH79" s="200"/>
      <c r="CI79" s="212"/>
      <c r="CJ79" s="255"/>
    </row>
    <row r="80" spans="1:88" s="503" customFormat="1" ht="14.1" hidden="1" customHeight="1">
      <c r="A80" s="483" t="s">
        <v>3424</v>
      </c>
      <c r="B80" s="478" t="s">
        <v>3258</v>
      </c>
      <c r="C80" s="251" t="s">
        <v>3423</v>
      </c>
      <c r="D80" s="517" t="s">
        <v>3423</v>
      </c>
      <c r="E80" s="500">
        <v>445000000</v>
      </c>
      <c r="F80" s="251" t="s">
        <v>3186</v>
      </c>
      <c r="G80" s="501"/>
      <c r="H80" s="502"/>
      <c r="J80" s="199">
        <v>68</v>
      </c>
      <c r="K80" s="200"/>
      <c r="L80" s="200" t="s">
        <v>481</v>
      </c>
      <c r="M80" s="201" t="s">
        <v>109</v>
      </c>
      <c r="N80" s="536"/>
      <c r="O80" s="202">
        <v>1</v>
      </c>
      <c r="P80" s="201" t="s">
        <v>93</v>
      </c>
      <c r="Q80" s="201" t="s">
        <v>149</v>
      </c>
      <c r="R80" s="201" t="s">
        <v>150</v>
      </c>
      <c r="S80" s="201" t="s">
        <v>1572</v>
      </c>
      <c r="T80" s="201" t="s">
        <v>106</v>
      </c>
      <c r="U80" s="203">
        <v>77.938000000000002</v>
      </c>
      <c r="V80" s="203">
        <v>124.858</v>
      </c>
      <c r="W80" s="204"/>
      <c r="X80" s="205"/>
      <c r="Y80" s="203"/>
      <c r="Z80" s="206">
        <v>40850</v>
      </c>
      <c r="AA80" s="206" t="s">
        <v>79</v>
      </c>
      <c r="AB80" s="207">
        <v>1</v>
      </c>
      <c r="AC80" s="208" t="s">
        <v>80</v>
      </c>
      <c r="AD80" s="209">
        <v>534000000</v>
      </c>
      <c r="AE80" s="209">
        <v>534000000</v>
      </c>
      <c r="AF80" s="207"/>
      <c r="AG80" s="207"/>
      <c r="AH80" s="209"/>
      <c r="AI80" s="207"/>
      <c r="AJ80" s="208"/>
      <c r="AK80" s="209"/>
      <c r="AL80" s="209"/>
      <c r="AM80" s="206"/>
      <c r="AN80" s="207"/>
      <c r="AO80" s="208"/>
      <c r="AP80" s="209"/>
      <c r="AQ80" s="209"/>
      <c r="AR80" s="207"/>
      <c r="AS80" s="207"/>
      <c r="AT80" s="209"/>
      <c r="AU80" s="209"/>
      <c r="AV80" s="209"/>
      <c r="AW80" s="466" t="s">
        <v>1313</v>
      </c>
      <c r="AX80" s="466" t="s">
        <v>1313</v>
      </c>
      <c r="AY80" s="466" t="s">
        <v>1313</v>
      </c>
      <c r="AZ80" s="466" t="s">
        <v>1313</v>
      </c>
      <c r="BA80" s="466" t="s">
        <v>1313</v>
      </c>
      <c r="BB80" s="466" t="s">
        <v>1313</v>
      </c>
      <c r="BC80" s="207" t="s">
        <v>82</v>
      </c>
      <c r="BD80" s="210"/>
      <c r="BE80" s="210"/>
      <c r="BF80" s="207"/>
      <c r="BG80" s="207"/>
      <c r="BH80" s="207"/>
      <c r="BI80" s="207"/>
      <c r="BJ80" s="207"/>
      <c r="BK80" s="206"/>
      <c r="BL80" s="206"/>
      <c r="BM80" s="206"/>
      <c r="BN80" s="206"/>
      <c r="BO80" s="211"/>
      <c r="BP80" s="207"/>
      <c r="BQ80" s="207"/>
      <c r="BR80" s="206"/>
      <c r="BS80" s="206"/>
      <c r="BT80" s="212"/>
      <c r="BU80" s="212"/>
      <c r="BV80" s="206"/>
      <c r="BW80" s="212"/>
      <c r="BX80" s="206"/>
      <c r="BY80" s="212"/>
      <c r="BZ80" s="206"/>
      <c r="CA80" s="206">
        <v>40739</v>
      </c>
      <c r="CB80" s="213" t="s">
        <v>1388</v>
      </c>
      <c r="CC80" s="212"/>
      <c r="CD80" s="212">
        <v>741940000</v>
      </c>
      <c r="CE80" s="212"/>
      <c r="CF80" s="212"/>
      <c r="CG80" s="212">
        <v>741940000</v>
      </c>
      <c r="CH80" s="200"/>
      <c r="CI80" s="212"/>
      <c r="CJ80" s="255" t="s">
        <v>416</v>
      </c>
    </row>
    <row r="81" spans="1:88" s="503" customFormat="1" ht="14.1" hidden="1" customHeight="1">
      <c r="A81" s="483" t="s">
        <v>3424</v>
      </c>
      <c r="B81" s="478" t="s">
        <v>3259</v>
      </c>
      <c r="C81" s="251" t="s">
        <v>3423</v>
      </c>
      <c r="D81" s="517" t="s">
        <v>3423</v>
      </c>
      <c r="E81" s="500">
        <v>444116281</v>
      </c>
      <c r="F81" s="251" t="s">
        <v>3189</v>
      </c>
      <c r="G81" s="501"/>
      <c r="H81" s="502"/>
      <c r="J81" s="199">
        <v>69</v>
      </c>
      <c r="K81" s="200"/>
      <c r="L81" s="200" t="s">
        <v>482</v>
      </c>
      <c r="M81" s="201" t="s">
        <v>109</v>
      </c>
      <c r="N81" s="536"/>
      <c r="O81" s="202">
        <v>1</v>
      </c>
      <c r="P81" s="201" t="s">
        <v>93</v>
      </c>
      <c r="Q81" s="201" t="s">
        <v>143</v>
      </c>
      <c r="R81" s="201" t="s">
        <v>158</v>
      </c>
      <c r="S81" s="201" t="s">
        <v>1573</v>
      </c>
      <c r="T81" s="201" t="s">
        <v>106</v>
      </c>
      <c r="U81" s="203" t="s">
        <v>159</v>
      </c>
      <c r="V81" s="203">
        <v>134.89109999999999</v>
      </c>
      <c r="W81" s="204"/>
      <c r="X81" s="205"/>
      <c r="Y81" s="203"/>
      <c r="Z81" s="206">
        <v>40834</v>
      </c>
      <c r="AA81" s="206" t="s">
        <v>79</v>
      </c>
      <c r="AB81" s="207">
        <v>1</v>
      </c>
      <c r="AC81" s="208" t="s">
        <v>80</v>
      </c>
      <c r="AD81" s="209">
        <v>526680000</v>
      </c>
      <c r="AE81" s="209">
        <v>526680000</v>
      </c>
      <c r="AF81" s="207"/>
      <c r="AG81" s="207"/>
      <c r="AH81" s="209"/>
      <c r="AI81" s="207"/>
      <c r="AJ81" s="208"/>
      <c r="AK81" s="209"/>
      <c r="AL81" s="209"/>
      <c r="AM81" s="206"/>
      <c r="AN81" s="207"/>
      <c r="AO81" s="208"/>
      <c r="AP81" s="209"/>
      <c r="AQ81" s="209"/>
      <c r="AR81" s="207"/>
      <c r="AS81" s="207"/>
      <c r="AT81" s="209"/>
      <c r="AU81" s="209"/>
      <c r="AV81" s="209"/>
      <c r="AW81" s="466" t="s">
        <v>1313</v>
      </c>
      <c r="AX81" s="466" t="s">
        <v>1313</v>
      </c>
      <c r="AY81" s="466" t="s">
        <v>1313</v>
      </c>
      <c r="AZ81" s="466" t="s">
        <v>1313</v>
      </c>
      <c r="BA81" s="466" t="s">
        <v>1313</v>
      </c>
      <c r="BB81" s="466" t="s">
        <v>1313</v>
      </c>
      <c r="BC81" s="207" t="s">
        <v>1320</v>
      </c>
      <c r="BD81" s="210">
        <v>444315191</v>
      </c>
      <c r="BE81" s="210"/>
      <c r="BF81" s="207" t="s">
        <v>101</v>
      </c>
      <c r="BG81" s="207"/>
      <c r="BH81" s="207" t="s">
        <v>144</v>
      </c>
      <c r="BI81" s="207" t="s">
        <v>1574</v>
      </c>
      <c r="BJ81" s="207"/>
      <c r="BK81" s="206">
        <v>42445</v>
      </c>
      <c r="BL81" s="206">
        <v>42530</v>
      </c>
      <c r="BM81" s="206"/>
      <c r="BN81" s="206"/>
      <c r="BO81" s="211"/>
      <c r="BP81" s="207"/>
      <c r="BQ81" s="207"/>
      <c r="BR81" s="206"/>
      <c r="BS81" s="206"/>
      <c r="BT81" s="212"/>
      <c r="BU81" s="212"/>
      <c r="BV81" s="206"/>
      <c r="BW81" s="212"/>
      <c r="BX81" s="206"/>
      <c r="BY81" s="212"/>
      <c r="BZ81" s="206"/>
      <c r="CA81" s="206">
        <v>42482</v>
      </c>
      <c r="CB81" s="213" t="s">
        <v>134</v>
      </c>
      <c r="CC81" s="212"/>
      <c r="CD81" s="212">
        <v>605000000</v>
      </c>
      <c r="CE81" s="212"/>
      <c r="CF81" s="212"/>
      <c r="CG81" s="212">
        <v>605000000</v>
      </c>
      <c r="CH81" s="200"/>
      <c r="CI81" s="212"/>
      <c r="CJ81" s="255" t="s">
        <v>416</v>
      </c>
    </row>
    <row r="82" spans="1:88" s="503" customFormat="1" ht="14.1" hidden="1" customHeight="1">
      <c r="A82" s="483" t="s">
        <v>3424</v>
      </c>
      <c r="B82" s="478" t="s">
        <v>3260</v>
      </c>
      <c r="C82" s="251" t="s">
        <v>3423</v>
      </c>
      <c r="D82" s="517" t="s">
        <v>3423</v>
      </c>
      <c r="E82" s="500">
        <v>441971150</v>
      </c>
      <c r="F82" s="251" t="s">
        <v>3184</v>
      </c>
      <c r="G82" s="501"/>
      <c r="H82" s="502"/>
      <c r="J82" s="199">
        <v>70</v>
      </c>
      <c r="K82" s="200"/>
      <c r="L82" s="200" t="s">
        <v>483</v>
      </c>
      <c r="M82" s="201" t="s">
        <v>661</v>
      </c>
      <c r="N82" s="536"/>
      <c r="O82" s="202">
        <v>1</v>
      </c>
      <c r="P82" s="201" t="s">
        <v>93</v>
      </c>
      <c r="Q82" s="201" t="s">
        <v>171</v>
      </c>
      <c r="R82" s="201" t="s">
        <v>198</v>
      </c>
      <c r="S82" s="201" t="s">
        <v>1575</v>
      </c>
      <c r="T82" s="201" t="s">
        <v>106</v>
      </c>
      <c r="U82" s="203">
        <v>44.940800000000003</v>
      </c>
      <c r="V82" s="203">
        <v>132.06399999999999</v>
      </c>
      <c r="W82" s="204"/>
      <c r="X82" s="205"/>
      <c r="Y82" s="203"/>
      <c r="Z82" s="206">
        <v>40276</v>
      </c>
      <c r="AA82" s="206" t="s">
        <v>79</v>
      </c>
      <c r="AB82" s="207">
        <v>1</v>
      </c>
      <c r="AC82" s="208" t="s">
        <v>80</v>
      </c>
      <c r="AD82" s="209">
        <v>518400000</v>
      </c>
      <c r="AE82" s="209">
        <v>518400000</v>
      </c>
      <c r="AF82" s="207"/>
      <c r="AG82" s="207"/>
      <c r="AH82" s="209"/>
      <c r="AI82" s="207"/>
      <c r="AJ82" s="208"/>
      <c r="AK82" s="209"/>
      <c r="AL82" s="209"/>
      <c r="AM82" s="206"/>
      <c r="AN82" s="207"/>
      <c r="AO82" s="208"/>
      <c r="AP82" s="209"/>
      <c r="AQ82" s="209"/>
      <c r="AR82" s="207"/>
      <c r="AS82" s="207"/>
      <c r="AT82" s="209"/>
      <c r="AU82" s="209"/>
      <c r="AV82" s="209"/>
      <c r="AW82" s="466" t="s">
        <v>1313</v>
      </c>
      <c r="AX82" s="466" t="s">
        <v>1313</v>
      </c>
      <c r="AY82" s="466" t="s">
        <v>1313</v>
      </c>
      <c r="AZ82" s="466" t="s">
        <v>1313</v>
      </c>
      <c r="BA82" s="466" t="s">
        <v>1313</v>
      </c>
      <c r="BB82" s="466" t="s">
        <v>1313</v>
      </c>
      <c r="BC82" s="207" t="s">
        <v>1320</v>
      </c>
      <c r="BD82" s="210">
        <v>444343557</v>
      </c>
      <c r="BE82" s="210"/>
      <c r="BF82" s="207" t="s">
        <v>101</v>
      </c>
      <c r="BG82" s="207"/>
      <c r="BH82" s="207" t="s">
        <v>200</v>
      </c>
      <c r="BI82" s="207" t="s">
        <v>1576</v>
      </c>
      <c r="BJ82" s="207"/>
      <c r="BK82" s="206">
        <v>42416</v>
      </c>
      <c r="BL82" s="206">
        <v>42489</v>
      </c>
      <c r="BM82" s="206"/>
      <c r="BN82" s="206"/>
      <c r="BO82" s="211"/>
      <c r="BP82" s="207"/>
      <c r="BQ82" s="207"/>
      <c r="BR82" s="206"/>
      <c r="BS82" s="206"/>
      <c r="BT82" s="212"/>
      <c r="BU82" s="212"/>
      <c r="BV82" s="206"/>
      <c r="BW82" s="212"/>
      <c r="BX82" s="206"/>
      <c r="BY82" s="212"/>
      <c r="BZ82" s="206"/>
      <c r="CA82" s="206">
        <v>42482</v>
      </c>
      <c r="CB82" s="213" t="s">
        <v>134</v>
      </c>
      <c r="CC82" s="212"/>
      <c r="CD82" s="212">
        <v>660000000</v>
      </c>
      <c r="CE82" s="212"/>
      <c r="CF82" s="212"/>
      <c r="CG82" s="212">
        <v>660000000</v>
      </c>
      <c r="CH82" s="200"/>
      <c r="CI82" s="212"/>
      <c r="CJ82" s="255" t="s">
        <v>416</v>
      </c>
    </row>
    <row r="83" spans="1:88" s="503" customFormat="1" ht="14.1" hidden="1" customHeight="1">
      <c r="A83" s="483" t="s">
        <v>3424</v>
      </c>
      <c r="B83" s="478" t="s">
        <v>3261</v>
      </c>
      <c r="C83" s="251" t="s">
        <v>3423</v>
      </c>
      <c r="D83" s="517" t="s">
        <v>3423</v>
      </c>
      <c r="E83" s="500">
        <v>429294722</v>
      </c>
      <c r="F83" s="251" t="s">
        <v>3186</v>
      </c>
      <c r="G83" s="501"/>
      <c r="H83" s="502"/>
      <c r="J83" s="199">
        <v>71</v>
      </c>
      <c r="K83" s="200"/>
      <c r="L83" s="200" t="s">
        <v>484</v>
      </c>
      <c r="M83" s="201" t="s">
        <v>152</v>
      </c>
      <c r="N83" s="536"/>
      <c r="O83" s="202">
        <v>1</v>
      </c>
      <c r="P83" s="201" t="s">
        <v>93</v>
      </c>
      <c r="Q83" s="201" t="s">
        <v>100</v>
      </c>
      <c r="R83" s="201" t="s">
        <v>1577</v>
      </c>
      <c r="S83" s="201" t="s">
        <v>1578</v>
      </c>
      <c r="T83" s="201" t="s">
        <v>106</v>
      </c>
      <c r="U83" s="203">
        <v>158.5949</v>
      </c>
      <c r="V83" s="203">
        <v>147.22</v>
      </c>
      <c r="W83" s="204"/>
      <c r="X83" s="205"/>
      <c r="Y83" s="203"/>
      <c r="Z83" s="206">
        <v>41358</v>
      </c>
      <c r="AA83" s="206" t="s">
        <v>79</v>
      </c>
      <c r="AB83" s="207" t="s">
        <v>89</v>
      </c>
      <c r="AC83" s="208" t="s">
        <v>80</v>
      </c>
      <c r="AD83" s="209">
        <v>516000000</v>
      </c>
      <c r="AE83" s="209">
        <v>516000000</v>
      </c>
      <c r="AF83" s="207"/>
      <c r="AG83" s="207"/>
      <c r="AH83" s="209"/>
      <c r="AI83" s="207"/>
      <c r="AJ83" s="208"/>
      <c r="AK83" s="209"/>
      <c r="AL83" s="209"/>
      <c r="AM83" s="206"/>
      <c r="AN83" s="207"/>
      <c r="AO83" s="208"/>
      <c r="AP83" s="209"/>
      <c r="AQ83" s="209"/>
      <c r="AR83" s="207"/>
      <c r="AS83" s="207"/>
      <c r="AT83" s="209"/>
      <c r="AU83" s="209"/>
      <c r="AV83" s="209"/>
      <c r="AW83" s="466" t="s">
        <v>1313</v>
      </c>
      <c r="AX83" s="466" t="s">
        <v>1313</v>
      </c>
      <c r="AY83" s="466" t="s">
        <v>1313</v>
      </c>
      <c r="AZ83" s="466" t="s">
        <v>1313</v>
      </c>
      <c r="BA83" s="466" t="s">
        <v>1313</v>
      </c>
      <c r="BB83" s="466" t="s">
        <v>1313</v>
      </c>
      <c r="BC83" s="207" t="s">
        <v>82</v>
      </c>
      <c r="BD83" s="210"/>
      <c r="BE83" s="210"/>
      <c r="BF83" s="207"/>
      <c r="BG83" s="207"/>
      <c r="BH83" s="207"/>
      <c r="BI83" s="207"/>
      <c r="BJ83" s="207"/>
      <c r="BK83" s="206"/>
      <c r="BL83" s="206"/>
      <c r="BM83" s="206"/>
      <c r="BN83" s="206"/>
      <c r="BO83" s="211"/>
      <c r="BP83" s="207"/>
      <c r="BQ83" s="207"/>
      <c r="BR83" s="206"/>
      <c r="BS83" s="206"/>
      <c r="BT83" s="212"/>
      <c r="BU83" s="212"/>
      <c r="BV83" s="206"/>
      <c r="BW83" s="212"/>
      <c r="BX83" s="206"/>
      <c r="BY83" s="212"/>
      <c r="BZ83" s="206"/>
      <c r="CA83" s="206">
        <v>42482</v>
      </c>
      <c r="CB83" s="213" t="s">
        <v>134</v>
      </c>
      <c r="CC83" s="212"/>
      <c r="CD83" s="212">
        <v>560000000</v>
      </c>
      <c r="CE83" s="212"/>
      <c r="CF83" s="212"/>
      <c r="CG83" s="212">
        <v>560000000</v>
      </c>
      <c r="CH83" s="200"/>
      <c r="CI83" s="212"/>
      <c r="CJ83" s="255" t="s">
        <v>416</v>
      </c>
    </row>
    <row r="84" spans="1:88" s="503" customFormat="1" ht="14.1" hidden="1" customHeight="1">
      <c r="A84" s="483" t="s">
        <v>3424</v>
      </c>
      <c r="B84" s="478" t="s">
        <v>3262</v>
      </c>
      <c r="C84" s="251" t="s">
        <v>3423</v>
      </c>
      <c r="D84" s="517" t="s">
        <v>3423</v>
      </c>
      <c r="E84" s="500">
        <v>423212833</v>
      </c>
      <c r="F84" s="251" t="s">
        <v>3187</v>
      </c>
      <c r="G84" s="501"/>
      <c r="H84" s="502"/>
      <c r="J84" s="199">
        <v>72</v>
      </c>
      <c r="K84" s="200"/>
      <c r="L84" s="200" t="s">
        <v>485</v>
      </c>
      <c r="M84" s="201" t="s">
        <v>202</v>
      </c>
      <c r="N84" s="536"/>
      <c r="O84" s="202">
        <v>1</v>
      </c>
      <c r="P84" s="201" t="s">
        <v>210</v>
      </c>
      <c r="Q84" s="201" t="s">
        <v>1435</v>
      </c>
      <c r="R84" s="201" t="s">
        <v>1579</v>
      </c>
      <c r="S84" s="201" t="s">
        <v>1580</v>
      </c>
      <c r="T84" s="201" t="s">
        <v>106</v>
      </c>
      <c r="U84" s="203">
        <v>58.514000000000003</v>
      </c>
      <c r="V84" s="203">
        <v>132.55600000000001</v>
      </c>
      <c r="W84" s="204"/>
      <c r="X84" s="205"/>
      <c r="Y84" s="203"/>
      <c r="Z84" s="206">
        <v>41192</v>
      </c>
      <c r="AA84" s="206" t="s">
        <v>79</v>
      </c>
      <c r="AB84" s="207" t="s">
        <v>91</v>
      </c>
      <c r="AC84" s="208" t="s">
        <v>80</v>
      </c>
      <c r="AD84" s="209">
        <v>417600000</v>
      </c>
      <c r="AE84" s="209">
        <v>417600000</v>
      </c>
      <c r="AF84" s="207"/>
      <c r="AG84" s="207"/>
      <c r="AH84" s="209"/>
      <c r="AI84" s="207"/>
      <c r="AJ84" s="208"/>
      <c r="AK84" s="209"/>
      <c r="AL84" s="209"/>
      <c r="AM84" s="206"/>
      <c r="AN84" s="207"/>
      <c r="AO84" s="208"/>
      <c r="AP84" s="209"/>
      <c r="AQ84" s="209"/>
      <c r="AR84" s="207"/>
      <c r="AS84" s="207"/>
      <c r="AT84" s="209"/>
      <c r="AU84" s="209"/>
      <c r="AV84" s="209"/>
      <c r="AW84" s="466" t="s">
        <v>1313</v>
      </c>
      <c r="AX84" s="466" t="s">
        <v>1313</v>
      </c>
      <c r="AY84" s="466" t="s">
        <v>1313</v>
      </c>
      <c r="AZ84" s="466" t="s">
        <v>1313</v>
      </c>
      <c r="BA84" s="466" t="s">
        <v>1313</v>
      </c>
      <c r="BB84" s="466" t="s">
        <v>1313</v>
      </c>
      <c r="BC84" s="207" t="s">
        <v>1320</v>
      </c>
      <c r="BD84" s="210">
        <v>417600000</v>
      </c>
      <c r="BE84" s="210"/>
      <c r="BF84" s="207" t="s">
        <v>101</v>
      </c>
      <c r="BG84" s="207"/>
      <c r="BH84" s="207" t="s">
        <v>1397</v>
      </c>
      <c r="BI84" s="207" t="s">
        <v>1581</v>
      </c>
      <c r="BJ84" s="207"/>
      <c r="BK84" s="206">
        <v>42451</v>
      </c>
      <c r="BL84" s="206">
        <v>42537</v>
      </c>
      <c r="BM84" s="206"/>
      <c r="BN84" s="206"/>
      <c r="BO84" s="211"/>
      <c r="BP84" s="207"/>
      <c r="BQ84" s="207"/>
      <c r="BR84" s="206"/>
      <c r="BS84" s="206"/>
      <c r="BT84" s="212"/>
      <c r="BU84" s="212"/>
      <c r="BV84" s="206"/>
      <c r="BW84" s="212"/>
      <c r="BX84" s="206"/>
      <c r="BY84" s="212"/>
      <c r="BZ84" s="206"/>
      <c r="CA84" s="206">
        <v>42482</v>
      </c>
      <c r="CB84" s="213" t="s">
        <v>134</v>
      </c>
      <c r="CC84" s="212"/>
      <c r="CD84" s="212">
        <v>425000000</v>
      </c>
      <c r="CE84" s="212"/>
      <c r="CF84" s="212"/>
      <c r="CG84" s="212">
        <v>425000000</v>
      </c>
      <c r="CH84" s="200"/>
      <c r="CI84" s="212"/>
      <c r="CJ84" s="255" t="s">
        <v>416</v>
      </c>
    </row>
    <row r="85" spans="1:88" s="503" customFormat="1" ht="14.1" hidden="1" customHeight="1">
      <c r="A85" s="483" t="s">
        <v>3424</v>
      </c>
      <c r="B85" s="478" t="s">
        <v>3263</v>
      </c>
      <c r="C85" s="521" t="s">
        <v>3435</v>
      </c>
      <c r="D85" s="521" t="s">
        <v>3435</v>
      </c>
      <c r="E85" s="500">
        <v>412993252</v>
      </c>
      <c r="F85" s="251" t="s">
        <v>3189</v>
      </c>
      <c r="G85" s="501"/>
      <c r="H85" s="502"/>
      <c r="J85" s="199">
        <v>73</v>
      </c>
      <c r="K85" s="200"/>
      <c r="L85" s="200" t="s">
        <v>486</v>
      </c>
      <c r="M85" s="201" t="s">
        <v>183</v>
      </c>
      <c r="N85" s="536"/>
      <c r="O85" s="202">
        <v>1</v>
      </c>
      <c r="P85" s="201" t="s">
        <v>93</v>
      </c>
      <c r="Q85" s="201" t="s">
        <v>128</v>
      </c>
      <c r="R85" s="201" t="s">
        <v>1582</v>
      </c>
      <c r="S85" s="201" t="s">
        <v>1583</v>
      </c>
      <c r="T85" s="201" t="s">
        <v>122</v>
      </c>
      <c r="U85" s="203">
        <v>76.540000000000006</v>
      </c>
      <c r="V85" s="203">
        <v>216.96</v>
      </c>
      <c r="W85" s="204"/>
      <c r="X85" s="205"/>
      <c r="Y85" s="203"/>
      <c r="Z85" s="206">
        <v>39314</v>
      </c>
      <c r="AA85" s="206" t="s">
        <v>79</v>
      </c>
      <c r="AB85" s="207">
        <v>1</v>
      </c>
      <c r="AC85" s="208" t="s">
        <v>80</v>
      </c>
      <c r="AD85" s="209">
        <v>546000000</v>
      </c>
      <c r="AE85" s="209">
        <v>546000000</v>
      </c>
      <c r="AF85" s="207"/>
      <c r="AG85" s="207"/>
      <c r="AH85" s="209"/>
      <c r="AI85" s="207"/>
      <c r="AJ85" s="208"/>
      <c r="AK85" s="209"/>
      <c r="AL85" s="209"/>
      <c r="AM85" s="206"/>
      <c r="AN85" s="207"/>
      <c r="AO85" s="208"/>
      <c r="AP85" s="209"/>
      <c r="AQ85" s="209"/>
      <c r="AR85" s="207"/>
      <c r="AS85" s="207"/>
      <c r="AT85" s="209"/>
      <c r="AU85" s="209"/>
      <c r="AV85" s="209"/>
      <c r="AW85" s="466" t="s">
        <v>1313</v>
      </c>
      <c r="AX85" s="466" t="s">
        <v>1313</v>
      </c>
      <c r="AY85" s="466" t="s">
        <v>1313</v>
      </c>
      <c r="AZ85" s="466" t="s">
        <v>1313</v>
      </c>
      <c r="BA85" s="466" t="s">
        <v>1313</v>
      </c>
      <c r="BB85" s="466" t="s">
        <v>1313</v>
      </c>
      <c r="BC85" s="207" t="s">
        <v>1320</v>
      </c>
      <c r="BD85" s="210">
        <v>432169564</v>
      </c>
      <c r="BE85" s="210"/>
      <c r="BF85" s="207" t="s">
        <v>101</v>
      </c>
      <c r="BG85" s="207"/>
      <c r="BH85" s="207" t="s">
        <v>115</v>
      </c>
      <c r="BI85" s="207" t="s">
        <v>1584</v>
      </c>
      <c r="BJ85" s="207"/>
      <c r="BK85" s="206">
        <v>42475</v>
      </c>
      <c r="BL85" s="206">
        <v>42555</v>
      </c>
      <c r="BM85" s="206"/>
      <c r="BN85" s="206"/>
      <c r="BO85" s="211"/>
      <c r="BP85" s="207"/>
      <c r="BQ85" s="207"/>
      <c r="BR85" s="206"/>
      <c r="BS85" s="206"/>
      <c r="BT85" s="212"/>
      <c r="BU85" s="212"/>
      <c r="BV85" s="206"/>
      <c r="BW85" s="212"/>
      <c r="BX85" s="206"/>
      <c r="BY85" s="212"/>
      <c r="BZ85" s="206"/>
      <c r="CA85" s="206">
        <v>39308</v>
      </c>
      <c r="CB85" s="213" t="s">
        <v>223</v>
      </c>
      <c r="CC85" s="212"/>
      <c r="CD85" s="212">
        <v>600000000</v>
      </c>
      <c r="CE85" s="212"/>
      <c r="CF85" s="212"/>
      <c r="CG85" s="212">
        <v>600000000</v>
      </c>
      <c r="CH85" s="200"/>
      <c r="CI85" s="212"/>
      <c r="CJ85" s="255" t="s">
        <v>1585</v>
      </c>
    </row>
    <row r="86" spans="1:88" s="503" customFormat="1" ht="14.1" hidden="1" customHeight="1">
      <c r="A86" s="483" t="s">
        <v>3424</v>
      </c>
      <c r="B86" s="478" t="s">
        <v>3264</v>
      </c>
      <c r="C86" s="521" t="s">
        <v>3435</v>
      </c>
      <c r="D86" s="521" t="s">
        <v>3435</v>
      </c>
      <c r="E86" s="500">
        <v>424039797</v>
      </c>
      <c r="F86" s="251" t="s">
        <v>3187</v>
      </c>
      <c r="G86" s="501"/>
      <c r="H86" s="502"/>
      <c r="J86" s="199">
        <v>74</v>
      </c>
      <c r="K86" s="200"/>
      <c r="L86" s="200" t="s">
        <v>487</v>
      </c>
      <c r="M86" s="201" t="s">
        <v>208</v>
      </c>
      <c r="N86" s="536"/>
      <c r="O86" s="202">
        <v>1</v>
      </c>
      <c r="P86" s="201" t="s">
        <v>83</v>
      </c>
      <c r="Q86" s="201" t="s">
        <v>184</v>
      </c>
      <c r="R86" s="201" t="s">
        <v>1586</v>
      </c>
      <c r="S86" s="201" t="s">
        <v>1587</v>
      </c>
      <c r="T86" s="201" t="s">
        <v>122</v>
      </c>
      <c r="U86" s="203">
        <v>110.64700000000001</v>
      </c>
      <c r="V86" s="203">
        <v>357.95</v>
      </c>
      <c r="W86" s="204"/>
      <c r="X86" s="205"/>
      <c r="Y86" s="203"/>
      <c r="Z86" s="206">
        <v>37637</v>
      </c>
      <c r="AA86" s="206" t="s">
        <v>79</v>
      </c>
      <c r="AB86" s="207" t="s">
        <v>89</v>
      </c>
      <c r="AC86" s="208" t="s">
        <v>80</v>
      </c>
      <c r="AD86" s="209">
        <v>845000000</v>
      </c>
      <c r="AE86" s="209">
        <v>845000000</v>
      </c>
      <c r="AF86" s="207"/>
      <c r="AG86" s="207"/>
      <c r="AH86" s="209"/>
      <c r="AI86" s="207"/>
      <c r="AJ86" s="208"/>
      <c r="AK86" s="209"/>
      <c r="AL86" s="209"/>
      <c r="AM86" s="206"/>
      <c r="AN86" s="207"/>
      <c r="AO86" s="208"/>
      <c r="AP86" s="209"/>
      <c r="AQ86" s="209"/>
      <c r="AR86" s="207"/>
      <c r="AS86" s="207"/>
      <c r="AT86" s="209"/>
      <c r="AU86" s="209"/>
      <c r="AV86" s="209"/>
      <c r="AW86" s="466" t="s">
        <v>1313</v>
      </c>
      <c r="AX86" s="466" t="s">
        <v>1313</v>
      </c>
      <c r="AY86" s="466" t="s">
        <v>1313</v>
      </c>
      <c r="AZ86" s="466" t="s">
        <v>1313</v>
      </c>
      <c r="BA86" s="466" t="s">
        <v>1313</v>
      </c>
      <c r="BB86" s="466" t="s">
        <v>1313</v>
      </c>
      <c r="BC86" s="207" t="s">
        <v>82</v>
      </c>
      <c r="BD86" s="210"/>
      <c r="BE86" s="210"/>
      <c r="BF86" s="207"/>
      <c r="BG86" s="207"/>
      <c r="BH86" s="207"/>
      <c r="BI86" s="207"/>
      <c r="BJ86" s="207"/>
      <c r="BK86" s="206"/>
      <c r="BL86" s="206"/>
      <c r="BM86" s="206"/>
      <c r="BN86" s="206"/>
      <c r="BO86" s="211"/>
      <c r="BP86" s="207"/>
      <c r="BQ86" s="207"/>
      <c r="BR86" s="206"/>
      <c r="BS86" s="206"/>
      <c r="BT86" s="212"/>
      <c r="BU86" s="212"/>
      <c r="BV86" s="206"/>
      <c r="BW86" s="212"/>
      <c r="BX86" s="206"/>
      <c r="BY86" s="212"/>
      <c r="BZ86" s="206"/>
      <c r="CA86" s="206">
        <v>37733</v>
      </c>
      <c r="CB86" s="213" t="s">
        <v>1545</v>
      </c>
      <c r="CC86" s="212"/>
      <c r="CD86" s="212">
        <v>950000000</v>
      </c>
      <c r="CE86" s="212"/>
      <c r="CF86" s="212"/>
      <c r="CG86" s="212">
        <v>950000000</v>
      </c>
      <c r="CH86" s="200"/>
      <c r="CI86" s="212"/>
      <c r="CJ86" s="255" t="s">
        <v>1588</v>
      </c>
    </row>
    <row r="87" spans="1:88" s="503" customFormat="1" ht="14.1" hidden="1" customHeight="1">
      <c r="A87" s="483" t="s">
        <v>3424</v>
      </c>
      <c r="B87" s="478" t="s">
        <v>3265</v>
      </c>
      <c r="C87" s="521" t="s">
        <v>3435</v>
      </c>
      <c r="D87" s="521" t="s">
        <v>3435</v>
      </c>
      <c r="E87" s="500">
        <v>389666170</v>
      </c>
      <c r="F87" s="251" t="s">
        <v>3184</v>
      </c>
      <c r="G87" s="501"/>
      <c r="H87" s="502"/>
      <c r="J87" s="199">
        <v>75</v>
      </c>
      <c r="K87" s="200"/>
      <c r="L87" s="200" t="s">
        <v>488</v>
      </c>
      <c r="M87" s="201" t="s">
        <v>662</v>
      </c>
      <c r="N87" s="536"/>
      <c r="O87" s="202">
        <v>1</v>
      </c>
      <c r="P87" s="201" t="s">
        <v>93</v>
      </c>
      <c r="Q87" s="201" t="s">
        <v>1589</v>
      </c>
      <c r="R87" s="201" t="s">
        <v>1590</v>
      </c>
      <c r="S87" s="201" t="s">
        <v>1591</v>
      </c>
      <c r="T87" s="201" t="s">
        <v>122</v>
      </c>
      <c r="U87" s="203">
        <v>77.2</v>
      </c>
      <c r="V87" s="203">
        <v>237.6</v>
      </c>
      <c r="W87" s="204"/>
      <c r="X87" s="205"/>
      <c r="Y87" s="203"/>
      <c r="Z87" s="206">
        <v>41899</v>
      </c>
      <c r="AA87" s="206" t="s">
        <v>79</v>
      </c>
      <c r="AB87" s="207">
        <v>1</v>
      </c>
      <c r="AC87" s="208" t="s">
        <v>80</v>
      </c>
      <c r="AD87" s="209">
        <v>420000000</v>
      </c>
      <c r="AE87" s="209">
        <v>420000000</v>
      </c>
      <c r="AF87" s="207"/>
      <c r="AG87" s="207"/>
      <c r="AH87" s="209"/>
      <c r="AI87" s="207"/>
      <c r="AJ87" s="208"/>
      <c r="AK87" s="209"/>
      <c r="AL87" s="209"/>
      <c r="AM87" s="206"/>
      <c r="AN87" s="207"/>
      <c r="AO87" s="208"/>
      <c r="AP87" s="209"/>
      <c r="AQ87" s="209"/>
      <c r="AR87" s="207"/>
      <c r="AS87" s="207"/>
      <c r="AT87" s="209"/>
      <c r="AU87" s="209"/>
      <c r="AV87" s="209"/>
      <c r="AW87" s="466" t="s">
        <v>1313</v>
      </c>
      <c r="AX87" s="466" t="s">
        <v>1313</v>
      </c>
      <c r="AY87" s="466" t="s">
        <v>1313</v>
      </c>
      <c r="AZ87" s="466" t="s">
        <v>1313</v>
      </c>
      <c r="BA87" s="466" t="s">
        <v>1313</v>
      </c>
      <c r="BB87" s="466" t="s">
        <v>1313</v>
      </c>
      <c r="BC87" s="207" t="s">
        <v>1320</v>
      </c>
      <c r="BD87" s="210">
        <v>398759572</v>
      </c>
      <c r="BE87" s="210"/>
      <c r="BF87" s="207" t="s">
        <v>101</v>
      </c>
      <c r="BG87" s="207"/>
      <c r="BH87" s="207" t="s">
        <v>200</v>
      </c>
      <c r="BI87" s="207" t="s">
        <v>1592</v>
      </c>
      <c r="BJ87" s="207"/>
      <c r="BK87" s="206">
        <v>42475</v>
      </c>
      <c r="BL87" s="206">
        <v>42555</v>
      </c>
      <c r="BM87" s="206"/>
      <c r="BN87" s="206"/>
      <c r="BO87" s="211"/>
      <c r="BP87" s="207"/>
      <c r="BQ87" s="207"/>
      <c r="BR87" s="206"/>
      <c r="BS87" s="206"/>
      <c r="BT87" s="212"/>
      <c r="BU87" s="212"/>
      <c r="BV87" s="206"/>
      <c r="BW87" s="212"/>
      <c r="BX87" s="206"/>
      <c r="BY87" s="212"/>
      <c r="BZ87" s="206"/>
      <c r="CA87" s="206">
        <v>41884</v>
      </c>
      <c r="CB87" s="213" t="s">
        <v>1314</v>
      </c>
      <c r="CC87" s="212"/>
      <c r="CD87" s="212">
        <v>420000000</v>
      </c>
      <c r="CE87" s="212"/>
      <c r="CF87" s="212"/>
      <c r="CG87" s="212">
        <v>420000000</v>
      </c>
      <c r="CH87" s="200"/>
      <c r="CI87" s="212"/>
      <c r="CJ87" s="255" t="s">
        <v>416</v>
      </c>
    </row>
    <row r="88" spans="1:88" s="503" customFormat="1" ht="14.1" hidden="1" customHeight="1">
      <c r="A88" s="483" t="s">
        <v>3424</v>
      </c>
      <c r="B88" s="478" t="s">
        <v>3266</v>
      </c>
      <c r="C88" s="251" t="s">
        <v>3423</v>
      </c>
      <c r="D88" s="517" t="s">
        <v>3423</v>
      </c>
      <c r="E88" s="500">
        <v>282400000</v>
      </c>
      <c r="F88" s="251" t="s">
        <v>3184</v>
      </c>
      <c r="G88" s="501"/>
      <c r="H88" s="502"/>
      <c r="J88" s="199">
        <v>76</v>
      </c>
      <c r="K88" s="200"/>
      <c r="L88" s="200" t="s">
        <v>489</v>
      </c>
      <c r="M88" s="201" t="s">
        <v>130</v>
      </c>
      <c r="N88" s="536"/>
      <c r="O88" s="202">
        <v>1</v>
      </c>
      <c r="P88" s="201" t="s">
        <v>164</v>
      </c>
      <c r="Q88" s="201" t="s">
        <v>165</v>
      </c>
      <c r="R88" s="201" t="s">
        <v>166</v>
      </c>
      <c r="S88" s="201" t="s">
        <v>1593</v>
      </c>
      <c r="T88" s="201" t="s">
        <v>106</v>
      </c>
      <c r="U88" s="203">
        <v>21.707999999999998</v>
      </c>
      <c r="V88" s="203">
        <v>99.126000000000005</v>
      </c>
      <c r="W88" s="204"/>
      <c r="X88" s="205"/>
      <c r="Y88" s="203"/>
      <c r="Z88" s="206">
        <v>40410</v>
      </c>
      <c r="AA88" s="206" t="s">
        <v>79</v>
      </c>
      <c r="AB88" s="207">
        <v>1</v>
      </c>
      <c r="AC88" s="208" t="s">
        <v>80</v>
      </c>
      <c r="AD88" s="209">
        <v>280080000</v>
      </c>
      <c r="AE88" s="209">
        <v>280080000</v>
      </c>
      <c r="AF88" s="207"/>
      <c r="AG88" s="207"/>
      <c r="AH88" s="209"/>
      <c r="AI88" s="207"/>
      <c r="AJ88" s="208"/>
      <c r="AK88" s="209"/>
      <c r="AL88" s="209"/>
      <c r="AM88" s="206"/>
      <c r="AN88" s="207"/>
      <c r="AO88" s="208"/>
      <c r="AP88" s="209"/>
      <c r="AQ88" s="209"/>
      <c r="AR88" s="207"/>
      <c r="AS88" s="207"/>
      <c r="AT88" s="209"/>
      <c r="AU88" s="209"/>
      <c r="AV88" s="209"/>
      <c r="AW88" s="466" t="s">
        <v>1313</v>
      </c>
      <c r="AX88" s="466" t="s">
        <v>1313</v>
      </c>
      <c r="AY88" s="466" t="s">
        <v>1313</v>
      </c>
      <c r="AZ88" s="466" t="s">
        <v>1313</v>
      </c>
      <c r="BA88" s="466" t="s">
        <v>1313</v>
      </c>
      <c r="BB88" s="466" t="s">
        <v>1313</v>
      </c>
      <c r="BC88" s="207" t="s">
        <v>82</v>
      </c>
      <c r="BD88" s="210"/>
      <c r="BE88" s="210"/>
      <c r="BF88" s="207"/>
      <c r="BG88" s="207"/>
      <c r="BH88" s="207"/>
      <c r="BI88" s="207"/>
      <c r="BJ88" s="207"/>
      <c r="BK88" s="206"/>
      <c r="BL88" s="206"/>
      <c r="BM88" s="206"/>
      <c r="BN88" s="206"/>
      <c r="BO88" s="211"/>
      <c r="BP88" s="207"/>
      <c r="BQ88" s="207"/>
      <c r="BR88" s="206"/>
      <c r="BS88" s="206"/>
      <c r="BT88" s="212"/>
      <c r="BU88" s="212"/>
      <c r="BV88" s="206"/>
      <c r="BW88" s="212"/>
      <c r="BX88" s="206"/>
      <c r="BY88" s="212"/>
      <c r="BZ88" s="206"/>
      <c r="CA88" s="206">
        <v>42482</v>
      </c>
      <c r="CB88" s="213" t="s">
        <v>134</v>
      </c>
      <c r="CC88" s="212"/>
      <c r="CD88" s="212">
        <v>397500000</v>
      </c>
      <c r="CE88" s="212"/>
      <c r="CF88" s="212"/>
      <c r="CG88" s="212">
        <v>397500000</v>
      </c>
      <c r="CH88" s="200"/>
      <c r="CI88" s="212"/>
      <c r="CJ88" s="255" t="s">
        <v>416</v>
      </c>
    </row>
    <row r="89" spans="1:88" s="503" customFormat="1" ht="14.1" hidden="1" customHeight="1">
      <c r="A89" s="483" t="s">
        <v>3424</v>
      </c>
      <c r="B89" s="478" t="s">
        <v>3267</v>
      </c>
      <c r="C89" s="521" t="s">
        <v>3435</v>
      </c>
      <c r="D89" s="521" t="s">
        <v>3435</v>
      </c>
      <c r="E89" s="500">
        <v>370617932</v>
      </c>
      <c r="F89" s="251" t="s">
        <v>3186</v>
      </c>
      <c r="G89" s="501"/>
      <c r="H89" s="502"/>
      <c r="J89" s="199">
        <v>77</v>
      </c>
      <c r="K89" s="200"/>
      <c r="L89" s="200" t="s">
        <v>490</v>
      </c>
      <c r="M89" s="201" t="s">
        <v>152</v>
      </c>
      <c r="N89" s="536"/>
      <c r="O89" s="202">
        <v>1</v>
      </c>
      <c r="P89" s="201" t="s">
        <v>93</v>
      </c>
      <c r="Q89" s="201" t="s">
        <v>1594</v>
      </c>
      <c r="R89" s="201" t="s">
        <v>1595</v>
      </c>
      <c r="S89" s="201" t="s">
        <v>1596</v>
      </c>
      <c r="T89" s="201" t="s">
        <v>112</v>
      </c>
      <c r="U89" s="203">
        <v>161.82320000000001</v>
      </c>
      <c r="V89" s="203">
        <v>135.15119999999999</v>
      </c>
      <c r="W89" s="204"/>
      <c r="X89" s="205"/>
      <c r="Y89" s="203"/>
      <c r="Z89" s="206">
        <v>39625</v>
      </c>
      <c r="AA89" s="206" t="s">
        <v>79</v>
      </c>
      <c r="AB89" s="207">
        <v>1</v>
      </c>
      <c r="AC89" s="208" t="s">
        <v>80</v>
      </c>
      <c r="AD89" s="209">
        <v>522000000</v>
      </c>
      <c r="AE89" s="209">
        <v>522000000</v>
      </c>
      <c r="AF89" s="207"/>
      <c r="AG89" s="207"/>
      <c r="AH89" s="209"/>
      <c r="AI89" s="207"/>
      <c r="AJ89" s="208"/>
      <c r="AK89" s="209"/>
      <c r="AL89" s="209"/>
      <c r="AM89" s="206"/>
      <c r="AN89" s="207"/>
      <c r="AO89" s="208"/>
      <c r="AP89" s="209"/>
      <c r="AQ89" s="209"/>
      <c r="AR89" s="207"/>
      <c r="AS89" s="207"/>
      <c r="AT89" s="209"/>
      <c r="AU89" s="209"/>
      <c r="AV89" s="209"/>
      <c r="AW89" s="466" t="s">
        <v>1313</v>
      </c>
      <c r="AX89" s="466" t="s">
        <v>1313</v>
      </c>
      <c r="AY89" s="466" t="s">
        <v>1313</v>
      </c>
      <c r="AZ89" s="466" t="s">
        <v>1313</v>
      </c>
      <c r="BA89" s="466" t="s">
        <v>1313</v>
      </c>
      <c r="BB89" s="466" t="s">
        <v>1313</v>
      </c>
      <c r="BC89" s="207" t="s">
        <v>1320</v>
      </c>
      <c r="BD89" s="210">
        <v>373993467</v>
      </c>
      <c r="BE89" s="210"/>
      <c r="BF89" s="207" t="s">
        <v>101</v>
      </c>
      <c r="BG89" s="207"/>
      <c r="BH89" s="207" t="s">
        <v>102</v>
      </c>
      <c r="BI89" s="207" t="s">
        <v>1597</v>
      </c>
      <c r="BJ89" s="207"/>
      <c r="BK89" s="206">
        <v>42436</v>
      </c>
      <c r="BL89" s="206">
        <v>42501</v>
      </c>
      <c r="BM89" s="206"/>
      <c r="BN89" s="206"/>
      <c r="BO89" s="211"/>
      <c r="BP89" s="207"/>
      <c r="BQ89" s="207"/>
      <c r="BR89" s="206"/>
      <c r="BS89" s="206"/>
      <c r="BT89" s="212"/>
      <c r="BU89" s="212"/>
      <c r="BV89" s="206"/>
      <c r="BW89" s="212"/>
      <c r="BX89" s="206"/>
      <c r="BY89" s="212"/>
      <c r="BZ89" s="206"/>
      <c r="CA89" s="206">
        <v>42145</v>
      </c>
      <c r="CB89" s="213" t="s">
        <v>1321</v>
      </c>
      <c r="CC89" s="212"/>
      <c r="CD89" s="212">
        <v>725000000</v>
      </c>
      <c r="CE89" s="212"/>
      <c r="CF89" s="212"/>
      <c r="CG89" s="212">
        <v>725000000</v>
      </c>
      <c r="CH89" s="200"/>
      <c r="CI89" s="212"/>
      <c r="CJ89" s="255" t="s">
        <v>1598</v>
      </c>
    </row>
    <row r="90" spans="1:88" s="503" customFormat="1" ht="14.1" hidden="1" customHeight="1">
      <c r="A90" s="483" t="s">
        <v>3424</v>
      </c>
      <c r="B90" s="478" t="s">
        <v>3268</v>
      </c>
      <c r="C90" s="251" t="s">
        <v>3423</v>
      </c>
      <c r="D90" s="517" t="s">
        <v>3423</v>
      </c>
      <c r="E90" s="500">
        <v>361711606</v>
      </c>
      <c r="F90" s="251" t="s">
        <v>3189</v>
      </c>
      <c r="G90" s="501"/>
      <c r="H90" s="502"/>
      <c r="J90" s="199">
        <v>78</v>
      </c>
      <c r="K90" s="200"/>
      <c r="L90" s="200" t="s">
        <v>491</v>
      </c>
      <c r="M90" s="201" t="s">
        <v>152</v>
      </c>
      <c r="N90" s="536"/>
      <c r="O90" s="202">
        <v>1</v>
      </c>
      <c r="P90" s="201" t="s">
        <v>93</v>
      </c>
      <c r="Q90" s="201" t="s">
        <v>143</v>
      </c>
      <c r="R90" s="201" t="s">
        <v>158</v>
      </c>
      <c r="S90" s="201" t="s">
        <v>1599</v>
      </c>
      <c r="T90" s="201" t="s">
        <v>106</v>
      </c>
      <c r="U90" s="203" t="s">
        <v>159</v>
      </c>
      <c r="V90" s="203">
        <v>130.0652</v>
      </c>
      <c r="W90" s="204"/>
      <c r="X90" s="205"/>
      <c r="Y90" s="203"/>
      <c r="Z90" s="206">
        <v>41240</v>
      </c>
      <c r="AA90" s="206" t="s">
        <v>79</v>
      </c>
      <c r="AB90" s="207">
        <v>1</v>
      </c>
      <c r="AC90" s="208" t="s">
        <v>80</v>
      </c>
      <c r="AD90" s="209">
        <v>428400000</v>
      </c>
      <c r="AE90" s="209">
        <v>428400000</v>
      </c>
      <c r="AF90" s="207"/>
      <c r="AG90" s="207"/>
      <c r="AH90" s="209"/>
      <c r="AI90" s="207"/>
      <c r="AJ90" s="208"/>
      <c r="AK90" s="209"/>
      <c r="AL90" s="209"/>
      <c r="AM90" s="206"/>
      <c r="AN90" s="207"/>
      <c r="AO90" s="208"/>
      <c r="AP90" s="209"/>
      <c r="AQ90" s="209"/>
      <c r="AR90" s="207"/>
      <c r="AS90" s="207"/>
      <c r="AT90" s="209"/>
      <c r="AU90" s="209"/>
      <c r="AV90" s="209"/>
      <c r="AW90" s="466" t="s">
        <v>1313</v>
      </c>
      <c r="AX90" s="466" t="s">
        <v>1313</v>
      </c>
      <c r="AY90" s="466" t="s">
        <v>1313</v>
      </c>
      <c r="AZ90" s="466" t="s">
        <v>1313</v>
      </c>
      <c r="BA90" s="466" t="s">
        <v>1313</v>
      </c>
      <c r="BB90" s="466" t="s">
        <v>1313</v>
      </c>
      <c r="BC90" s="207" t="s">
        <v>1320</v>
      </c>
      <c r="BD90" s="210">
        <v>363766608</v>
      </c>
      <c r="BE90" s="210"/>
      <c r="BF90" s="207" t="s">
        <v>101</v>
      </c>
      <c r="BG90" s="207"/>
      <c r="BH90" s="207" t="s">
        <v>144</v>
      </c>
      <c r="BI90" s="207" t="s">
        <v>1600</v>
      </c>
      <c r="BJ90" s="207"/>
      <c r="BK90" s="206">
        <v>42452</v>
      </c>
      <c r="BL90" s="206">
        <v>42541</v>
      </c>
      <c r="BM90" s="206"/>
      <c r="BN90" s="206"/>
      <c r="BO90" s="211"/>
      <c r="BP90" s="207"/>
      <c r="BQ90" s="207"/>
      <c r="BR90" s="206"/>
      <c r="BS90" s="206"/>
      <c r="BT90" s="212"/>
      <c r="BU90" s="212"/>
      <c r="BV90" s="206"/>
      <c r="BW90" s="212"/>
      <c r="BX90" s="206"/>
      <c r="BY90" s="212"/>
      <c r="BZ90" s="206"/>
      <c r="CA90" s="206">
        <v>42482</v>
      </c>
      <c r="CB90" s="213" t="s">
        <v>134</v>
      </c>
      <c r="CC90" s="212"/>
      <c r="CD90" s="212">
        <v>565000000</v>
      </c>
      <c r="CE90" s="212"/>
      <c r="CF90" s="212"/>
      <c r="CG90" s="212">
        <v>565000000</v>
      </c>
      <c r="CH90" s="200"/>
      <c r="CI90" s="212"/>
      <c r="CJ90" s="255" t="s">
        <v>416</v>
      </c>
    </row>
    <row r="91" spans="1:88" s="503" customFormat="1" ht="14.1" hidden="1" customHeight="1">
      <c r="A91" s="483" t="s">
        <v>3424</v>
      </c>
      <c r="B91" s="478" t="s">
        <v>3269</v>
      </c>
      <c r="C91" s="251" t="s">
        <v>3423</v>
      </c>
      <c r="D91" s="517" t="s">
        <v>3423</v>
      </c>
      <c r="E91" s="500">
        <v>354494803</v>
      </c>
      <c r="F91" s="251" t="s">
        <v>3187</v>
      </c>
      <c r="G91" s="501"/>
      <c r="H91" s="502"/>
      <c r="J91" s="199">
        <v>79</v>
      </c>
      <c r="K91" s="200"/>
      <c r="L91" s="200" t="s">
        <v>492</v>
      </c>
      <c r="M91" s="201" t="s">
        <v>663</v>
      </c>
      <c r="N91" s="536"/>
      <c r="O91" s="202">
        <v>1</v>
      </c>
      <c r="P91" s="201" t="s">
        <v>93</v>
      </c>
      <c r="Q91" s="201" t="s">
        <v>197</v>
      </c>
      <c r="R91" s="201" t="s">
        <v>1601</v>
      </c>
      <c r="S91" s="201" t="s">
        <v>1602</v>
      </c>
      <c r="T91" s="201" t="s">
        <v>106</v>
      </c>
      <c r="U91" s="203">
        <v>66.457999999999998</v>
      </c>
      <c r="V91" s="203">
        <v>134.66999999999999</v>
      </c>
      <c r="W91" s="204"/>
      <c r="X91" s="205"/>
      <c r="Y91" s="203"/>
      <c r="Z91" s="206">
        <v>39020</v>
      </c>
      <c r="AA91" s="206" t="s">
        <v>79</v>
      </c>
      <c r="AB91" s="207" t="s">
        <v>89</v>
      </c>
      <c r="AC91" s="208" t="s">
        <v>80</v>
      </c>
      <c r="AD91" s="209">
        <v>396000000</v>
      </c>
      <c r="AE91" s="209">
        <v>396000000</v>
      </c>
      <c r="AF91" s="207"/>
      <c r="AG91" s="207"/>
      <c r="AH91" s="209"/>
      <c r="AI91" s="207"/>
      <c r="AJ91" s="208"/>
      <c r="AK91" s="209"/>
      <c r="AL91" s="209"/>
      <c r="AM91" s="206"/>
      <c r="AN91" s="207"/>
      <c r="AO91" s="208"/>
      <c r="AP91" s="209"/>
      <c r="AQ91" s="209"/>
      <c r="AR91" s="207"/>
      <c r="AS91" s="207"/>
      <c r="AT91" s="209"/>
      <c r="AU91" s="209"/>
      <c r="AV91" s="209"/>
      <c r="AW91" s="466" t="s">
        <v>1313</v>
      </c>
      <c r="AX91" s="466" t="s">
        <v>1313</v>
      </c>
      <c r="AY91" s="466" t="s">
        <v>1313</v>
      </c>
      <c r="AZ91" s="466" t="s">
        <v>1313</v>
      </c>
      <c r="BA91" s="466" t="s">
        <v>1313</v>
      </c>
      <c r="BB91" s="466" t="s">
        <v>1313</v>
      </c>
      <c r="BC91" s="207" t="s">
        <v>1320</v>
      </c>
      <c r="BD91" s="210">
        <v>356173772</v>
      </c>
      <c r="BE91" s="210"/>
      <c r="BF91" s="207" t="s">
        <v>101</v>
      </c>
      <c r="BG91" s="207"/>
      <c r="BH91" s="207" t="s">
        <v>172</v>
      </c>
      <c r="BI91" s="207" t="s">
        <v>1603</v>
      </c>
      <c r="BJ91" s="207"/>
      <c r="BK91" s="206">
        <v>42482</v>
      </c>
      <c r="BL91" s="206">
        <v>42557</v>
      </c>
      <c r="BM91" s="206"/>
      <c r="BN91" s="206"/>
      <c r="BO91" s="211"/>
      <c r="BP91" s="207"/>
      <c r="BQ91" s="207"/>
      <c r="BR91" s="206"/>
      <c r="BS91" s="206"/>
      <c r="BT91" s="212"/>
      <c r="BU91" s="212"/>
      <c r="BV91" s="206"/>
      <c r="BW91" s="212"/>
      <c r="BX91" s="206"/>
      <c r="BY91" s="212"/>
      <c r="BZ91" s="206"/>
      <c r="CA91" s="206">
        <v>42482</v>
      </c>
      <c r="CB91" s="213" t="s">
        <v>134</v>
      </c>
      <c r="CC91" s="212"/>
      <c r="CD91" s="212">
        <v>480000000</v>
      </c>
      <c r="CE91" s="212"/>
      <c r="CF91" s="212"/>
      <c r="CG91" s="212">
        <v>480000000</v>
      </c>
      <c r="CH91" s="200"/>
      <c r="CI91" s="212"/>
      <c r="CJ91" s="255" t="s">
        <v>416</v>
      </c>
    </row>
    <row r="92" spans="1:88" s="503" customFormat="1" ht="14.1" hidden="1" customHeight="1">
      <c r="A92" s="483" t="s">
        <v>3424</v>
      </c>
      <c r="B92" s="478" t="s">
        <v>3270</v>
      </c>
      <c r="C92" s="521" t="s">
        <v>3435</v>
      </c>
      <c r="D92" s="521" t="s">
        <v>3435</v>
      </c>
      <c r="E92" s="500">
        <v>350000000</v>
      </c>
      <c r="F92" s="251" t="s">
        <v>3189</v>
      </c>
      <c r="G92" s="501"/>
      <c r="H92" s="502"/>
      <c r="J92" s="199">
        <v>80</v>
      </c>
      <c r="K92" s="200"/>
      <c r="L92" s="200" t="s">
        <v>493</v>
      </c>
      <c r="M92" s="201" t="s">
        <v>214</v>
      </c>
      <c r="N92" s="536"/>
      <c r="O92" s="202">
        <v>1</v>
      </c>
      <c r="P92" s="201" t="s">
        <v>93</v>
      </c>
      <c r="Q92" s="201" t="s">
        <v>118</v>
      </c>
      <c r="R92" s="201" t="s">
        <v>1604</v>
      </c>
      <c r="S92" s="201" t="s">
        <v>1605</v>
      </c>
      <c r="T92" s="201" t="s">
        <v>111</v>
      </c>
      <c r="U92" s="203">
        <v>979</v>
      </c>
      <c r="V92" s="203">
        <v>120.73</v>
      </c>
      <c r="W92" s="204">
        <v>5</v>
      </c>
      <c r="X92" s="205" t="s">
        <v>97</v>
      </c>
      <c r="Y92" s="203"/>
      <c r="Z92" s="206">
        <v>40071</v>
      </c>
      <c r="AA92" s="206" t="s">
        <v>79</v>
      </c>
      <c r="AB92" s="207" t="s">
        <v>89</v>
      </c>
      <c r="AC92" s="208" t="s">
        <v>80</v>
      </c>
      <c r="AD92" s="209">
        <v>455000000</v>
      </c>
      <c r="AE92" s="209">
        <v>455000000</v>
      </c>
      <c r="AF92" s="207"/>
      <c r="AG92" s="207"/>
      <c r="AH92" s="209"/>
      <c r="AI92" s="207"/>
      <c r="AJ92" s="208"/>
      <c r="AK92" s="209"/>
      <c r="AL92" s="209"/>
      <c r="AM92" s="206"/>
      <c r="AN92" s="207"/>
      <c r="AO92" s="208"/>
      <c r="AP92" s="209"/>
      <c r="AQ92" s="209"/>
      <c r="AR92" s="207"/>
      <c r="AS92" s="207"/>
      <c r="AT92" s="209"/>
      <c r="AU92" s="209"/>
      <c r="AV92" s="209"/>
      <c r="AW92" s="466" t="s">
        <v>1313</v>
      </c>
      <c r="AX92" s="466" t="s">
        <v>1313</v>
      </c>
      <c r="AY92" s="466" t="s">
        <v>1313</v>
      </c>
      <c r="AZ92" s="466" t="s">
        <v>1313</v>
      </c>
      <c r="BA92" s="466" t="s">
        <v>1313</v>
      </c>
      <c r="BB92" s="466" t="s">
        <v>1313</v>
      </c>
      <c r="BC92" s="207" t="s">
        <v>82</v>
      </c>
      <c r="BD92" s="210"/>
      <c r="BE92" s="210"/>
      <c r="BF92" s="207"/>
      <c r="BG92" s="207"/>
      <c r="BH92" s="207"/>
      <c r="BI92" s="207"/>
      <c r="BJ92" s="207"/>
      <c r="BK92" s="206"/>
      <c r="BL92" s="206"/>
      <c r="BM92" s="206"/>
      <c r="BN92" s="206"/>
      <c r="BO92" s="211"/>
      <c r="BP92" s="207"/>
      <c r="BQ92" s="207"/>
      <c r="BR92" s="206"/>
      <c r="BS92" s="206"/>
      <c r="BT92" s="212"/>
      <c r="BU92" s="212"/>
      <c r="BV92" s="206"/>
      <c r="BW92" s="212"/>
      <c r="BX92" s="206"/>
      <c r="BY92" s="212"/>
      <c r="BZ92" s="206"/>
      <c r="CA92" s="206">
        <v>42208</v>
      </c>
      <c r="CB92" s="213" t="s">
        <v>1321</v>
      </c>
      <c r="CC92" s="212">
        <v>225000000</v>
      </c>
      <c r="CD92" s="212">
        <v>77000000</v>
      </c>
      <c r="CE92" s="209" t="s">
        <v>1459</v>
      </c>
      <c r="CF92" s="212"/>
      <c r="CG92" s="212">
        <v>302000000</v>
      </c>
      <c r="CH92" s="200"/>
      <c r="CI92" s="212"/>
      <c r="CJ92" s="255" t="s">
        <v>1606</v>
      </c>
    </row>
    <row r="93" spans="1:88" s="503" customFormat="1" ht="14.1" hidden="1" customHeight="1">
      <c r="A93" s="483" t="s">
        <v>3424</v>
      </c>
      <c r="B93" s="478" t="s">
        <v>3271</v>
      </c>
      <c r="C93" s="251" t="s">
        <v>3423</v>
      </c>
      <c r="D93" s="517" t="s">
        <v>3423</v>
      </c>
      <c r="E93" s="500">
        <v>344316690</v>
      </c>
      <c r="F93" s="251" t="s">
        <v>3189</v>
      </c>
      <c r="G93" s="501"/>
      <c r="H93" s="502"/>
      <c r="J93" s="199">
        <v>81</v>
      </c>
      <c r="K93" s="200"/>
      <c r="L93" s="200" t="s">
        <v>494</v>
      </c>
      <c r="M93" s="201" t="s">
        <v>109</v>
      </c>
      <c r="N93" s="536"/>
      <c r="O93" s="202">
        <v>1</v>
      </c>
      <c r="P93" s="201" t="s">
        <v>93</v>
      </c>
      <c r="Q93" s="201" t="s">
        <v>143</v>
      </c>
      <c r="R93" s="201" t="s">
        <v>158</v>
      </c>
      <c r="S93" s="201" t="s">
        <v>1607</v>
      </c>
      <c r="T93" s="201" t="s">
        <v>106</v>
      </c>
      <c r="U93" s="203" t="s">
        <v>159</v>
      </c>
      <c r="V93" s="203">
        <v>123.2561</v>
      </c>
      <c r="W93" s="204"/>
      <c r="X93" s="205"/>
      <c r="Y93" s="203"/>
      <c r="Z93" s="206">
        <v>41330</v>
      </c>
      <c r="AA93" s="206" t="s">
        <v>79</v>
      </c>
      <c r="AB93" s="207">
        <v>1</v>
      </c>
      <c r="AC93" s="208" t="s">
        <v>80</v>
      </c>
      <c r="AD93" s="209">
        <v>417600000</v>
      </c>
      <c r="AE93" s="209">
        <v>417600000</v>
      </c>
      <c r="AF93" s="207"/>
      <c r="AG93" s="207"/>
      <c r="AH93" s="209"/>
      <c r="AI93" s="207"/>
      <c r="AJ93" s="208"/>
      <c r="AK93" s="209"/>
      <c r="AL93" s="209"/>
      <c r="AM93" s="206"/>
      <c r="AN93" s="207"/>
      <c r="AO93" s="208"/>
      <c r="AP93" s="209"/>
      <c r="AQ93" s="209"/>
      <c r="AR93" s="207"/>
      <c r="AS93" s="207"/>
      <c r="AT93" s="209"/>
      <c r="AU93" s="209"/>
      <c r="AV93" s="209"/>
      <c r="AW93" s="466" t="s">
        <v>1313</v>
      </c>
      <c r="AX93" s="466" t="s">
        <v>1313</v>
      </c>
      <c r="AY93" s="466" t="s">
        <v>1313</v>
      </c>
      <c r="AZ93" s="466" t="s">
        <v>1313</v>
      </c>
      <c r="BA93" s="466" t="s">
        <v>1313</v>
      </c>
      <c r="BB93" s="466" t="s">
        <v>1313</v>
      </c>
      <c r="BC93" s="207" t="s">
        <v>1320</v>
      </c>
      <c r="BD93" s="210">
        <v>352217824</v>
      </c>
      <c r="BE93" s="210"/>
      <c r="BF93" s="207" t="s">
        <v>101</v>
      </c>
      <c r="BG93" s="207"/>
      <c r="BH93" s="207" t="s">
        <v>144</v>
      </c>
      <c r="BI93" s="207" t="s">
        <v>1608</v>
      </c>
      <c r="BJ93" s="207"/>
      <c r="BK93" s="206">
        <v>42437</v>
      </c>
      <c r="BL93" s="206">
        <v>42528</v>
      </c>
      <c r="BM93" s="206"/>
      <c r="BN93" s="206"/>
      <c r="BO93" s="211"/>
      <c r="BP93" s="207"/>
      <c r="BQ93" s="207"/>
      <c r="BR93" s="206"/>
      <c r="BS93" s="206"/>
      <c r="BT93" s="212"/>
      <c r="BU93" s="212"/>
      <c r="BV93" s="206"/>
      <c r="BW93" s="212"/>
      <c r="BX93" s="206"/>
      <c r="BY93" s="212"/>
      <c r="BZ93" s="206"/>
      <c r="CA93" s="206">
        <v>42482</v>
      </c>
      <c r="CB93" s="213" t="s">
        <v>134</v>
      </c>
      <c r="CC93" s="212"/>
      <c r="CD93" s="212">
        <v>555000000</v>
      </c>
      <c r="CE93" s="212"/>
      <c r="CF93" s="212"/>
      <c r="CG93" s="212">
        <v>555000000</v>
      </c>
      <c r="CH93" s="200"/>
      <c r="CI93" s="212"/>
      <c r="CJ93" s="255" t="s">
        <v>416</v>
      </c>
    </row>
    <row r="94" spans="1:88" s="503" customFormat="1" ht="14.1" hidden="1" customHeight="1">
      <c r="A94" s="483" t="s">
        <v>3424</v>
      </c>
      <c r="B94" s="478" t="s">
        <v>3272</v>
      </c>
      <c r="C94" s="251" t="s">
        <v>3423</v>
      </c>
      <c r="D94" s="517" t="s">
        <v>3423</v>
      </c>
      <c r="E94" s="500">
        <v>337736567</v>
      </c>
      <c r="F94" s="251" t="s">
        <v>3186</v>
      </c>
      <c r="G94" s="501"/>
      <c r="H94" s="502"/>
      <c r="J94" s="199">
        <v>82</v>
      </c>
      <c r="K94" s="200"/>
      <c r="L94" s="200" t="s">
        <v>495</v>
      </c>
      <c r="M94" s="201" t="s">
        <v>109</v>
      </c>
      <c r="N94" s="536"/>
      <c r="O94" s="202">
        <v>1</v>
      </c>
      <c r="P94" s="201" t="s">
        <v>93</v>
      </c>
      <c r="Q94" s="201" t="s">
        <v>161</v>
      </c>
      <c r="R94" s="201" t="s">
        <v>1609</v>
      </c>
      <c r="S94" s="201" t="s">
        <v>1610</v>
      </c>
      <c r="T94" s="201" t="s">
        <v>106</v>
      </c>
      <c r="U94" s="203">
        <v>78.397300000000001</v>
      </c>
      <c r="V94" s="203">
        <v>127.785</v>
      </c>
      <c r="W94" s="204"/>
      <c r="X94" s="205"/>
      <c r="Y94" s="203"/>
      <c r="Z94" s="206">
        <v>37823</v>
      </c>
      <c r="AA94" s="206" t="s">
        <v>79</v>
      </c>
      <c r="AB94" s="207" t="s">
        <v>1358</v>
      </c>
      <c r="AC94" s="208" t="s">
        <v>80</v>
      </c>
      <c r="AD94" s="209">
        <v>393600000</v>
      </c>
      <c r="AE94" s="209">
        <v>393600000</v>
      </c>
      <c r="AF94" s="207"/>
      <c r="AG94" s="207"/>
      <c r="AH94" s="209"/>
      <c r="AI94" s="207"/>
      <c r="AJ94" s="208"/>
      <c r="AK94" s="209"/>
      <c r="AL94" s="209"/>
      <c r="AM94" s="206"/>
      <c r="AN94" s="207"/>
      <c r="AO94" s="208"/>
      <c r="AP94" s="209"/>
      <c r="AQ94" s="209"/>
      <c r="AR94" s="207"/>
      <c r="AS94" s="207"/>
      <c r="AT94" s="209"/>
      <c r="AU94" s="209"/>
      <c r="AV94" s="209"/>
      <c r="AW94" s="466" t="s">
        <v>1313</v>
      </c>
      <c r="AX94" s="466" t="s">
        <v>1313</v>
      </c>
      <c r="AY94" s="466" t="s">
        <v>1313</v>
      </c>
      <c r="AZ94" s="466" t="s">
        <v>1313</v>
      </c>
      <c r="BA94" s="466" t="s">
        <v>1313</v>
      </c>
      <c r="BB94" s="466" t="s">
        <v>1313</v>
      </c>
      <c r="BC94" s="207" t="s">
        <v>82</v>
      </c>
      <c r="BD94" s="210"/>
      <c r="BE94" s="210"/>
      <c r="BF94" s="207"/>
      <c r="BG94" s="207"/>
      <c r="BH94" s="207"/>
      <c r="BI94" s="207"/>
      <c r="BJ94" s="207"/>
      <c r="BK94" s="206"/>
      <c r="BL94" s="206"/>
      <c r="BM94" s="206"/>
      <c r="BN94" s="206"/>
      <c r="BO94" s="211"/>
      <c r="BP94" s="207"/>
      <c r="BQ94" s="207"/>
      <c r="BR94" s="206"/>
      <c r="BS94" s="206"/>
      <c r="BT94" s="212"/>
      <c r="BU94" s="212"/>
      <c r="BV94" s="206"/>
      <c r="BW94" s="212"/>
      <c r="BX94" s="206"/>
      <c r="BY94" s="212"/>
      <c r="BZ94" s="206"/>
      <c r="CA94" s="206">
        <v>42482</v>
      </c>
      <c r="CB94" s="213" t="s">
        <v>134</v>
      </c>
      <c r="CC94" s="212"/>
      <c r="CD94" s="212">
        <v>330000000</v>
      </c>
      <c r="CE94" s="212"/>
      <c r="CF94" s="212"/>
      <c r="CG94" s="212">
        <v>330000000</v>
      </c>
      <c r="CH94" s="200"/>
      <c r="CI94" s="212"/>
      <c r="CJ94" s="255" t="s">
        <v>416</v>
      </c>
    </row>
    <row r="95" spans="1:88" s="503" customFormat="1" ht="14.1" hidden="1" customHeight="1">
      <c r="A95" s="483" t="s">
        <v>3424</v>
      </c>
      <c r="B95" s="478" t="s">
        <v>3273</v>
      </c>
      <c r="C95" s="521" t="s">
        <v>3435</v>
      </c>
      <c r="D95" s="521" t="s">
        <v>3435</v>
      </c>
      <c r="E95" s="500">
        <v>334500000</v>
      </c>
      <c r="F95" s="251" t="s">
        <v>3186</v>
      </c>
      <c r="G95" s="501"/>
      <c r="H95" s="502"/>
      <c r="J95" s="199">
        <v>83</v>
      </c>
      <c r="K95" s="200"/>
      <c r="L95" s="200" t="s">
        <v>496</v>
      </c>
      <c r="M95" s="201" t="s">
        <v>194</v>
      </c>
      <c r="N95" s="536"/>
      <c r="O95" s="202">
        <v>1</v>
      </c>
      <c r="P95" s="201" t="s">
        <v>93</v>
      </c>
      <c r="Q95" s="201" t="s">
        <v>149</v>
      </c>
      <c r="R95" s="201" t="s">
        <v>1611</v>
      </c>
      <c r="S95" s="201" t="s">
        <v>1612</v>
      </c>
      <c r="T95" s="201" t="s">
        <v>122</v>
      </c>
      <c r="U95" s="203">
        <v>114.01</v>
      </c>
      <c r="V95" s="203">
        <v>240.77</v>
      </c>
      <c r="W95" s="204"/>
      <c r="X95" s="205"/>
      <c r="Y95" s="203"/>
      <c r="Z95" s="206">
        <v>41908</v>
      </c>
      <c r="AA95" s="206" t="s">
        <v>79</v>
      </c>
      <c r="AB95" s="207">
        <v>1</v>
      </c>
      <c r="AC95" s="208" t="s">
        <v>80</v>
      </c>
      <c r="AD95" s="209">
        <v>379200000</v>
      </c>
      <c r="AE95" s="209">
        <v>379200000</v>
      </c>
      <c r="AF95" s="207"/>
      <c r="AG95" s="207"/>
      <c r="AH95" s="209"/>
      <c r="AI95" s="207"/>
      <c r="AJ95" s="208"/>
      <c r="AK95" s="209"/>
      <c r="AL95" s="209"/>
      <c r="AM95" s="206"/>
      <c r="AN95" s="207"/>
      <c r="AO95" s="208"/>
      <c r="AP95" s="209"/>
      <c r="AQ95" s="209"/>
      <c r="AR95" s="207"/>
      <c r="AS95" s="207"/>
      <c r="AT95" s="209"/>
      <c r="AU95" s="209"/>
      <c r="AV95" s="209"/>
      <c r="AW95" s="466" t="s">
        <v>1313</v>
      </c>
      <c r="AX95" s="466" t="s">
        <v>1313</v>
      </c>
      <c r="AY95" s="466" t="s">
        <v>1313</v>
      </c>
      <c r="AZ95" s="466" t="s">
        <v>1313</v>
      </c>
      <c r="BA95" s="466" t="s">
        <v>1313</v>
      </c>
      <c r="BB95" s="466" t="s">
        <v>1313</v>
      </c>
      <c r="BC95" s="207" t="s">
        <v>82</v>
      </c>
      <c r="BD95" s="210"/>
      <c r="BE95" s="210"/>
      <c r="BF95" s="207"/>
      <c r="BG95" s="207"/>
      <c r="BH95" s="207"/>
      <c r="BI95" s="207"/>
      <c r="BJ95" s="207"/>
      <c r="BK95" s="206"/>
      <c r="BL95" s="206"/>
      <c r="BM95" s="206"/>
      <c r="BN95" s="206"/>
      <c r="BO95" s="211"/>
      <c r="BP95" s="207"/>
      <c r="BQ95" s="207"/>
      <c r="BR95" s="206"/>
      <c r="BS95" s="206"/>
      <c r="BT95" s="212"/>
      <c r="BU95" s="212"/>
      <c r="BV95" s="206"/>
      <c r="BW95" s="212"/>
      <c r="BX95" s="206"/>
      <c r="BY95" s="212"/>
      <c r="BZ95" s="206"/>
      <c r="CA95" s="206">
        <v>40009</v>
      </c>
      <c r="CB95" s="213" t="s">
        <v>1613</v>
      </c>
      <c r="CC95" s="212"/>
      <c r="CD95" s="212">
        <v>625000000</v>
      </c>
      <c r="CE95" s="212"/>
      <c r="CF95" s="212"/>
      <c r="CG95" s="212">
        <v>625000000</v>
      </c>
      <c r="CH95" s="200"/>
      <c r="CI95" s="212"/>
      <c r="CJ95" s="255" t="s">
        <v>416</v>
      </c>
    </row>
    <row r="96" spans="1:88" s="503" customFormat="1" ht="14.1" hidden="1" customHeight="1">
      <c r="A96" s="483" t="s">
        <v>3425</v>
      </c>
      <c r="B96" s="478" t="s">
        <v>3274</v>
      </c>
      <c r="C96" s="251" t="s">
        <v>3423</v>
      </c>
      <c r="D96" s="517" t="s">
        <v>3423</v>
      </c>
      <c r="E96" s="500">
        <v>332172310</v>
      </c>
      <c r="F96" s="251" t="s">
        <v>3185</v>
      </c>
      <c r="G96" s="501"/>
      <c r="H96" s="502"/>
      <c r="J96" s="199">
        <v>84</v>
      </c>
      <c r="K96" s="200"/>
      <c r="L96" s="200" t="s">
        <v>497</v>
      </c>
      <c r="M96" s="201" t="s">
        <v>175</v>
      </c>
      <c r="N96" s="536"/>
      <c r="O96" s="202">
        <v>1</v>
      </c>
      <c r="P96" s="201" t="s">
        <v>103</v>
      </c>
      <c r="Q96" s="201" t="s">
        <v>212</v>
      </c>
      <c r="R96" s="201" t="s">
        <v>1614</v>
      </c>
      <c r="S96" s="201" t="s">
        <v>1615</v>
      </c>
      <c r="T96" s="201" t="s">
        <v>106</v>
      </c>
      <c r="U96" s="203">
        <v>826</v>
      </c>
      <c r="V96" s="203">
        <v>168.72</v>
      </c>
      <c r="W96" s="204"/>
      <c r="X96" s="205"/>
      <c r="Y96" s="203"/>
      <c r="Z96" s="206">
        <v>38722</v>
      </c>
      <c r="AA96" s="206" t="s">
        <v>79</v>
      </c>
      <c r="AB96" s="207" t="s">
        <v>81</v>
      </c>
      <c r="AC96" s="208" t="s">
        <v>80</v>
      </c>
      <c r="AD96" s="209">
        <v>351000000</v>
      </c>
      <c r="AE96" s="209">
        <v>351000000</v>
      </c>
      <c r="AF96" s="207"/>
      <c r="AG96" s="207"/>
      <c r="AH96" s="209"/>
      <c r="AI96" s="207"/>
      <c r="AJ96" s="208"/>
      <c r="AK96" s="209"/>
      <c r="AL96" s="209"/>
      <c r="AM96" s="206"/>
      <c r="AN96" s="207">
        <v>1</v>
      </c>
      <c r="AO96" s="208" t="s">
        <v>80</v>
      </c>
      <c r="AP96" s="209">
        <v>240000000</v>
      </c>
      <c r="AQ96" s="209">
        <v>240000000</v>
      </c>
      <c r="AR96" s="207"/>
      <c r="AS96" s="207"/>
      <c r="AT96" s="209"/>
      <c r="AU96" s="209"/>
      <c r="AV96" s="209"/>
      <c r="AW96" s="466" t="s">
        <v>1313</v>
      </c>
      <c r="AX96" s="466" t="s">
        <v>1313</v>
      </c>
      <c r="AY96" s="466" t="s">
        <v>1313</v>
      </c>
      <c r="AZ96" s="466" t="s">
        <v>1313</v>
      </c>
      <c r="BA96" s="466" t="s">
        <v>1313</v>
      </c>
      <c r="BB96" s="466" t="s">
        <v>1313</v>
      </c>
      <c r="BC96" s="207" t="s">
        <v>82</v>
      </c>
      <c r="BD96" s="210"/>
      <c r="BE96" s="210"/>
      <c r="BF96" s="207"/>
      <c r="BG96" s="207"/>
      <c r="BH96" s="207"/>
      <c r="BI96" s="207"/>
      <c r="BJ96" s="207"/>
      <c r="BK96" s="206"/>
      <c r="BL96" s="206"/>
      <c r="BM96" s="206"/>
      <c r="BN96" s="206"/>
      <c r="BO96" s="211"/>
      <c r="BP96" s="207"/>
      <c r="BQ96" s="207"/>
      <c r="BR96" s="206"/>
      <c r="BS96" s="206"/>
      <c r="BT96" s="212"/>
      <c r="BU96" s="212"/>
      <c r="BV96" s="206"/>
      <c r="BW96" s="212"/>
      <c r="BX96" s="206"/>
      <c r="BY96" s="212"/>
      <c r="BZ96" s="206"/>
      <c r="CA96" s="206">
        <v>39342</v>
      </c>
      <c r="CB96" s="213" t="s">
        <v>1509</v>
      </c>
      <c r="CC96" s="212"/>
      <c r="CD96" s="212">
        <v>600000000</v>
      </c>
      <c r="CE96" s="212"/>
      <c r="CF96" s="212"/>
      <c r="CG96" s="212">
        <v>600000000</v>
      </c>
      <c r="CH96" s="200"/>
      <c r="CI96" s="212"/>
      <c r="CJ96" s="255" t="s">
        <v>1616</v>
      </c>
    </row>
    <row r="97" spans="1:88" s="503" customFormat="1" ht="14.1" hidden="1" customHeight="1">
      <c r="A97" s="483" t="s">
        <v>3426</v>
      </c>
      <c r="B97" s="478" t="s">
        <v>3275</v>
      </c>
      <c r="C97" s="251" t="s">
        <v>3423</v>
      </c>
      <c r="D97" s="517"/>
      <c r="E97" s="500"/>
      <c r="F97" s="251" t="s">
        <v>3185</v>
      </c>
      <c r="G97" s="501"/>
      <c r="H97" s="502"/>
      <c r="J97" s="199">
        <v>85</v>
      </c>
      <c r="K97" s="200"/>
      <c r="L97" s="200" t="s">
        <v>497</v>
      </c>
      <c r="M97" s="201" t="s">
        <v>175</v>
      </c>
      <c r="N97" s="536"/>
      <c r="O97" s="202">
        <v>2</v>
      </c>
      <c r="P97" s="201" t="s">
        <v>103</v>
      </c>
      <c r="Q97" s="201" t="s">
        <v>212</v>
      </c>
      <c r="R97" s="201" t="s">
        <v>1614</v>
      </c>
      <c r="S97" s="201" t="s">
        <v>1617</v>
      </c>
      <c r="T97" s="201" t="s">
        <v>106</v>
      </c>
      <c r="U97" s="203">
        <v>826</v>
      </c>
      <c r="V97" s="203">
        <v>87</v>
      </c>
      <c r="W97" s="204"/>
      <c r="X97" s="205"/>
      <c r="Y97" s="203"/>
      <c r="Z97" s="206">
        <v>39519</v>
      </c>
      <c r="AA97" s="206" t="s">
        <v>79</v>
      </c>
      <c r="AB97" s="207">
        <v>1</v>
      </c>
      <c r="AC97" s="208" t="s">
        <v>80</v>
      </c>
      <c r="AD97" s="209">
        <v>144000000</v>
      </c>
      <c r="AE97" s="209">
        <v>144000000</v>
      </c>
      <c r="AF97" s="207"/>
      <c r="AG97" s="207"/>
      <c r="AH97" s="209"/>
      <c r="AI97" s="207"/>
      <c r="AJ97" s="208"/>
      <c r="AK97" s="209"/>
      <c r="AL97" s="209"/>
      <c r="AM97" s="206"/>
      <c r="AN97" s="207"/>
      <c r="AO97" s="208"/>
      <c r="AP97" s="209"/>
      <c r="AQ97" s="209"/>
      <c r="AR97" s="207"/>
      <c r="AS97" s="207"/>
      <c r="AT97" s="209"/>
      <c r="AU97" s="209"/>
      <c r="AV97" s="209"/>
      <c r="AW97" s="466" t="s">
        <v>1313</v>
      </c>
      <c r="AX97" s="466" t="s">
        <v>1313</v>
      </c>
      <c r="AY97" s="466" t="s">
        <v>1313</v>
      </c>
      <c r="AZ97" s="466" t="s">
        <v>1313</v>
      </c>
      <c r="BA97" s="466" t="s">
        <v>1313</v>
      </c>
      <c r="BB97" s="466" t="s">
        <v>1313</v>
      </c>
      <c r="BC97" s="207" t="s">
        <v>82</v>
      </c>
      <c r="BD97" s="210"/>
      <c r="BE97" s="210"/>
      <c r="BF97" s="207"/>
      <c r="BG97" s="207"/>
      <c r="BH97" s="207"/>
      <c r="BI97" s="207"/>
      <c r="BJ97" s="207"/>
      <c r="BK97" s="206"/>
      <c r="BL97" s="206"/>
      <c r="BM97" s="206"/>
      <c r="BN97" s="206"/>
      <c r="BO97" s="211"/>
      <c r="BP97" s="207"/>
      <c r="BQ97" s="207"/>
      <c r="BR97" s="206"/>
      <c r="BS97" s="206"/>
      <c r="BT97" s="212"/>
      <c r="BU97" s="212"/>
      <c r="BV97" s="206"/>
      <c r="BW97" s="212"/>
      <c r="BX97" s="206"/>
      <c r="BY97" s="212"/>
      <c r="BZ97" s="206"/>
      <c r="CA97" s="206">
        <v>41708</v>
      </c>
      <c r="CB97" s="213" t="s">
        <v>1321</v>
      </c>
      <c r="CC97" s="212"/>
      <c r="CD97" s="212">
        <v>200000000</v>
      </c>
      <c r="CE97" s="212"/>
      <c r="CF97" s="212"/>
      <c r="CG97" s="212">
        <v>200000000</v>
      </c>
      <c r="CH97" s="200"/>
      <c r="CI97" s="212"/>
      <c r="CJ97" s="255" t="s">
        <v>416</v>
      </c>
    </row>
    <row r="98" spans="1:88" s="503" customFormat="1" ht="14.1" hidden="1" customHeight="1">
      <c r="A98" s="483" t="s">
        <v>3430</v>
      </c>
      <c r="B98" s="478" t="s">
        <v>3276</v>
      </c>
      <c r="C98" s="521" t="s">
        <v>3435</v>
      </c>
      <c r="D98" s="521" t="s">
        <v>3435</v>
      </c>
      <c r="E98" s="500">
        <v>325998815</v>
      </c>
      <c r="F98" s="251" t="s">
        <v>3189</v>
      </c>
      <c r="G98" s="501"/>
      <c r="H98" s="502"/>
      <c r="J98" s="199">
        <v>86</v>
      </c>
      <c r="K98" s="200"/>
      <c r="L98" s="200" t="s">
        <v>498</v>
      </c>
      <c r="M98" s="201" t="s">
        <v>183</v>
      </c>
      <c r="N98" s="536"/>
      <c r="O98" s="202">
        <v>1</v>
      </c>
      <c r="P98" s="201" t="s">
        <v>93</v>
      </c>
      <c r="Q98" s="201" t="s">
        <v>415</v>
      </c>
      <c r="R98" s="201" t="s">
        <v>1618</v>
      </c>
      <c r="S98" s="201" t="s">
        <v>1619</v>
      </c>
      <c r="T98" s="201" t="s">
        <v>220</v>
      </c>
      <c r="U98" s="203">
        <v>70.64</v>
      </c>
      <c r="V98" s="203">
        <v>59.95</v>
      </c>
      <c r="W98" s="204"/>
      <c r="X98" s="205"/>
      <c r="Y98" s="203"/>
      <c r="Z98" s="206">
        <v>41604</v>
      </c>
      <c r="AA98" s="206" t="s">
        <v>79</v>
      </c>
      <c r="AB98" s="207">
        <v>1</v>
      </c>
      <c r="AC98" s="208" t="s">
        <v>80</v>
      </c>
      <c r="AD98" s="209">
        <v>97500000</v>
      </c>
      <c r="AE98" s="209">
        <v>97500000</v>
      </c>
      <c r="AF98" s="207" t="s">
        <v>1387</v>
      </c>
      <c r="AG98" s="207"/>
      <c r="AH98" s="209"/>
      <c r="AI98" s="207"/>
      <c r="AJ98" s="208"/>
      <c r="AK98" s="209"/>
      <c r="AL98" s="209"/>
      <c r="AM98" s="206"/>
      <c r="AN98" s="207"/>
      <c r="AO98" s="208"/>
      <c r="AP98" s="209"/>
      <c r="AQ98" s="209"/>
      <c r="AR98" s="207"/>
      <c r="AS98" s="207"/>
      <c r="AT98" s="209"/>
      <c r="AU98" s="209"/>
      <c r="AV98" s="209"/>
      <c r="AW98" s="466" t="s">
        <v>1313</v>
      </c>
      <c r="AX98" s="466" t="s">
        <v>1313</v>
      </c>
      <c r="AY98" s="466" t="s">
        <v>1313</v>
      </c>
      <c r="AZ98" s="466" t="s">
        <v>1313</v>
      </c>
      <c r="BA98" s="466" t="s">
        <v>1313</v>
      </c>
      <c r="BB98" s="466" t="s">
        <v>1313</v>
      </c>
      <c r="BC98" s="207" t="s">
        <v>1320</v>
      </c>
      <c r="BD98" s="210">
        <v>326346717</v>
      </c>
      <c r="BE98" s="210"/>
      <c r="BF98" s="207" t="s">
        <v>101</v>
      </c>
      <c r="BG98" s="207"/>
      <c r="BH98" s="207" t="s">
        <v>115</v>
      </c>
      <c r="BI98" s="207" t="s">
        <v>1620</v>
      </c>
      <c r="BJ98" s="207"/>
      <c r="BK98" s="206">
        <v>42424</v>
      </c>
      <c r="BL98" s="206">
        <v>42506</v>
      </c>
      <c r="BM98" s="206"/>
      <c r="BN98" s="206"/>
      <c r="BO98" s="211"/>
      <c r="BP98" s="207"/>
      <c r="BQ98" s="207"/>
      <c r="BR98" s="206"/>
      <c r="BS98" s="206"/>
      <c r="BT98" s="212"/>
      <c r="BU98" s="212"/>
      <c r="BV98" s="206"/>
      <c r="BW98" s="212"/>
      <c r="BX98" s="206"/>
      <c r="BY98" s="212"/>
      <c r="BZ98" s="206"/>
      <c r="CA98" s="206">
        <v>41592</v>
      </c>
      <c r="CB98" s="213" t="s">
        <v>1388</v>
      </c>
      <c r="CC98" s="212"/>
      <c r="CD98" s="212">
        <v>140000000</v>
      </c>
      <c r="CE98" s="212"/>
      <c r="CF98" s="212"/>
      <c r="CG98" s="212">
        <v>140000000</v>
      </c>
      <c r="CH98" s="200"/>
      <c r="CI98" s="212"/>
      <c r="CJ98" s="255" t="s">
        <v>416</v>
      </c>
    </row>
    <row r="99" spans="1:88" s="503" customFormat="1" ht="14.1" hidden="1" customHeight="1">
      <c r="A99" s="483" t="s">
        <v>3431</v>
      </c>
      <c r="B99" s="478" t="s">
        <v>3277</v>
      </c>
      <c r="C99" s="521" t="s">
        <v>3435</v>
      </c>
      <c r="D99" s="517"/>
      <c r="E99" s="500"/>
      <c r="F99" s="251" t="s">
        <v>3189</v>
      </c>
      <c r="G99" s="501"/>
      <c r="H99" s="502"/>
      <c r="J99" s="199">
        <v>87</v>
      </c>
      <c r="K99" s="200"/>
      <c r="L99" s="200" t="s">
        <v>498</v>
      </c>
      <c r="M99" s="201" t="s">
        <v>183</v>
      </c>
      <c r="N99" s="536"/>
      <c r="O99" s="202">
        <v>2</v>
      </c>
      <c r="P99" s="201" t="s">
        <v>93</v>
      </c>
      <c r="Q99" s="201" t="s">
        <v>415</v>
      </c>
      <c r="R99" s="201" t="s">
        <v>1618</v>
      </c>
      <c r="S99" s="201" t="s">
        <v>1621</v>
      </c>
      <c r="T99" s="201" t="s">
        <v>220</v>
      </c>
      <c r="U99" s="203">
        <v>70.64</v>
      </c>
      <c r="V99" s="203">
        <v>59.95</v>
      </c>
      <c r="W99" s="204"/>
      <c r="X99" s="205"/>
      <c r="Y99" s="203"/>
      <c r="Z99" s="206">
        <v>41604</v>
      </c>
      <c r="AA99" s="206" t="s">
        <v>79</v>
      </c>
      <c r="AB99" s="207">
        <v>1</v>
      </c>
      <c r="AC99" s="208" t="s">
        <v>80</v>
      </c>
      <c r="AD99" s="209">
        <v>97500000</v>
      </c>
      <c r="AE99" s="209">
        <v>97500000</v>
      </c>
      <c r="AF99" s="207" t="s">
        <v>1387</v>
      </c>
      <c r="AG99" s="207"/>
      <c r="AH99" s="209"/>
      <c r="AI99" s="207"/>
      <c r="AJ99" s="208"/>
      <c r="AK99" s="209"/>
      <c r="AL99" s="209"/>
      <c r="AM99" s="206"/>
      <c r="AN99" s="207"/>
      <c r="AO99" s="208"/>
      <c r="AP99" s="209"/>
      <c r="AQ99" s="209"/>
      <c r="AR99" s="207"/>
      <c r="AS99" s="207"/>
      <c r="AT99" s="209"/>
      <c r="AU99" s="209"/>
      <c r="AV99" s="209"/>
      <c r="AW99" s="466" t="s">
        <v>1313</v>
      </c>
      <c r="AX99" s="466" t="s">
        <v>1313</v>
      </c>
      <c r="AY99" s="466" t="s">
        <v>1313</v>
      </c>
      <c r="AZ99" s="466" t="s">
        <v>1313</v>
      </c>
      <c r="BA99" s="466" t="s">
        <v>1313</v>
      </c>
      <c r="BB99" s="466" t="s">
        <v>1313</v>
      </c>
      <c r="BC99" s="207" t="s">
        <v>1320</v>
      </c>
      <c r="BD99" s="210">
        <v>326346717</v>
      </c>
      <c r="BE99" s="210"/>
      <c r="BF99" s="207" t="s">
        <v>101</v>
      </c>
      <c r="BG99" s="207"/>
      <c r="BH99" s="207" t="s">
        <v>115</v>
      </c>
      <c r="BI99" s="207" t="s">
        <v>1620</v>
      </c>
      <c r="BJ99" s="207"/>
      <c r="BK99" s="206">
        <v>42424</v>
      </c>
      <c r="BL99" s="206">
        <v>42506</v>
      </c>
      <c r="BM99" s="206"/>
      <c r="BN99" s="206"/>
      <c r="BO99" s="211"/>
      <c r="BP99" s="207"/>
      <c r="BQ99" s="207"/>
      <c r="BR99" s="206"/>
      <c r="BS99" s="206"/>
      <c r="BT99" s="212"/>
      <c r="BU99" s="212"/>
      <c r="BV99" s="206"/>
      <c r="BW99" s="212"/>
      <c r="BX99" s="206"/>
      <c r="BY99" s="212"/>
      <c r="BZ99" s="206"/>
      <c r="CA99" s="206">
        <v>41592</v>
      </c>
      <c r="CB99" s="213" t="s">
        <v>1388</v>
      </c>
      <c r="CC99" s="212"/>
      <c r="CD99" s="212">
        <v>140000000</v>
      </c>
      <c r="CE99" s="212"/>
      <c r="CF99" s="212"/>
      <c r="CG99" s="212">
        <v>140000000</v>
      </c>
      <c r="CH99" s="200"/>
      <c r="CI99" s="212"/>
      <c r="CJ99" s="255" t="s">
        <v>416</v>
      </c>
    </row>
    <row r="100" spans="1:88" s="503" customFormat="1" ht="14.1" hidden="1" customHeight="1">
      <c r="A100" s="483" t="s">
        <v>3432</v>
      </c>
      <c r="B100" s="478" t="s">
        <v>3278</v>
      </c>
      <c r="C100" s="521" t="s">
        <v>3435</v>
      </c>
      <c r="D100" s="517"/>
      <c r="E100" s="500"/>
      <c r="F100" s="251" t="s">
        <v>3189</v>
      </c>
      <c r="G100" s="501"/>
      <c r="H100" s="502"/>
      <c r="J100" s="199">
        <v>88</v>
      </c>
      <c r="K100" s="200"/>
      <c r="L100" s="200" t="s">
        <v>498</v>
      </c>
      <c r="M100" s="201" t="s">
        <v>183</v>
      </c>
      <c r="N100" s="536"/>
      <c r="O100" s="202">
        <v>3</v>
      </c>
      <c r="P100" s="201" t="s">
        <v>93</v>
      </c>
      <c r="Q100" s="201" t="s">
        <v>415</v>
      </c>
      <c r="R100" s="201" t="s">
        <v>1618</v>
      </c>
      <c r="S100" s="201" t="s">
        <v>1622</v>
      </c>
      <c r="T100" s="201" t="s">
        <v>220</v>
      </c>
      <c r="U100" s="203">
        <v>70.64</v>
      </c>
      <c r="V100" s="203">
        <v>59.95</v>
      </c>
      <c r="W100" s="204"/>
      <c r="X100" s="205"/>
      <c r="Y100" s="203"/>
      <c r="Z100" s="206">
        <v>41604</v>
      </c>
      <c r="AA100" s="206" t="s">
        <v>79</v>
      </c>
      <c r="AB100" s="207">
        <v>1</v>
      </c>
      <c r="AC100" s="208" t="s">
        <v>80</v>
      </c>
      <c r="AD100" s="209">
        <v>97500000</v>
      </c>
      <c r="AE100" s="209">
        <v>97500000</v>
      </c>
      <c r="AF100" s="207" t="s">
        <v>1387</v>
      </c>
      <c r="AG100" s="207"/>
      <c r="AH100" s="209"/>
      <c r="AI100" s="207"/>
      <c r="AJ100" s="208"/>
      <c r="AK100" s="209"/>
      <c r="AL100" s="209"/>
      <c r="AM100" s="206"/>
      <c r="AN100" s="207"/>
      <c r="AO100" s="208"/>
      <c r="AP100" s="209"/>
      <c r="AQ100" s="209"/>
      <c r="AR100" s="207"/>
      <c r="AS100" s="207"/>
      <c r="AT100" s="209"/>
      <c r="AU100" s="209"/>
      <c r="AV100" s="209"/>
      <c r="AW100" s="466" t="s">
        <v>1313</v>
      </c>
      <c r="AX100" s="466" t="s">
        <v>1313</v>
      </c>
      <c r="AY100" s="466" t="s">
        <v>1313</v>
      </c>
      <c r="AZ100" s="466" t="s">
        <v>1313</v>
      </c>
      <c r="BA100" s="466" t="s">
        <v>1313</v>
      </c>
      <c r="BB100" s="466" t="s">
        <v>1313</v>
      </c>
      <c r="BC100" s="207" t="s">
        <v>1320</v>
      </c>
      <c r="BD100" s="210">
        <v>326346717</v>
      </c>
      <c r="BE100" s="210"/>
      <c r="BF100" s="207" t="s">
        <v>101</v>
      </c>
      <c r="BG100" s="207"/>
      <c r="BH100" s="207" t="s">
        <v>115</v>
      </c>
      <c r="BI100" s="207" t="s">
        <v>1620</v>
      </c>
      <c r="BJ100" s="207"/>
      <c r="BK100" s="206">
        <v>42424</v>
      </c>
      <c r="BL100" s="206">
        <v>42506</v>
      </c>
      <c r="BM100" s="206"/>
      <c r="BN100" s="206"/>
      <c r="BO100" s="211"/>
      <c r="BP100" s="207"/>
      <c r="BQ100" s="207"/>
      <c r="BR100" s="206"/>
      <c r="BS100" s="206"/>
      <c r="BT100" s="212"/>
      <c r="BU100" s="212"/>
      <c r="BV100" s="206"/>
      <c r="BW100" s="212"/>
      <c r="BX100" s="206"/>
      <c r="BY100" s="212"/>
      <c r="BZ100" s="206"/>
      <c r="CA100" s="206">
        <v>41592</v>
      </c>
      <c r="CB100" s="213" t="s">
        <v>1388</v>
      </c>
      <c r="CC100" s="212"/>
      <c r="CD100" s="212">
        <v>140000000</v>
      </c>
      <c r="CE100" s="212"/>
      <c r="CF100" s="212"/>
      <c r="CG100" s="212">
        <v>140000000</v>
      </c>
      <c r="CH100" s="200"/>
      <c r="CI100" s="212"/>
      <c r="CJ100" s="255" t="s">
        <v>416</v>
      </c>
    </row>
    <row r="101" spans="1:88" s="503" customFormat="1" ht="14.1" hidden="1" customHeight="1">
      <c r="A101" s="483" t="s">
        <v>3433</v>
      </c>
      <c r="B101" s="478" t="s">
        <v>3279</v>
      </c>
      <c r="C101" s="521" t="s">
        <v>3435</v>
      </c>
      <c r="D101" s="517"/>
      <c r="E101" s="500"/>
      <c r="F101" s="251" t="s">
        <v>3189</v>
      </c>
      <c r="G101" s="501"/>
      <c r="H101" s="502"/>
      <c r="J101" s="199">
        <v>89</v>
      </c>
      <c r="K101" s="200"/>
      <c r="L101" s="200" t="s">
        <v>498</v>
      </c>
      <c r="M101" s="201" t="s">
        <v>183</v>
      </c>
      <c r="N101" s="536"/>
      <c r="O101" s="202">
        <v>4</v>
      </c>
      <c r="P101" s="201" t="s">
        <v>93</v>
      </c>
      <c r="Q101" s="201" t="s">
        <v>415</v>
      </c>
      <c r="R101" s="201" t="s">
        <v>1618</v>
      </c>
      <c r="S101" s="201" t="s">
        <v>1623</v>
      </c>
      <c r="T101" s="201" t="s">
        <v>220</v>
      </c>
      <c r="U101" s="203">
        <v>70.040000000000006</v>
      </c>
      <c r="V101" s="203">
        <v>57.54</v>
      </c>
      <c r="W101" s="204"/>
      <c r="X101" s="205"/>
      <c r="Y101" s="203"/>
      <c r="Z101" s="206">
        <v>41604</v>
      </c>
      <c r="AA101" s="206" t="s">
        <v>79</v>
      </c>
      <c r="AB101" s="207">
        <v>1</v>
      </c>
      <c r="AC101" s="208" t="s">
        <v>80</v>
      </c>
      <c r="AD101" s="209">
        <v>97500000</v>
      </c>
      <c r="AE101" s="209">
        <v>97500000</v>
      </c>
      <c r="AF101" s="207" t="s">
        <v>1387</v>
      </c>
      <c r="AG101" s="207"/>
      <c r="AH101" s="209"/>
      <c r="AI101" s="207"/>
      <c r="AJ101" s="208"/>
      <c r="AK101" s="209"/>
      <c r="AL101" s="209"/>
      <c r="AM101" s="206"/>
      <c r="AN101" s="207"/>
      <c r="AO101" s="208"/>
      <c r="AP101" s="209"/>
      <c r="AQ101" s="209"/>
      <c r="AR101" s="207"/>
      <c r="AS101" s="207"/>
      <c r="AT101" s="209"/>
      <c r="AU101" s="209"/>
      <c r="AV101" s="209"/>
      <c r="AW101" s="466" t="s">
        <v>1313</v>
      </c>
      <c r="AX101" s="466" t="s">
        <v>1313</v>
      </c>
      <c r="AY101" s="466" t="s">
        <v>1313</v>
      </c>
      <c r="AZ101" s="466" t="s">
        <v>1313</v>
      </c>
      <c r="BA101" s="466" t="s">
        <v>1313</v>
      </c>
      <c r="BB101" s="466" t="s">
        <v>1313</v>
      </c>
      <c r="BC101" s="207" t="s">
        <v>1320</v>
      </c>
      <c r="BD101" s="210">
        <v>326346717</v>
      </c>
      <c r="BE101" s="210"/>
      <c r="BF101" s="207" t="s">
        <v>101</v>
      </c>
      <c r="BG101" s="207"/>
      <c r="BH101" s="207" t="s">
        <v>115</v>
      </c>
      <c r="BI101" s="207" t="s">
        <v>1620</v>
      </c>
      <c r="BJ101" s="207"/>
      <c r="BK101" s="206">
        <v>42424</v>
      </c>
      <c r="BL101" s="206">
        <v>42506</v>
      </c>
      <c r="BM101" s="206"/>
      <c r="BN101" s="206"/>
      <c r="BO101" s="211"/>
      <c r="BP101" s="207"/>
      <c r="BQ101" s="207"/>
      <c r="BR101" s="206"/>
      <c r="BS101" s="206"/>
      <c r="BT101" s="212"/>
      <c r="BU101" s="212"/>
      <c r="BV101" s="206"/>
      <c r="BW101" s="212"/>
      <c r="BX101" s="206"/>
      <c r="BY101" s="212"/>
      <c r="BZ101" s="206"/>
      <c r="CA101" s="206">
        <v>41592</v>
      </c>
      <c r="CB101" s="213" t="s">
        <v>1388</v>
      </c>
      <c r="CC101" s="212"/>
      <c r="CD101" s="212">
        <v>135000000</v>
      </c>
      <c r="CE101" s="212"/>
      <c r="CF101" s="212"/>
      <c r="CG101" s="212">
        <v>135000000</v>
      </c>
      <c r="CH101" s="200"/>
      <c r="CI101" s="212"/>
      <c r="CJ101" s="255" t="s">
        <v>416</v>
      </c>
    </row>
    <row r="102" spans="1:88" s="503" customFormat="1" ht="14.1" hidden="1" customHeight="1">
      <c r="A102" s="483" t="s">
        <v>3424</v>
      </c>
      <c r="B102" s="478" t="s">
        <v>3280</v>
      </c>
      <c r="C102" s="521" t="s">
        <v>3435</v>
      </c>
      <c r="D102" s="521" t="s">
        <v>3435</v>
      </c>
      <c r="E102" s="500">
        <v>324439297</v>
      </c>
      <c r="F102" s="251" t="s">
        <v>3189</v>
      </c>
      <c r="G102" s="501"/>
      <c r="H102" s="502"/>
      <c r="J102" s="199">
        <v>90</v>
      </c>
      <c r="K102" s="200"/>
      <c r="L102" s="200" t="s">
        <v>499</v>
      </c>
      <c r="M102" s="201" t="s">
        <v>109</v>
      </c>
      <c r="N102" s="536"/>
      <c r="O102" s="202">
        <v>1</v>
      </c>
      <c r="P102" s="201" t="s">
        <v>93</v>
      </c>
      <c r="Q102" s="201" t="s">
        <v>170</v>
      </c>
      <c r="R102" s="201" t="s">
        <v>1624</v>
      </c>
      <c r="S102" s="201" t="s">
        <v>1625</v>
      </c>
      <c r="T102" s="201" t="s">
        <v>177</v>
      </c>
      <c r="U102" s="203">
        <v>500</v>
      </c>
      <c r="V102" s="203">
        <v>0</v>
      </c>
      <c r="W102" s="204"/>
      <c r="X102" s="205"/>
      <c r="Y102" s="203"/>
      <c r="Z102" s="206">
        <v>41960</v>
      </c>
      <c r="AA102" s="206" t="s">
        <v>79</v>
      </c>
      <c r="AB102" s="207" t="s">
        <v>89</v>
      </c>
      <c r="AC102" s="208" t="s">
        <v>80</v>
      </c>
      <c r="AD102" s="209">
        <v>384000000</v>
      </c>
      <c r="AE102" s="209">
        <v>384000000</v>
      </c>
      <c r="AF102" s="207"/>
      <c r="AG102" s="207"/>
      <c r="AH102" s="209"/>
      <c r="AI102" s="207"/>
      <c r="AJ102" s="208"/>
      <c r="AK102" s="209"/>
      <c r="AL102" s="209"/>
      <c r="AM102" s="206"/>
      <c r="AN102" s="207"/>
      <c r="AO102" s="208"/>
      <c r="AP102" s="209"/>
      <c r="AQ102" s="209"/>
      <c r="AR102" s="207"/>
      <c r="AS102" s="207"/>
      <c r="AT102" s="209"/>
      <c r="AU102" s="209"/>
      <c r="AV102" s="209"/>
      <c r="AW102" s="466" t="s">
        <v>1313</v>
      </c>
      <c r="AX102" s="466" t="s">
        <v>1313</v>
      </c>
      <c r="AY102" s="466" t="s">
        <v>1313</v>
      </c>
      <c r="AZ102" s="466" t="s">
        <v>1313</v>
      </c>
      <c r="BA102" s="466" t="s">
        <v>1313</v>
      </c>
      <c r="BB102" s="466" t="s">
        <v>1313</v>
      </c>
      <c r="BC102" s="207" t="s">
        <v>1320</v>
      </c>
      <c r="BD102" s="210">
        <v>338816625</v>
      </c>
      <c r="BE102" s="210"/>
      <c r="BF102" s="207" t="s">
        <v>101</v>
      </c>
      <c r="BG102" s="207"/>
      <c r="BH102" s="207" t="s">
        <v>144</v>
      </c>
      <c r="BI102" s="207" t="s">
        <v>1626</v>
      </c>
      <c r="BJ102" s="207"/>
      <c r="BK102" s="206">
        <v>42397</v>
      </c>
      <c r="BL102" s="206">
        <v>42485</v>
      </c>
      <c r="BM102" s="206"/>
      <c r="BN102" s="206"/>
      <c r="BO102" s="211"/>
      <c r="BP102" s="207"/>
      <c r="BQ102" s="207"/>
      <c r="BR102" s="206"/>
      <c r="BS102" s="206"/>
      <c r="BT102" s="212"/>
      <c r="BU102" s="212"/>
      <c r="BV102" s="206"/>
      <c r="BW102" s="212"/>
      <c r="BX102" s="206"/>
      <c r="BY102" s="212"/>
      <c r="BZ102" s="206"/>
      <c r="CA102" s="206">
        <v>41367</v>
      </c>
      <c r="CB102" s="213" t="s">
        <v>116</v>
      </c>
      <c r="CC102" s="212">
        <v>383000000</v>
      </c>
      <c r="CD102" s="212"/>
      <c r="CE102" s="212"/>
      <c r="CF102" s="212"/>
      <c r="CG102" s="212">
        <v>383000000</v>
      </c>
      <c r="CH102" s="200"/>
      <c r="CI102" s="212"/>
      <c r="CJ102" s="255" t="s">
        <v>416</v>
      </c>
    </row>
    <row r="103" spans="1:88" s="503" customFormat="1" ht="14.1" hidden="1" customHeight="1">
      <c r="A103" s="483" t="s">
        <v>3424</v>
      </c>
      <c r="B103" s="478" t="s">
        <v>3281</v>
      </c>
      <c r="C103" s="251" t="s">
        <v>3423</v>
      </c>
      <c r="D103" s="517" t="s">
        <v>3423</v>
      </c>
      <c r="E103" s="500">
        <v>321697250</v>
      </c>
      <c r="F103" s="251" t="s">
        <v>3186</v>
      </c>
      <c r="G103" s="501"/>
      <c r="H103" s="502"/>
      <c r="J103" s="199">
        <v>91</v>
      </c>
      <c r="K103" s="200"/>
      <c r="L103" s="200" t="s">
        <v>500</v>
      </c>
      <c r="M103" s="201" t="s">
        <v>130</v>
      </c>
      <c r="N103" s="536"/>
      <c r="O103" s="202">
        <v>1</v>
      </c>
      <c r="P103" s="201" t="s">
        <v>93</v>
      </c>
      <c r="Q103" s="201" t="s">
        <v>149</v>
      </c>
      <c r="R103" s="201" t="s">
        <v>1627</v>
      </c>
      <c r="S103" s="201" t="s">
        <v>1628</v>
      </c>
      <c r="T103" s="201" t="s">
        <v>106</v>
      </c>
      <c r="U103" s="203">
        <v>83</v>
      </c>
      <c r="V103" s="203">
        <v>120.1587</v>
      </c>
      <c r="W103" s="204"/>
      <c r="X103" s="205"/>
      <c r="Y103" s="203"/>
      <c r="Z103" s="206">
        <v>38464</v>
      </c>
      <c r="AA103" s="206" t="s">
        <v>79</v>
      </c>
      <c r="AB103" s="207" t="s">
        <v>98</v>
      </c>
      <c r="AC103" s="208" t="s">
        <v>80</v>
      </c>
      <c r="AD103" s="209">
        <v>414000000</v>
      </c>
      <c r="AE103" s="209">
        <v>414000000</v>
      </c>
      <c r="AF103" s="207"/>
      <c r="AG103" s="207"/>
      <c r="AH103" s="209"/>
      <c r="AI103" s="207"/>
      <c r="AJ103" s="208"/>
      <c r="AK103" s="209"/>
      <c r="AL103" s="209"/>
      <c r="AM103" s="206"/>
      <c r="AN103" s="207"/>
      <c r="AO103" s="208"/>
      <c r="AP103" s="209"/>
      <c r="AQ103" s="209"/>
      <c r="AR103" s="207"/>
      <c r="AS103" s="207"/>
      <c r="AT103" s="209"/>
      <c r="AU103" s="209"/>
      <c r="AV103" s="209"/>
      <c r="AW103" s="466" t="s">
        <v>1313</v>
      </c>
      <c r="AX103" s="466" t="s">
        <v>1313</v>
      </c>
      <c r="AY103" s="466" t="s">
        <v>1313</v>
      </c>
      <c r="AZ103" s="466" t="s">
        <v>1313</v>
      </c>
      <c r="BA103" s="466" t="s">
        <v>1313</v>
      </c>
      <c r="BB103" s="466" t="s">
        <v>1313</v>
      </c>
      <c r="BC103" s="207" t="s">
        <v>1320</v>
      </c>
      <c r="BD103" s="210">
        <v>327874538</v>
      </c>
      <c r="BE103" s="210">
        <v>10000000</v>
      </c>
      <c r="BF103" s="207" t="s">
        <v>199</v>
      </c>
      <c r="BG103" s="207" t="s">
        <v>101</v>
      </c>
      <c r="BH103" s="207" t="s">
        <v>99</v>
      </c>
      <c r="BI103" s="207" t="s">
        <v>1629</v>
      </c>
      <c r="BJ103" s="207" t="s">
        <v>1630</v>
      </c>
      <c r="BK103" s="206">
        <v>42402</v>
      </c>
      <c r="BL103" s="206">
        <v>42481</v>
      </c>
      <c r="BM103" s="206">
        <v>42485</v>
      </c>
      <c r="BN103" s="206"/>
      <c r="BO103" s="211"/>
      <c r="BP103" s="207"/>
      <c r="BQ103" s="207"/>
      <c r="BR103" s="206"/>
      <c r="BS103" s="206"/>
      <c r="BT103" s="212"/>
      <c r="BU103" s="212"/>
      <c r="BV103" s="206"/>
      <c r="BW103" s="212"/>
      <c r="BX103" s="206"/>
      <c r="BY103" s="212"/>
      <c r="BZ103" s="206"/>
      <c r="CA103" s="206">
        <v>42482</v>
      </c>
      <c r="CB103" s="213" t="s">
        <v>134</v>
      </c>
      <c r="CC103" s="212"/>
      <c r="CD103" s="212">
        <v>452500000</v>
      </c>
      <c r="CE103" s="212"/>
      <c r="CF103" s="212"/>
      <c r="CG103" s="212">
        <v>452500000</v>
      </c>
      <c r="CH103" s="200"/>
      <c r="CI103" s="212"/>
      <c r="CJ103" s="255" t="s">
        <v>416</v>
      </c>
    </row>
    <row r="104" spans="1:88" s="503" customFormat="1" ht="14.1" hidden="1" customHeight="1">
      <c r="A104" s="483" t="s">
        <v>3424</v>
      </c>
      <c r="B104" s="478" t="s">
        <v>3282</v>
      </c>
      <c r="C104" s="521" t="s">
        <v>3435</v>
      </c>
      <c r="D104" s="521" t="s">
        <v>3435</v>
      </c>
      <c r="E104" s="500">
        <v>324449704</v>
      </c>
      <c r="F104" s="251" t="s">
        <v>3189</v>
      </c>
      <c r="G104" s="501"/>
      <c r="H104" s="502"/>
      <c r="J104" s="199">
        <v>92</v>
      </c>
      <c r="K104" s="200"/>
      <c r="L104" s="200" t="s">
        <v>501</v>
      </c>
      <c r="M104" s="201" t="s">
        <v>664</v>
      </c>
      <c r="N104" s="536"/>
      <c r="O104" s="202">
        <v>1</v>
      </c>
      <c r="P104" s="201" t="s">
        <v>93</v>
      </c>
      <c r="Q104" s="201" t="s">
        <v>143</v>
      </c>
      <c r="R104" s="201" t="s">
        <v>169</v>
      </c>
      <c r="S104" s="201" t="s">
        <v>1631</v>
      </c>
      <c r="T104" s="201" t="s">
        <v>163</v>
      </c>
      <c r="U104" s="203">
        <v>26.09</v>
      </c>
      <c r="V104" s="203">
        <v>111</v>
      </c>
      <c r="W104" s="204"/>
      <c r="X104" s="205"/>
      <c r="Y104" s="203"/>
      <c r="Z104" s="206">
        <v>39385</v>
      </c>
      <c r="AA104" s="206" t="s">
        <v>79</v>
      </c>
      <c r="AB104" s="207">
        <v>1</v>
      </c>
      <c r="AC104" s="208" t="s">
        <v>80</v>
      </c>
      <c r="AD104" s="209">
        <v>384000000</v>
      </c>
      <c r="AE104" s="209">
        <v>384000000</v>
      </c>
      <c r="AF104" s="207"/>
      <c r="AG104" s="207"/>
      <c r="AH104" s="209"/>
      <c r="AI104" s="207"/>
      <c r="AJ104" s="208"/>
      <c r="AK104" s="209"/>
      <c r="AL104" s="209"/>
      <c r="AM104" s="206"/>
      <c r="AN104" s="207"/>
      <c r="AO104" s="208"/>
      <c r="AP104" s="209"/>
      <c r="AQ104" s="209"/>
      <c r="AR104" s="207"/>
      <c r="AS104" s="207"/>
      <c r="AT104" s="209"/>
      <c r="AU104" s="209"/>
      <c r="AV104" s="209"/>
      <c r="AW104" s="466" t="s">
        <v>1313</v>
      </c>
      <c r="AX104" s="466" t="s">
        <v>1313</v>
      </c>
      <c r="AY104" s="466" t="s">
        <v>1313</v>
      </c>
      <c r="AZ104" s="466" t="s">
        <v>1313</v>
      </c>
      <c r="BA104" s="466" t="s">
        <v>1313</v>
      </c>
      <c r="BB104" s="466" t="s">
        <v>1313</v>
      </c>
      <c r="BC104" s="207" t="s">
        <v>82</v>
      </c>
      <c r="BD104" s="210"/>
      <c r="BE104" s="210"/>
      <c r="BF104" s="207"/>
      <c r="BG104" s="207"/>
      <c r="BH104" s="207"/>
      <c r="BI104" s="207"/>
      <c r="BJ104" s="207"/>
      <c r="BK104" s="206"/>
      <c r="BL104" s="206"/>
      <c r="BM104" s="206"/>
      <c r="BN104" s="206"/>
      <c r="BO104" s="211"/>
      <c r="BP104" s="207"/>
      <c r="BQ104" s="207"/>
      <c r="BR104" s="206"/>
      <c r="BS104" s="206"/>
      <c r="BT104" s="212"/>
      <c r="BU104" s="212"/>
      <c r="BV104" s="206"/>
      <c r="BW104" s="212"/>
      <c r="BX104" s="206"/>
      <c r="BY104" s="212"/>
      <c r="BZ104" s="206"/>
      <c r="CA104" s="206">
        <v>42482</v>
      </c>
      <c r="CB104" s="213" t="s">
        <v>134</v>
      </c>
      <c r="CC104" s="212"/>
      <c r="CD104" s="212">
        <v>415000000</v>
      </c>
      <c r="CE104" s="212"/>
      <c r="CF104" s="212"/>
      <c r="CG104" s="212">
        <v>415000000</v>
      </c>
      <c r="CH104" s="200"/>
      <c r="CI104" s="212"/>
      <c r="CJ104" s="255" t="s">
        <v>416</v>
      </c>
    </row>
    <row r="105" spans="1:88" s="503" customFormat="1" ht="14.1" hidden="1" customHeight="1">
      <c r="A105" s="483" t="s">
        <v>3424</v>
      </c>
      <c r="B105" s="478" t="s">
        <v>3283</v>
      </c>
      <c r="C105" s="251" t="s">
        <v>3423</v>
      </c>
      <c r="D105" s="517" t="s">
        <v>3423</v>
      </c>
      <c r="E105" s="500">
        <v>304207941</v>
      </c>
      <c r="F105" s="251" t="s">
        <v>3189</v>
      </c>
      <c r="G105" s="501"/>
      <c r="H105" s="502"/>
      <c r="J105" s="199">
        <v>93</v>
      </c>
      <c r="K105" s="200"/>
      <c r="L105" s="200" t="s">
        <v>502</v>
      </c>
      <c r="M105" s="201" t="s">
        <v>109</v>
      </c>
      <c r="N105" s="536"/>
      <c r="O105" s="202">
        <v>1</v>
      </c>
      <c r="P105" s="201" t="s">
        <v>93</v>
      </c>
      <c r="Q105" s="201" t="s">
        <v>170</v>
      </c>
      <c r="R105" s="201" t="s">
        <v>1632</v>
      </c>
      <c r="S105" s="201" t="s">
        <v>1633</v>
      </c>
      <c r="T105" s="201" t="s">
        <v>106</v>
      </c>
      <c r="U105" s="203" t="s">
        <v>159</v>
      </c>
      <c r="V105" s="203">
        <v>119.45780000000001</v>
      </c>
      <c r="W105" s="204"/>
      <c r="X105" s="205"/>
      <c r="Y105" s="203"/>
      <c r="Z105" s="206">
        <v>40436</v>
      </c>
      <c r="AA105" s="206" t="s">
        <v>79</v>
      </c>
      <c r="AB105" s="207">
        <v>1</v>
      </c>
      <c r="AC105" s="208" t="s">
        <v>80</v>
      </c>
      <c r="AD105" s="209">
        <v>360000000</v>
      </c>
      <c r="AE105" s="209">
        <v>360000000</v>
      </c>
      <c r="AF105" s="207"/>
      <c r="AG105" s="207"/>
      <c r="AH105" s="209"/>
      <c r="AI105" s="207"/>
      <c r="AJ105" s="208"/>
      <c r="AK105" s="209"/>
      <c r="AL105" s="209"/>
      <c r="AM105" s="206"/>
      <c r="AN105" s="207"/>
      <c r="AO105" s="208"/>
      <c r="AP105" s="209"/>
      <c r="AQ105" s="209"/>
      <c r="AR105" s="207"/>
      <c r="AS105" s="207"/>
      <c r="AT105" s="209"/>
      <c r="AU105" s="209"/>
      <c r="AV105" s="209"/>
      <c r="AW105" s="466" t="s">
        <v>1313</v>
      </c>
      <c r="AX105" s="466" t="s">
        <v>1313</v>
      </c>
      <c r="AY105" s="466" t="s">
        <v>1313</v>
      </c>
      <c r="AZ105" s="466" t="s">
        <v>1313</v>
      </c>
      <c r="BA105" s="466" t="s">
        <v>1313</v>
      </c>
      <c r="BB105" s="466" t="s">
        <v>1313</v>
      </c>
      <c r="BC105" s="207" t="s">
        <v>1320</v>
      </c>
      <c r="BD105" s="210">
        <v>304271003</v>
      </c>
      <c r="BE105" s="210"/>
      <c r="BF105" s="207" t="s">
        <v>101</v>
      </c>
      <c r="BG105" s="207"/>
      <c r="BH105" s="207" t="s">
        <v>144</v>
      </c>
      <c r="BI105" s="207" t="s">
        <v>1634</v>
      </c>
      <c r="BJ105" s="207"/>
      <c r="BK105" s="206">
        <v>42471</v>
      </c>
      <c r="BL105" s="206">
        <v>42555</v>
      </c>
      <c r="BM105" s="206"/>
      <c r="BN105" s="206"/>
      <c r="BO105" s="211"/>
      <c r="BP105" s="207"/>
      <c r="BQ105" s="207"/>
      <c r="BR105" s="206"/>
      <c r="BS105" s="206"/>
      <c r="BT105" s="212"/>
      <c r="BU105" s="212"/>
      <c r="BV105" s="206"/>
      <c r="BW105" s="212"/>
      <c r="BX105" s="206"/>
      <c r="BY105" s="212"/>
      <c r="BZ105" s="206"/>
      <c r="CA105" s="206">
        <v>42482</v>
      </c>
      <c r="CB105" s="213" t="s">
        <v>134</v>
      </c>
      <c r="CC105" s="212"/>
      <c r="CD105" s="212">
        <v>390000000</v>
      </c>
      <c r="CE105" s="212"/>
      <c r="CF105" s="212"/>
      <c r="CG105" s="212">
        <v>390000000</v>
      </c>
      <c r="CH105" s="200"/>
      <c r="CI105" s="212"/>
      <c r="CJ105" s="255" t="s">
        <v>416</v>
      </c>
    </row>
    <row r="106" spans="1:88" s="503" customFormat="1" ht="14.1" hidden="1" customHeight="1">
      <c r="A106" s="483" t="s">
        <v>3424</v>
      </c>
      <c r="B106" s="478" t="s">
        <v>3284</v>
      </c>
      <c r="C106" s="251" t="s">
        <v>3423</v>
      </c>
      <c r="D106" s="517" t="s">
        <v>3423</v>
      </c>
      <c r="E106" s="500">
        <v>304129949</v>
      </c>
      <c r="F106" s="251" t="s">
        <v>3186</v>
      </c>
      <c r="G106" s="501"/>
      <c r="H106" s="502"/>
      <c r="J106" s="199">
        <v>94</v>
      </c>
      <c r="K106" s="200"/>
      <c r="L106" s="200" t="s">
        <v>503</v>
      </c>
      <c r="M106" s="201" t="s">
        <v>661</v>
      </c>
      <c r="N106" s="536"/>
      <c r="O106" s="202">
        <v>1</v>
      </c>
      <c r="P106" s="201" t="s">
        <v>93</v>
      </c>
      <c r="Q106" s="201" t="s">
        <v>161</v>
      </c>
      <c r="R106" s="201" t="s">
        <v>1635</v>
      </c>
      <c r="S106" s="201" t="s">
        <v>1636</v>
      </c>
      <c r="T106" s="201" t="s">
        <v>106</v>
      </c>
      <c r="U106" s="203">
        <v>120</v>
      </c>
      <c r="V106" s="203">
        <v>122.79</v>
      </c>
      <c r="W106" s="204"/>
      <c r="X106" s="205"/>
      <c r="Y106" s="203"/>
      <c r="Z106" s="206">
        <v>40099</v>
      </c>
      <c r="AA106" s="206" t="s">
        <v>79</v>
      </c>
      <c r="AB106" s="207">
        <v>1</v>
      </c>
      <c r="AC106" s="208" t="s">
        <v>80</v>
      </c>
      <c r="AD106" s="209">
        <v>360000000</v>
      </c>
      <c r="AE106" s="209">
        <v>360000000</v>
      </c>
      <c r="AF106" s="207"/>
      <c r="AG106" s="207"/>
      <c r="AH106" s="209"/>
      <c r="AI106" s="207"/>
      <c r="AJ106" s="208"/>
      <c r="AK106" s="209"/>
      <c r="AL106" s="209"/>
      <c r="AM106" s="206"/>
      <c r="AN106" s="207"/>
      <c r="AO106" s="208"/>
      <c r="AP106" s="209"/>
      <c r="AQ106" s="209"/>
      <c r="AR106" s="207"/>
      <c r="AS106" s="207"/>
      <c r="AT106" s="209"/>
      <c r="AU106" s="209"/>
      <c r="AV106" s="209"/>
      <c r="AW106" s="466" t="s">
        <v>1313</v>
      </c>
      <c r="AX106" s="466" t="s">
        <v>1313</v>
      </c>
      <c r="AY106" s="466" t="s">
        <v>1313</v>
      </c>
      <c r="AZ106" s="466" t="s">
        <v>1313</v>
      </c>
      <c r="BA106" s="466" t="s">
        <v>1313</v>
      </c>
      <c r="BB106" s="466" t="s">
        <v>1313</v>
      </c>
      <c r="BC106" s="207" t="s">
        <v>1320</v>
      </c>
      <c r="BD106" s="210">
        <v>306561624</v>
      </c>
      <c r="BE106" s="210"/>
      <c r="BF106" s="207" t="s">
        <v>101</v>
      </c>
      <c r="BG106" s="207"/>
      <c r="BH106" s="207" t="s">
        <v>99</v>
      </c>
      <c r="BI106" s="207" t="s">
        <v>1637</v>
      </c>
      <c r="BJ106" s="207"/>
      <c r="BK106" s="206">
        <v>42422</v>
      </c>
      <c r="BL106" s="206">
        <v>42496</v>
      </c>
      <c r="BM106" s="206"/>
      <c r="BN106" s="206"/>
      <c r="BO106" s="211"/>
      <c r="BP106" s="207"/>
      <c r="BQ106" s="207"/>
      <c r="BR106" s="206"/>
      <c r="BS106" s="206"/>
      <c r="BT106" s="212"/>
      <c r="BU106" s="212"/>
      <c r="BV106" s="206"/>
      <c r="BW106" s="212"/>
      <c r="BX106" s="206"/>
      <c r="BY106" s="212"/>
      <c r="BZ106" s="206"/>
      <c r="CA106" s="206">
        <v>42482</v>
      </c>
      <c r="CB106" s="213" t="s">
        <v>134</v>
      </c>
      <c r="CC106" s="212"/>
      <c r="CD106" s="212">
        <v>365000000</v>
      </c>
      <c r="CE106" s="212"/>
      <c r="CF106" s="212"/>
      <c r="CG106" s="212">
        <v>365000000</v>
      </c>
      <c r="CH106" s="200"/>
      <c r="CI106" s="212"/>
      <c r="CJ106" s="255" t="s">
        <v>416</v>
      </c>
    </row>
    <row r="107" spans="1:88" s="503" customFormat="1" ht="14.1" hidden="1" customHeight="1">
      <c r="A107" s="483" t="s">
        <v>3424</v>
      </c>
      <c r="B107" s="478" t="s">
        <v>3285</v>
      </c>
      <c r="C107" s="251" t="s">
        <v>3423</v>
      </c>
      <c r="D107" s="517" t="s">
        <v>3423</v>
      </c>
      <c r="E107" s="500">
        <v>299000000</v>
      </c>
      <c r="F107" s="251" t="s">
        <v>3184</v>
      </c>
      <c r="G107" s="501"/>
      <c r="H107" s="502"/>
      <c r="J107" s="199">
        <v>95</v>
      </c>
      <c r="K107" s="200"/>
      <c r="L107" s="200" t="s">
        <v>504</v>
      </c>
      <c r="M107" s="201" t="s">
        <v>152</v>
      </c>
      <c r="N107" s="536"/>
      <c r="O107" s="202">
        <v>1</v>
      </c>
      <c r="P107" s="201" t="s">
        <v>164</v>
      </c>
      <c r="Q107" s="201" t="s">
        <v>165</v>
      </c>
      <c r="R107" s="201" t="s">
        <v>166</v>
      </c>
      <c r="S107" s="201" t="s">
        <v>1638</v>
      </c>
      <c r="T107" s="201" t="s">
        <v>106</v>
      </c>
      <c r="U107" s="203">
        <v>27.335000000000001</v>
      </c>
      <c r="V107" s="203">
        <v>124.816</v>
      </c>
      <c r="W107" s="204"/>
      <c r="X107" s="205"/>
      <c r="Y107" s="203"/>
      <c r="Z107" s="206">
        <v>40455</v>
      </c>
      <c r="AA107" s="206" t="s">
        <v>79</v>
      </c>
      <c r="AB107" s="207">
        <v>1</v>
      </c>
      <c r="AC107" s="208" t="s">
        <v>80</v>
      </c>
      <c r="AD107" s="209">
        <v>358800000</v>
      </c>
      <c r="AE107" s="209">
        <v>358800000</v>
      </c>
      <c r="AF107" s="207"/>
      <c r="AG107" s="207"/>
      <c r="AH107" s="209"/>
      <c r="AI107" s="207"/>
      <c r="AJ107" s="208"/>
      <c r="AK107" s="209"/>
      <c r="AL107" s="209"/>
      <c r="AM107" s="206"/>
      <c r="AN107" s="207"/>
      <c r="AO107" s="208"/>
      <c r="AP107" s="209"/>
      <c r="AQ107" s="209"/>
      <c r="AR107" s="207"/>
      <c r="AS107" s="207"/>
      <c r="AT107" s="209"/>
      <c r="AU107" s="209"/>
      <c r="AV107" s="209"/>
      <c r="AW107" s="466" t="s">
        <v>1313</v>
      </c>
      <c r="AX107" s="466" t="s">
        <v>1313</v>
      </c>
      <c r="AY107" s="466" t="s">
        <v>1313</v>
      </c>
      <c r="AZ107" s="466" t="s">
        <v>1313</v>
      </c>
      <c r="BA107" s="466" t="s">
        <v>1313</v>
      </c>
      <c r="BB107" s="466" t="s">
        <v>1313</v>
      </c>
      <c r="BC107" s="207" t="s">
        <v>82</v>
      </c>
      <c r="BD107" s="210"/>
      <c r="BE107" s="210"/>
      <c r="BF107" s="207"/>
      <c r="BG107" s="207"/>
      <c r="BH107" s="207"/>
      <c r="BI107" s="207"/>
      <c r="BJ107" s="207"/>
      <c r="BK107" s="206"/>
      <c r="BL107" s="206"/>
      <c r="BM107" s="206"/>
      <c r="BN107" s="206"/>
      <c r="BO107" s="211"/>
      <c r="BP107" s="207"/>
      <c r="BQ107" s="207"/>
      <c r="BR107" s="206"/>
      <c r="BS107" s="206"/>
      <c r="BT107" s="212"/>
      <c r="BU107" s="212"/>
      <c r="BV107" s="206"/>
      <c r="BW107" s="212"/>
      <c r="BX107" s="206"/>
      <c r="BY107" s="212"/>
      <c r="BZ107" s="206"/>
      <c r="CA107" s="206">
        <v>42482</v>
      </c>
      <c r="CB107" s="213" t="s">
        <v>134</v>
      </c>
      <c r="CC107" s="212"/>
      <c r="CD107" s="212">
        <v>485000000</v>
      </c>
      <c r="CE107" s="212"/>
      <c r="CF107" s="212"/>
      <c r="CG107" s="212">
        <v>485000000</v>
      </c>
      <c r="CH107" s="200"/>
      <c r="CI107" s="212"/>
      <c r="CJ107" s="255" t="s">
        <v>1639</v>
      </c>
    </row>
    <row r="108" spans="1:88" s="503" customFormat="1" ht="14.1" hidden="1" customHeight="1">
      <c r="A108" s="483" t="s">
        <v>3424</v>
      </c>
      <c r="B108" s="478" t="s">
        <v>3286</v>
      </c>
      <c r="C108" s="251" t="s">
        <v>3423</v>
      </c>
      <c r="D108" s="517" t="s">
        <v>3423</v>
      </c>
      <c r="E108" s="500">
        <v>297052710</v>
      </c>
      <c r="F108" s="251" t="s">
        <v>3186</v>
      </c>
      <c r="G108" s="501"/>
      <c r="H108" s="502"/>
      <c r="J108" s="199">
        <v>96</v>
      </c>
      <c r="K108" s="200"/>
      <c r="L108" s="200" t="s">
        <v>505</v>
      </c>
      <c r="M108" s="201" t="s">
        <v>152</v>
      </c>
      <c r="N108" s="536"/>
      <c r="O108" s="202">
        <v>1</v>
      </c>
      <c r="P108" s="201" t="s">
        <v>93</v>
      </c>
      <c r="Q108" s="201" t="s">
        <v>161</v>
      </c>
      <c r="R108" s="201" t="s">
        <v>1640</v>
      </c>
      <c r="S108" s="201" t="s">
        <v>1641</v>
      </c>
      <c r="T108" s="201" t="s">
        <v>106</v>
      </c>
      <c r="U108" s="203" t="s">
        <v>285</v>
      </c>
      <c r="V108" s="203">
        <v>116.92400000000001</v>
      </c>
      <c r="W108" s="204"/>
      <c r="X108" s="205"/>
      <c r="Y108" s="203"/>
      <c r="Z108" s="206">
        <v>38817</v>
      </c>
      <c r="AA108" s="206" t="s">
        <v>79</v>
      </c>
      <c r="AB108" s="207">
        <v>1</v>
      </c>
      <c r="AC108" s="208" t="s">
        <v>80</v>
      </c>
      <c r="AD108" s="209">
        <v>352800000</v>
      </c>
      <c r="AE108" s="209">
        <v>352800000</v>
      </c>
      <c r="AF108" s="207"/>
      <c r="AG108" s="207"/>
      <c r="AH108" s="209"/>
      <c r="AI108" s="207"/>
      <c r="AJ108" s="208"/>
      <c r="AK108" s="209"/>
      <c r="AL108" s="209"/>
      <c r="AM108" s="206"/>
      <c r="AN108" s="207"/>
      <c r="AO108" s="208"/>
      <c r="AP108" s="209"/>
      <c r="AQ108" s="209"/>
      <c r="AR108" s="207"/>
      <c r="AS108" s="207"/>
      <c r="AT108" s="209"/>
      <c r="AU108" s="209"/>
      <c r="AV108" s="209"/>
      <c r="AW108" s="466" t="s">
        <v>1313</v>
      </c>
      <c r="AX108" s="466" t="s">
        <v>1313</v>
      </c>
      <c r="AY108" s="466" t="s">
        <v>1313</v>
      </c>
      <c r="AZ108" s="466" t="s">
        <v>1313</v>
      </c>
      <c r="BA108" s="466" t="s">
        <v>1313</v>
      </c>
      <c r="BB108" s="466" t="s">
        <v>1313</v>
      </c>
      <c r="BC108" s="207" t="s">
        <v>1320</v>
      </c>
      <c r="BD108" s="210">
        <v>300837607</v>
      </c>
      <c r="BE108" s="210"/>
      <c r="BF108" s="207" t="s">
        <v>101</v>
      </c>
      <c r="BG108" s="207"/>
      <c r="BH108" s="207" t="s">
        <v>99</v>
      </c>
      <c r="BI108" s="207" t="s">
        <v>1642</v>
      </c>
      <c r="BJ108" s="207"/>
      <c r="BK108" s="206">
        <v>42437</v>
      </c>
      <c r="BL108" s="206">
        <v>42510</v>
      </c>
      <c r="BM108" s="206"/>
      <c r="BN108" s="206"/>
      <c r="BO108" s="211"/>
      <c r="BP108" s="207"/>
      <c r="BQ108" s="207"/>
      <c r="BR108" s="206"/>
      <c r="BS108" s="206"/>
      <c r="BT108" s="212"/>
      <c r="BU108" s="212"/>
      <c r="BV108" s="206"/>
      <c r="BW108" s="212"/>
      <c r="BX108" s="206"/>
      <c r="BY108" s="212"/>
      <c r="BZ108" s="206"/>
      <c r="CA108" s="206">
        <v>42482</v>
      </c>
      <c r="CB108" s="213" t="s">
        <v>134</v>
      </c>
      <c r="CC108" s="212"/>
      <c r="CD108" s="212">
        <v>415000000</v>
      </c>
      <c r="CE108" s="212"/>
      <c r="CF108" s="212"/>
      <c r="CG108" s="212">
        <v>415000000</v>
      </c>
      <c r="CH108" s="200"/>
      <c r="CI108" s="212"/>
      <c r="CJ108" s="255" t="s">
        <v>1643</v>
      </c>
    </row>
    <row r="109" spans="1:88" s="503" customFormat="1" ht="14.1" hidden="1" customHeight="1">
      <c r="A109" s="483" t="s">
        <v>3424</v>
      </c>
      <c r="B109" s="478" t="s">
        <v>3287</v>
      </c>
      <c r="C109" s="251" t="s">
        <v>3423</v>
      </c>
      <c r="D109" s="517" t="s">
        <v>3423</v>
      </c>
      <c r="E109" s="500">
        <v>277402224</v>
      </c>
      <c r="F109" s="251" t="s">
        <v>3189</v>
      </c>
      <c r="G109" s="501"/>
      <c r="H109" s="502"/>
      <c r="J109" s="199">
        <v>97</v>
      </c>
      <c r="K109" s="200"/>
      <c r="L109" s="200" t="s">
        <v>506</v>
      </c>
      <c r="M109" s="201" t="s">
        <v>157</v>
      </c>
      <c r="N109" s="536"/>
      <c r="O109" s="202">
        <v>1</v>
      </c>
      <c r="P109" s="201" t="s">
        <v>93</v>
      </c>
      <c r="Q109" s="201" t="s">
        <v>162</v>
      </c>
      <c r="R109" s="201" t="s">
        <v>235</v>
      </c>
      <c r="S109" s="201" t="s">
        <v>1644</v>
      </c>
      <c r="T109" s="201" t="s">
        <v>106</v>
      </c>
      <c r="U109" s="203">
        <v>73.03</v>
      </c>
      <c r="V109" s="203">
        <v>124.06</v>
      </c>
      <c r="W109" s="204"/>
      <c r="X109" s="205"/>
      <c r="Y109" s="203"/>
      <c r="Z109" s="206">
        <v>41390</v>
      </c>
      <c r="AA109" s="206" t="s">
        <v>79</v>
      </c>
      <c r="AB109" s="207">
        <v>1</v>
      </c>
      <c r="AC109" s="208" t="s">
        <v>80</v>
      </c>
      <c r="AD109" s="209">
        <v>333000000</v>
      </c>
      <c r="AE109" s="209">
        <v>333000000</v>
      </c>
      <c r="AF109" s="207"/>
      <c r="AG109" s="207"/>
      <c r="AH109" s="209"/>
      <c r="AI109" s="207"/>
      <c r="AJ109" s="208"/>
      <c r="AK109" s="209"/>
      <c r="AL109" s="209"/>
      <c r="AM109" s="206"/>
      <c r="AN109" s="207"/>
      <c r="AO109" s="208"/>
      <c r="AP109" s="209"/>
      <c r="AQ109" s="209"/>
      <c r="AR109" s="207"/>
      <c r="AS109" s="207"/>
      <c r="AT109" s="209"/>
      <c r="AU109" s="209"/>
      <c r="AV109" s="209"/>
      <c r="AW109" s="466" t="s">
        <v>1313</v>
      </c>
      <c r="AX109" s="466" t="s">
        <v>1313</v>
      </c>
      <c r="AY109" s="466" t="s">
        <v>1313</v>
      </c>
      <c r="AZ109" s="466" t="s">
        <v>1313</v>
      </c>
      <c r="BA109" s="466" t="s">
        <v>1313</v>
      </c>
      <c r="BB109" s="466" t="s">
        <v>1313</v>
      </c>
      <c r="BC109" s="207" t="s">
        <v>82</v>
      </c>
      <c r="BD109" s="210"/>
      <c r="BE109" s="210"/>
      <c r="BF109" s="207"/>
      <c r="BG109" s="207"/>
      <c r="BH109" s="207"/>
      <c r="BI109" s="207"/>
      <c r="BJ109" s="207"/>
      <c r="BK109" s="206"/>
      <c r="BL109" s="206"/>
      <c r="BM109" s="206"/>
      <c r="BN109" s="206"/>
      <c r="BO109" s="211"/>
      <c r="BP109" s="207"/>
      <c r="BQ109" s="207"/>
      <c r="BR109" s="206"/>
      <c r="BS109" s="206"/>
      <c r="BT109" s="212"/>
      <c r="BU109" s="212"/>
      <c r="BV109" s="206"/>
      <c r="BW109" s="212"/>
      <c r="BX109" s="206"/>
      <c r="BY109" s="212"/>
      <c r="BZ109" s="206"/>
      <c r="CA109" s="206">
        <v>42482</v>
      </c>
      <c r="CB109" s="213" t="s">
        <v>134</v>
      </c>
      <c r="CC109" s="212"/>
      <c r="CD109" s="212">
        <v>377500000</v>
      </c>
      <c r="CE109" s="212"/>
      <c r="CF109" s="212"/>
      <c r="CG109" s="212">
        <v>377500000</v>
      </c>
      <c r="CH109" s="200"/>
      <c r="CI109" s="212"/>
      <c r="CJ109" s="255" t="s">
        <v>1645</v>
      </c>
    </row>
    <row r="110" spans="1:88" s="503" customFormat="1" ht="14.1" hidden="1" customHeight="1">
      <c r="A110" s="483" t="s">
        <v>3424</v>
      </c>
      <c r="B110" s="478" t="s">
        <v>3288</v>
      </c>
      <c r="C110" s="251" t="s">
        <v>3423</v>
      </c>
      <c r="D110" s="517" t="s">
        <v>3423</v>
      </c>
      <c r="E110" s="500">
        <v>277000000</v>
      </c>
      <c r="F110" s="251" t="s">
        <v>3189</v>
      </c>
      <c r="G110" s="501"/>
      <c r="H110" s="502"/>
      <c r="J110" s="199">
        <v>98</v>
      </c>
      <c r="K110" s="200"/>
      <c r="L110" s="200" t="s">
        <v>507</v>
      </c>
      <c r="M110" s="201" t="s">
        <v>168</v>
      </c>
      <c r="N110" s="536"/>
      <c r="O110" s="202">
        <v>1</v>
      </c>
      <c r="P110" s="201" t="s">
        <v>93</v>
      </c>
      <c r="Q110" s="201" t="s">
        <v>128</v>
      </c>
      <c r="R110" s="201" t="s">
        <v>1646</v>
      </c>
      <c r="S110" s="201" t="s">
        <v>1647</v>
      </c>
      <c r="T110" s="201" t="s">
        <v>106</v>
      </c>
      <c r="U110" s="203">
        <v>80.514399999999995</v>
      </c>
      <c r="V110" s="203">
        <v>101.31100000000001</v>
      </c>
      <c r="W110" s="204"/>
      <c r="X110" s="205"/>
      <c r="Y110" s="203"/>
      <c r="Z110" s="206">
        <v>41453</v>
      </c>
      <c r="AA110" s="206" t="s">
        <v>79</v>
      </c>
      <c r="AB110" s="207">
        <v>1</v>
      </c>
      <c r="AC110" s="208" t="s">
        <v>80</v>
      </c>
      <c r="AD110" s="209">
        <v>332400000</v>
      </c>
      <c r="AE110" s="209">
        <v>332400000</v>
      </c>
      <c r="AF110" s="207"/>
      <c r="AG110" s="207"/>
      <c r="AH110" s="209"/>
      <c r="AI110" s="207"/>
      <c r="AJ110" s="208"/>
      <c r="AK110" s="209"/>
      <c r="AL110" s="209"/>
      <c r="AM110" s="206"/>
      <c r="AN110" s="207"/>
      <c r="AO110" s="208"/>
      <c r="AP110" s="209"/>
      <c r="AQ110" s="209"/>
      <c r="AR110" s="207"/>
      <c r="AS110" s="207"/>
      <c r="AT110" s="209"/>
      <c r="AU110" s="209"/>
      <c r="AV110" s="209"/>
      <c r="AW110" s="466" t="s">
        <v>1313</v>
      </c>
      <c r="AX110" s="466" t="s">
        <v>1313</v>
      </c>
      <c r="AY110" s="466" t="s">
        <v>1313</v>
      </c>
      <c r="AZ110" s="466" t="s">
        <v>1313</v>
      </c>
      <c r="BA110" s="466" t="s">
        <v>1313</v>
      </c>
      <c r="BB110" s="466" t="s">
        <v>1313</v>
      </c>
      <c r="BC110" s="207" t="s">
        <v>82</v>
      </c>
      <c r="BD110" s="210"/>
      <c r="BE110" s="210"/>
      <c r="BF110" s="207"/>
      <c r="BG110" s="207"/>
      <c r="BH110" s="207"/>
      <c r="BI110" s="207"/>
      <c r="BJ110" s="207"/>
      <c r="BK110" s="206"/>
      <c r="BL110" s="206"/>
      <c r="BM110" s="206"/>
      <c r="BN110" s="206"/>
      <c r="BO110" s="211"/>
      <c r="BP110" s="207"/>
      <c r="BQ110" s="207"/>
      <c r="BR110" s="206"/>
      <c r="BS110" s="206"/>
      <c r="BT110" s="212"/>
      <c r="BU110" s="212"/>
      <c r="BV110" s="206"/>
      <c r="BW110" s="212"/>
      <c r="BX110" s="206"/>
      <c r="BY110" s="212"/>
      <c r="BZ110" s="206"/>
      <c r="CA110" s="206">
        <v>42482</v>
      </c>
      <c r="CB110" s="213" t="s">
        <v>134</v>
      </c>
      <c r="CC110" s="212"/>
      <c r="CD110" s="212">
        <v>502500000</v>
      </c>
      <c r="CE110" s="212"/>
      <c r="CF110" s="212"/>
      <c r="CG110" s="212">
        <v>502500000</v>
      </c>
      <c r="CH110" s="200"/>
      <c r="CI110" s="212"/>
      <c r="CJ110" s="255" t="s">
        <v>416</v>
      </c>
    </row>
    <row r="111" spans="1:88" s="503" customFormat="1" ht="14.1" hidden="1" customHeight="1">
      <c r="A111" s="483" t="s">
        <v>3424</v>
      </c>
      <c r="B111" s="478" t="s">
        <v>3289</v>
      </c>
      <c r="C111" s="251" t="s">
        <v>3423</v>
      </c>
      <c r="D111" s="517" t="s">
        <v>3423</v>
      </c>
      <c r="E111" s="500">
        <v>274999275</v>
      </c>
      <c r="F111" s="251" t="s">
        <v>3189</v>
      </c>
      <c r="G111" s="501"/>
      <c r="H111" s="502"/>
      <c r="J111" s="199">
        <v>99</v>
      </c>
      <c r="K111" s="200"/>
      <c r="L111" s="200" t="s">
        <v>508</v>
      </c>
      <c r="M111" s="201" t="s">
        <v>211</v>
      </c>
      <c r="N111" s="536"/>
      <c r="O111" s="202">
        <v>1</v>
      </c>
      <c r="P111" s="201" t="s">
        <v>93</v>
      </c>
      <c r="Q111" s="201" t="s">
        <v>162</v>
      </c>
      <c r="R111" s="201" t="s">
        <v>1648</v>
      </c>
      <c r="S111" s="201" t="s">
        <v>1649</v>
      </c>
      <c r="T111" s="201" t="s">
        <v>106</v>
      </c>
      <c r="U111" s="203" t="s">
        <v>159</v>
      </c>
      <c r="V111" s="203">
        <v>84.989800000000002</v>
      </c>
      <c r="W111" s="204"/>
      <c r="X111" s="205"/>
      <c r="Y111" s="203"/>
      <c r="Z111" s="206">
        <v>40659</v>
      </c>
      <c r="AA111" s="206" t="s">
        <v>79</v>
      </c>
      <c r="AB111" s="207">
        <v>1</v>
      </c>
      <c r="AC111" s="208" t="s">
        <v>80</v>
      </c>
      <c r="AD111" s="209">
        <v>330000000</v>
      </c>
      <c r="AE111" s="209">
        <v>330000000</v>
      </c>
      <c r="AF111" s="207"/>
      <c r="AG111" s="207"/>
      <c r="AH111" s="209"/>
      <c r="AI111" s="207"/>
      <c r="AJ111" s="208"/>
      <c r="AK111" s="209"/>
      <c r="AL111" s="209"/>
      <c r="AM111" s="206"/>
      <c r="AN111" s="207"/>
      <c r="AO111" s="208"/>
      <c r="AP111" s="209"/>
      <c r="AQ111" s="209"/>
      <c r="AR111" s="207"/>
      <c r="AS111" s="207"/>
      <c r="AT111" s="209"/>
      <c r="AU111" s="209"/>
      <c r="AV111" s="209"/>
      <c r="AW111" s="466" t="s">
        <v>1313</v>
      </c>
      <c r="AX111" s="466" t="s">
        <v>1313</v>
      </c>
      <c r="AY111" s="466" t="s">
        <v>1313</v>
      </c>
      <c r="AZ111" s="466" t="s">
        <v>1313</v>
      </c>
      <c r="BA111" s="466" t="s">
        <v>1313</v>
      </c>
      <c r="BB111" s="466" t="s">
        <v>1313</v>
      </c>
      <c r="BC111" s="207" t="s">
        <v>82</v>
      </c>
      <c r="BD111" s="210"/>
      <c r="BE111" s="210"/>
      <c r="BF111" s="207"/>
      <c r="BG111" s="207"/>
      <c r="BH111" s="207"/>
      <c r="BI111" s="207"/>
      <c r="BJ111" s="207"/>
      <c r="BK111" s="206"/>
      <c r="BL111" s="206"/>
      <c r="BM111" s="206"/>
      <c r="BN111" s="206"/>
      <c r="BO111" s="211"/>
      <c r="BP111" s="207"/>
      <c r="BQ111" s="207"/>
      <c r="BR111" s="206"/>
      <c r="BS111" s="206"/>
      <c r="BT111" s="212"/>
      <c r="BU111" s="212"/>
      <c r="BV111" s="206"/>
      <c r="BW111" s="212"/>
      <c r="BX111" s="206"/>
      <c r="BY111" s="212"/>
      <c r="BZ111" s="206"/>
      <c r="CA111" s="206">
        <v>42482</v>
      </c>
      <c r="CB111" s="213" t="s">
        <v>134</v>
      </c>
      <c r="CC111" s="212"/>
      <c r="CD111" s="212">
        <v>392500000</v>
      </c>
      <c r="CE111" s="212"/>
      <c r="CF111" s="212"/>
      <c r="CG111" s="212">
        <v>392500000</v>
      </c>
      <c r="CH111" s="200"/>
      <c r="CI111" s="212"/>
      <c r="CJ111" s="255" t="s">
        <v>416</v>
      </c>
    </row>
    <row r="112" spans="1:88" s="503" customFormat="1" ht="14.1" hidden="1" customHeight="1">
      <c r="A112" s="483" t="s">
        <v>3424</v>
      </c>
      <c r="B112" s="478" t="s">
        <v>3290</v>
      </c>
      <c r="C112" s="521" t="s">
        <v>3435</v>
      </c>
      <c r="D112" s="521" t="s">
        <v>3435</v>
      </c>
      <c r="E112" s="500">
        <v>259000000</v>
      </c>
      <c r="F112" s="251" t="s">
        <v>3189</v>
      </c>
      <c r="G112" s="501"/>
      <c r="H112" s="502"/>
      <c r="J112" s="199">
        <v>100</v>
      </c>
      <c r="K112" s="200"/>
      <c r="L112" s="200" t="s">
        <v>509</v>
      </c>
      <c r="M112" s="201" t="s">
        <v>130</v>
      </c>
      <c r="N112" s="536"/>
      <c r="O112" s="202">
        <v>1</v>
      </c>
      <c r="P112" s="201" t="s">
        <v>93</v>
      </c>
      <c r="Q112" s="201" t="s">
        <v>143</v>
      </c>
      <c r="R112" s="201" t="s">
        <v>1650</v>
      </c>
      <c r="S112" s="201" t="s">
        <v>1651</v>
      </c>
      <c r="T112" s="201" t="s">
        <v>163</v>
      </c>
      <c r="U112" s="203">
        <v>29.067</v>
      </c>
      <c r="V112" s="203">
        <v>175.5</v>
      </c>
      <c r="W112" s="204"/>
      <c r="X112" s="205"/>
      <c r="Y112" s="203"/>
      <c r="Z112" s="206">
        <v>40066</v>
      </c>
      <c r="AA112" s="206" t="s">
        <v>79</v>
      </c>
      <c r="AB112" s="207">
        <v>1</v>
      </c>
      <c r="AC112" s="208" t="s">
        <v>80</v>
      </c>
      <c r="AD112" s="209">
        <v>310800000</v>
      </c>
      <c r="AE112" s="209">
        <v>310800000</v>
      </c>
      <c r="AF112" s="207"/>
      <c r="AG112" s="207"/>
      <c r="AH112" s="209"/>
      <c r="AI112" s="207"/>
      <c r="AJ112" s="208"/>
      <c r="AK112" s="209"/>
      <c r="AL112" s="209"/>
      <c r="AM112" s="206"/>
      <c r="AN112" s="207"/>
      <c r="AO112" s="208"/>
      <c r="AP112" s="209"/>
      <c r="AQ112" s="209"/>
      <c r="AR112" s="207"/>
      <c r="AS112" s="207"/>
      <c r="AT112" s="209"/>
      <c r="AU112" s="209"/>
      <c r="AV112" s="209"/>
      <c r="AW112" s="466" t="s">
        <v>1313</v>
      </c>
      <c r="AX112" s="466" t="s">
        <v>1313</v>
      </c>
      <c r="AY112" s="466" t="s">
        <v>1313</v>
      </c>
      <c r="AZ112" s="466" t="s">
        <v>1313</v>
      </c>
      <c r="BA112" s="466" t="s">
        <v>1313</v>
      </c>
      <c r="BB112" s="466" t="s">
        <v>1313</v>
      </c>
      <c r="BC112" s="207" t="s">
        <v>82</v>
      </c>
      <c r="BD112" s="210"/>
      <c r="BE112" s="210"/>
      <c r="BF112" s="207"/>
      <c r="BG112" s="207"/>
      <c r="BH112" s="207"/>
      <c r="BI112" s="207"/>
      <c r="BJ112" s="207"/>
      <c r="BK112" s="206"/>
      <c r="BL112" s="206"/>
      <c r="BM112" s="206"/>
      <c r="BN112" s="206"/>
      <c r="BO112" s="211"/>
      <c r="BP112" s="207"/>
      <c r="BQ112" s="207"/>
      <c r="BR112" s="206"/>
      <c r="BS112" s="206"/>
      <c r="BT112" s="212"/>
      <c r="BU112" s="212"/>
      <c r="BV112" s="206"/>
      <c r="BW112" s="212"/>
      <c r="BX112" s="206"/>
      <c r="BY112" s="212"/>
      <c r="BZ112" s="206"/>
      <c r="CA112" s="206">
        <v>42482</v>
      </c>
      <c r="CB112" s="213" t="s">
        <v>134</v>
      </c>
      <c r="CC112" s="212"/>
      <c r="CD112" s="212">
        <v>570000000</v>
      </c>
      <c r="CE112" s="212"/>
      <c r="CF112" s="212"/>
      <c r="CG112" s="212">
        <v>570000000</v>
      </c>
      <c r="CH112" s="200"/>
      <c r="CI112" s="212"/>
      <c r="CJ112" s="255" t="s">
        <v>416</v>
      </c>
    </row>
    <row r="113" spans="1:88" s="503" customFormat="1" ht="14.1" hidden="1" customHeight="1">
      <c r="A113" s="483" t="s">
        <v>3424</v>
      </c>
      <c r="B113" s="478" t="s">
        <v>3291</v>
      </c>
      <c r="C113" s="251" t="s">
        <v>3423</v>
      </c>
      <c r="D113" s="517" t="s">
        <v>3423</v>
      </c>
      <c r="E113" s="500">
        <v>261328388</v>
      </c>
      <c r="F113" s="251" t="s">
        <v>3186</v>
      </c>
      <c r="G113" s="501"/>
      <c r="H113" s="502"/>
      <c r="J113" s="199">
        <v>101</v>
      </c>
      <c r="K113" s="200"/>
      <c r="L113" s="200" t="s">
        <v>510</v>
      </c>
      <c r="M113" s="201" t="s">
        <v>130</v>
      </c>
      <c r="N113" s="536"/>
      <c r="O113" s="202">
        <v>1</v>
      </c>
      <c r="P113" s="201" t="s">
        <v>93</v>
      </c>
      <c r="Q113" s="201" t="s">
        <v>176</v>
      </c>
      <c r="R113" s="201" t="s">
        <v>1652</v>
      </c>
      <c r="S113" s="201" t="s">
        <v>1653</v>
      </c>
      <c r="T113" s="201" t="s">
        <v>106</v>
      </c>
      <c r="U113" s="203">
        <v>71.443799999999996</v>
      </c>
      <c r="V113" s="203">
        <v>115.61</v>
      </c>
      <c r="W113" s="204"/>
      <c r="X113" s="205"/>
      <c r="Y113" s="203"/>
      <c r="Z113" s="206">
        <v>41948</v>
      </c>
      <c r="AA113" s="206" t="s">
        <v>79</v>
      </c>
      <c r="AB113" s="207">
        <v>1</v>
      </c>
      <c r="AC113" s="208" t="s">
        <v>80</v>
      </c>
      <c r="AD113" s="209">
        <v>298200000</v>
      </c>
      <c r="AE113" s="209">
        <v>298200000</v>
      </c>
      <c r="AF113" s="207"/>
      <c r="AG113" s="207"/>
      <c r="AH113" s="209"/>
      <c r="AI113" s="207"/>
      <c r="AJ113" s="208"/>
      <c r="AK113" s="209"/>
      <c r="AL113" s="209"/>
      <c r="AM113" s="206"/>
      <c r="AN113" s="207"/>
      <c r="AO113" s="208"/>
      <c r="AP113" s="209"/>
      <c r="AQ113" s="209"/>
      <c r="AR113" s="207"/>
      <c r="AS113" s="207"/>
      <c r="AT113" s="209"/>
      <c r="AU113" s="209"/>
      <c r="AV113" s="209"/>
      <c r="AW113" s="466" t="s">
        <v>1313</v>
      </c>
      <c r="AX113" s="466" t="s">
        <v>1313</v>
      </c>
      <c r="AY113" s="466" t="s">
        <v>1313</v>
      </c>
      <c r="AZ113" s="466" t="s">
        <v>1313</v>
      </c>
      <c r="BA113" s="466" t="s">
        <v>1313</v>
      </c>
      <c r="BB113" s="466" t="s">
        <v>1313</v>
      </c>
      <c r="BC113" s="207" t="s">
        <v>1320</v>
      </c>
      <c r="BD113" s="210"/>
      <c r="BE113" s="210"/>
      <c r="BF113" s="207" t="s">
        <v>101</v>
      </c>
      <c r="BG113" s="207"/>
      <c r="BH113" s="207" t="s">
        <v>178</v>
      </c>
      <c r="BI113" s="207" t="s">
        <v>1654</v>
      </c>
      <c r="BJ113" s="207"/>
      <c r="BK113" s="206"/>
      <c r="BL113" s="206"/>
      <c r="BM113" s="206"/>
      <c r="BN113" s="206"/>
      <c r="BO113" s="211"/>
      <c r="BP113" s="207"/>
      <c r="BQ113" s="207"/>
      <c r="BR113" s="206"/>
      <c r="BS113" s="206"/>
      <c r="BT113" s="212"/>
      <c r="BU113" s="212"/>
      <c r="BV113" s="206"/>
      <c r="BW113" s="212"/>
      <c r="BX113" s="206"/>
      <c r="BY113" s="212"/>
      <c r="BZ113" s="206"/>
      <c r="CA113" s="206">
        <v>42482</v>
      </c>
      <c r="CB113" s="213" t="s">
        <v>134</v>
      </c>
      <c r="CC113" s="212"/>
      <c r="CD113" s="212">
        <v>360000000</v>
      </c>
      <c r="CE113" s="212"/>
      <c r="CF113" s="212"/>
      <c r="CG113" s="212">
        <v>360000000</v>
      </c>
      <c r="CH113" s="200"/>
      <c r="CI113" s="212"/>
      <c r="CJ113" s="255" t="s">
        <v>1655</v>
      </c>
    </row>
    <row r="114" spans="1:88" s="503" customFormat="1" ht="14.1" hidden="1" customHeight="1">
      <c r="A114" s="483" t="s">
        <v>3424</v>
      </c>
      <c r="B114" s="478" t="s">
        <v>3292</v>
      </c>
      <c r="C114" s="251" t="s">
        <v>3423</v>
      </c>
      <c r="D114" s="517" t="s">
        <v>3423</v>
      </c>
      <c r="E114" s="500">
        <v>249100000</v>
      </c>
      <c r="F114" s="251" t="s">
        <v>3185</v>
      </c>
      <c r="G114" s="501"/>
      <c r="H114" s="502"/>
      <c r="J114" s="199">
        <v>102</v>
      </c>
      <c r="K114" s="200"/>
      <c r="L114" s="200" t="s">
        <v>511</v>
      </c>
      <c r="M114" s="201" t="s">
        <v>665</v>
      </c>
      <c r="N114" s="536"/>
      <c r="O114" s="202">
        <v>1</v>
      </c>
      <c r="P114" s="201" t="s">
        <v>93</v>
      </c>
      <c r="Q114" s="201" t="s">
        <v>1656</v>
      </c>
      <c r="R114" s="201" t="s">
        <v>1657</v>
      </c>
      <c r="S114" s="201" t="s">
        <v>1658</v>
      </c>
      <c r="T114" s="201" t="s">
        <v>106</v>
      </c>
      <c r="U114" s="203">
        <v>86.67</v>
      </c>
      <c r="V114" s="203">
        <v>123.97</v>
      </c>
      <c r="W114" s="204"/>
      <c r="X114" s="205"/>
      <c r="Y114" s="203"/>
      <c r="Z114" s="206">
        <v>40878</v>
      </c>
      <c r="AA114" s="206" t="s">
        <v>79</v>
      </c>
      <c r="AB114" s="207">
        <v>1</v>
      </c>
      <c r="AC114" s="208" t="s">
        <v>80</v>
      </c>
      <c r="AD114" s="209">
        <v>298920000</v>
      </c>
      <c r="AE114" s="209">
        <v>298920000</v>
      </c>
      <c r="AF114" s="207"/>
      <c r="AG114" s="207"/>
      <c r="AH114" s="209"/>
      <c r="AI114" s="207"/>
      <c r="AJ114" s="208"/>
      <c r="AK114" s="209"/>
      <c r="AL114" s="209"/>
      <c r="AM114" s="206"/>
      <c r="AN114" s="207"/>
      <c r="AO114" s="208"/>
      <c r="AP114" s="209"/>
      <c r="AQ114" s="209"/>
      <c r="AR114" s="207"/>
      <c r="AS114" s="207"/>
      <c r="AT114" s="209"/>
      <c r="AU114" s="209"/>
      <c r="AV114" s="209"/>
      <c r="AW114" s="466" t="s">
        <v>1313</v>
      </c>
      <c r="AX114" s="466" t="s">
        <v>1313</v>
      </c>
      <c r="AY114" s="466" t="s">
        <v>1313</v>
      </c>
      <c r="AZ114" s="466" t="s">
        <v>1313</v>
      </c>
      <c r="BA114" s="466" t="s">
        <v>1313</v>
      </c>
      <c r="BB114" s="466" t="s">
        <v>1313</v>
      </c>
      <c r="BC114" s="207" t="s">
        <v>82</v>
      </c>
      <c r="BD114" s="210"/>
      <c r="BE114" s="210"/>
      <c r="BF114" s="207"/>
      <c r="BG114" s="207"/>
      <c r="BH114" s="207"/>
      <c r="BI114" s="207"/>
      <c r="BJ114" s="207"/>
      <c r="BK114" s="206"/>
      <c r="BL114" s="206"/>
      <c r="BM114" s="206"/>
      <c r="BN114" s="206"/>
      <c r="BO114" s="211"/>
      <c r="BP114" s="207"/>
      <c r="BQ114" s="207"/>
      <c r="BR114" s="206"/>
      <c r="BS114" s="206"/>
      <c r="BT114" s="212"/>
      <c r="BU114" s="212"/>
      <c r="BV114" s="206"/>
      <c r="BW114" s="212"/>
      <c r="BX114" s="206"/>
      <c r="BY114" s="212"/>
      <c r="BZ114" s="206"/>
      <c r="CA114" s="206">
        <v>42482</v>
      </c>
      <c r="CB114" s="213" t="s">
        <v>134</v>
      </c>
      <c r="CC114" s="212"/>
      <c r="CD114" s="212">
        <v>380000000</v>
      </c>
      <c r="CE114" s="212"/>
      <c r="CF114" s="212"/>
      <c r="CG114" s="212">
        <v>380000000</v>
      </c>
      <c r="CH114" s="200"/>
      <c r="CI114" s="212"/>
      <c r="CJ114" s="255" t="s">
        <v>416</v>
      </c>
    </row>
    <row r="115" spans="1:88" s="503" customFormat="1" ht="14.1" hidden="1" customHeight="1">
      <c r="A115" s="483" t="s">
        <v>3424</v>
      </c>
      <c r="B115" s="478" t="s">
        <v>3293</v>
      </c>
      <c r="C115" s="251" t="s">
        <v>3423</v>
      </c>
      <c r="D115" s="517" t="s">
        <v>3423</v>
      </c>
      <c r="E115" s="500">
        <v>246161905</v>
      </c>
      <c r="F115" s="251" t="s">
        <v>3186</v>
      </c>
      <c r="G115" s="501"/>
      <c r="H115" s="502"/>
      <c r="J115" s="199">
        <v>103</v>
      </c>
      <c r="K115" s="200"/>
      <c r="L115" s="200" t="s">
        <v>512</v>
      </c>
      <c r="M115" s="201" t="s">
        <v>152</v>
      </c>
      <c r="N115" s="536"/>
      <c r="O115" s="202">
        <v>1</v>
      </c>
      <c r="P115" s="201" t="s">
        <v>93</v>
      </c>
      <c r="Q115" s="201" t="s">
        <v>161</v>
      </c>
      <c r="R115" s="201" t="s">
        <v>1659</v>
      </c>
      <c r="S115" s="201" t="s">
        <v>1660</v>
      </c>
      <c r="T115" s="201" t="s">
        <v>106</v>
      </c>
      <c r="U115" s="203">
        <v>106.44</v>
      </c>
      <c r="V115" s="203">
        <v>120.82</v>
      </c>
      <c r="W115" s="204"/>
      <c r="X115" s="205"/>
      <c r="Y115" s="203"/>
      <c r="Z115" s="206">
        <v>41926</v>
      </c>
      <c r="AA115" s="206" t="s">
        <v>79</v>
      </c>
      <c r="AB115" s="207">
        <v>1</v>
      </c>
      <c r="AC115" s="208" t="s">
        <v>80</v>
      </c>
      <c r="AD115" s="209">
        <v>300000000</v>
      </c>
      <c r="AE115" s="209">
        <v>300000000</v>
      </c>
      <c r="AF115" s="207"/>
      <c r="AG115" s="207"/>
      <c r="AH115" s="209"/>
      <c r="AI115" s="207"/>
      <c r="AJ115" s="208"/>
      <c r="AK115" s="209"/>
      <c r="AL115" s="209"/>
      <c r="AM115" s="206"/>
      <c r="AN115" s="207"/>
      <c r="AO115" s="208"/>
      <c r="AP115" s="209"/>
      <c r="AQ115" s="209"/>
      <c r="AR115" s="207"/>
      <c r="AS115" s="207"/>
      <c r="AT115" s="209"/>
      <c r="AU115" s="209"/>
      <c r="AV115" s="209"/>
      <c r="AW115" s="466" t="s">
        <v>1313</v>
      </c>
      <c r="AX115" s="466" t="s">
        <v>1313</v>
      </c>
      <c r="AY115" s="466" t="s">
        <v>1313</v>
      </c>
      <c r="AZ115" s="466" t="s">
        <v>1313</v>
      </c>
      <c r="BA115" s="466" t="s">
        <v>1313</v>
      </c>
      <c r="BB115" s="466" t="s">
        <v>1313</v>
      </c>
      <c r="BC115" s="207" t="s">
        <v>1320</v>
      </c>
      <c r="BD115" s="210"/>
      <c r="BE115" s="210">
        <v>473214597</v>
      </c>
      <c r="BF115" s="207" t="s">
        <v>86</v>
      </c>
      <c r="BG115" s="207"/>
      <c r="BH115" s="207" t="s">
        <v>99</v>
      </c>
      <c r="BI115" s="207" t="s">
        <v>1661</v>
      </c>
      <c r="BJ115" s="207"/>
      <c r="BK115" s="206">
        <v>42293</v>
      </c>
      <c r="BL115" s="206">
        <v>42369</v>
      </c>
      <c r="BM115" s="206"/>
      <c r="BN115" s="206"/>
      <c r="BO115" s="211"/>
      <c r="BP115" s="207"/>
      <c r="BQ115" s="207"/>
      <c r="BR115" s="206"/>
      <c r="BS115" s="206"/>
      <c r="BT115" s="212"/>
      <c r="BU115" s="212"/>
      <c r="BV115" s="206"/>
      <c r="BW115" s="212"/>
      <c r="BX115" s="206"/>
      <c r="BY115" s="212"/>
      <c r="BZ115" s="206"/>
      <c r="CA115" s="206">
        <v>42482</v>
      </c>
      <c r="CB115" s="213" t="s">
        <v>134</v>
      </c>
      <c r="CC115" s="212"/>
      <c r="CD115" s="212">
        <v>372500000</v>
      </c>
      <c r="CE115" s="212"/>
      <c r="CF115" s="212"/>
      <c r="CG115" s="212">
        <v>372500000</v>
      </c>
      <c r="CH115" s="200"/>
      <c r="CI115" s="212"/>
      <c r="CJ115" s="255" t="s">
        <v>416</v>
      </c>
    </row>
    <row r="116" spans="1:88" s="503" customFormat="1" ht="14.1" hidden="1" customHeight="1">
      <c r="A116" s="483" t="s">
        <v>3424</v>
      </c>
      <c r="B116" s="478" t="s">
        <v>3294</v>
      </c>
      <c r="C116" s="251" t="s">
        <v>3423</v>
      </c>
      <c r="D116" s="517" t="s">
        <v>3423</v>
      </c>
      <c r="E116" s="500">
        <v>241057444</v>
      </c>
      <c r="F116" s="251" t="s">
        <v>3185</v>
      </c>
      <c r="G116" s="501"/>
      <c r="H116" s="502"/>
      <c r="J116" s="199">
        <v>104</v>
      </c>
      <c r="K116" s="200"/>
      <c r="L116" s="200" t="s">
        <v>513</v>
      </c>
      <c r="M116" s="201" t="s">
        <v>152</v>
      </c>
      <c r="N116" s="536"/>
      <c r="O116" s="202">
        <v>1</v>
      </c>
      <c r="P116" s="201" t="s">
        <v>93</v>
      </c>
      <c r="Q116" s="201" t="s">
        <v>1662</v>
      </c>
      <c r="R116" s="201" t="s">
        <v>1663</v>
      </c>
      <c r="S116" s="201" t="s">
        <v>1664</v>
      </c>
      <c r="T116" s="201" t="s">
        <v>106</v>
      </c>
      <c r="U116" s="203">
        <v>35.734000000000002</v>
      </c>
      <c r="V116" s="203">
        <v>84.644999999999996</v>
      </c>
      <c r="W116" s="204"/>
      <c r="X116" s="205"/>
      <c r="Y116" s="203"/>
      <c r="Z116" s="206">
        <v>36613</v>
      </c>
      <c r="AA116" s="206" t="s">
        <v>79</v>
      </c>
      <c r="AB116" s="207" t="s">
        <v>89</v>
      </c>
      <c r="AC116" s="208" t="s">
        <v>80</v>
      </c>
      <c r="AD116" s="209">
        <v>192600000</v>
      </c>
      <c r="AE116" s="209">
        <v>192600000</v>
      </c>
      <c r="AF116" s="207"/>
      <c r="AG116" s="207"/>
      <c r="AH116" s="209"/>
      <c r="AI116" s="207"/>
      <c r="AJ116" s="208"/>
      <c r="AK116" s="209"/>
      <c r="AL116" s="209"/>
      <c r="AM116" s="206"/>
      <c r="AN116" s="207"/>
      <c r="AO116" s="208"/>
      <c r="AP116" s="209"/>
      <c r="AQ116" s="209"/>
      <c r="AR116" s="207"/>
      <c r="AS116" s="207"/>
      <c r="AT116" s="209"/>
      <c r="AU116" s="209"/>
      <c r="AV116" s="209"/>
      <c r="AW116" s="466" t="s">
        <v>1313</v>
      </c>
      <c r="AX116" s="466" t="s">
        <v>1313</v>
      </c>
      <c r="AY116" s="466" t="s">
        <v>1313</v>
      </c>
      <c r="AZ116" s="466" t="s">
        <v>1313</v>
      </c>
      <c r="BA116" s="466" t="s">
        <v>1313</v>
      </c>
      <c r="BB116" s="466" t="s">
        <v>1313</v>
      </c>
      <c r="BC116" s="207" t="s">
        <v>1320</v>
      </c>
      <c r="BD116" s="210">
        <v>192600000</v>
      </c>
      <c r="BE116" s="210"/>
      <c r="BF116" s="207" t="s">
        <v>101</v>
      </c>
      <c r="BG116" s="207"/>
      <c r="BH116" s="207" t="s">
        <v>99</v>
      </c>
      <c r="BI116" s="207" t="s">
        <v>1665</v>
      </c>
      <c r="BJ116" s="207"/>
      <c r="BK116" s="206">
        <v>42412</v>
      </c>
      <c r="BL116" s="206">
        <v>42485</v>
      </c>
      <c r="BM116" s="206"/>
      <c r="BN116" s="206"/>
      <c r="BO116" s="211"/>
      <c r="BP116" s="207"/>
      <c r="BQ116" s="207"/>
      <c r="BR116" s="206"/>
      <c r="BS116" s="206"/>
      <c r="BT116" s="212"/>
      <c r="BU116" s="212"/>
      <c r="BV116" s="206"/>
      <c r="BW116" s="212"/>
      <c r="BX116" s="206"/>
      <c r="BY116" s="212"/>
      <c r="BZ116" s="206"/>
      <c r="CA116" s="206">
        <v>42482</v>
      </c>
      <c r="CB116" s="213" t="s">
        <v>134</v>
      </c>
      <c r="CC116" s="212"/>
      <c r="CD116" s="212">
        <v>232500000</v>
      </c>
      <c r="CE116" s="212"/>
      <c r="CF116" s="212"/>
      <c r="CG116" s="212">
        <v>232500000</v>
      </c>
      <c r="CH116" s="200"/>
      <c r="CI116" s="212"/>
      <c r="CJ116" s="255" t="s">
        <v>1666</v>
      </c>
    </row>
    <row r="117" spans="1:88" s="503" customFormat="1" ht="14.1" hidden="1" customHeight="1">
      <c r="A117" s="483" t="s">
        <v>3424</v>
      </c>
      <c r="B117" s="478" t="s">
        <v>3295</v>
      </c>
      <c r="C117" s="251" t="s">
        <v>3423</v>
      </c>
      <c r="D117" s="517" t="s">
        <v>3423</v>
      </c>
      <c r="E117" s="500">
        <v>240000000</v>
      </c>
      <c r="F117" s="251" t="s">
        <v>3187</v>
      </c>
      <c r="G117" s="501"/>
      <c r="H117" s="502"/>
      <c r="J117" s="199">
        <v>105</v>
      </c>
      <c r="K117" s="200"/>
      <c r="L117" s="200" t="s">
        <v>514</v>
      </c>
      <c r="M117" s="201" t="s">
        <v>666</v>
      </c>
      <c r="N117" s="536"/>
      <c r="O117" s="202">
        <v>1</v>
      </c>
      <c r="P117" s="201" t="s">
        <v>210</v>
      </c>
      <c r="Q117" s="201" t="s">
        <v>1667</v>
      </c>
      <c r="R117" s="201" t="s">
        <v>1668</v>
      </c>
      <c r="S117" s="201" t="s">
        <v>1669</v>
      </c>
      <c r="T117" s="201" t="s">
        <v>106</v>
      </c>
      <c r="U117" s="203">
        <v>44.948999999999998</v>
      </c>
      <c r="V117" s="203">
        <v>84.86</v>
      </c>
      <c r="W117" s="204"/>
      <c r="X117" s="205"/>
      <c r="Y117" s="203"/>
      <c r="Z117" s="206">
        <v>41935</v>
      </c>
      <c r="AA117" s="206" t="s">
        <v>79</v>
      </c>
      <c r="AB117" s="207">
        <v>1</v>
      </c>
      <c r="AC117" s="208" t="s">
        <v>80</v>
      </c>
      <c r="AD117" s="209">
        <v>336000000</v>
      </c>
      <c r="AE117" s="209">
        <v>336000000</v>
      </c>
      <c r="AF117" s="207"/>
      <c r="AG117" s="207"/>
      <c r="AH117" s="209"/>
      <c r="AI117" s="207"/>
      <c r="AJ117" s="208"/>
      <c r="AK117" s="209"/>
      <c r="AL117" s="209"/>
      <c r="AM117" s="206"/>
      <c r="AN117" s="207"/>
      <c r="AO117" s="208"/>
      <c r="AP117" s="209"/>
      <c r="AQ117" s="209"/>
      <c r="AR117" s="207"/>
      <c r="AS117" s="207"/>
      <c r="AT117" s="209"/>
      <c r="AU117" s="209"/>
      <c r="AV117" s="209"/>
      <c r="AW117" s="466" t="s">
        <v>1313</v>
      </c>
      <c r="AX117" s="466" t="s">
        <v>1313</v>
      </c>
      <c r="AY117" s="466" t="s">
        <v>1313</v>
      </c>
      <c r="AZ117" s="466" t="s">
        <v>1313</v>
      </c>
      <c r="BA117" s="466" t="s">
        <v>1313</v>
      </c>
      <c r="BB117" s="466" t="s">
        <v>1313</v>
      </c>
      <c r="BC117" s="207" t="s">
        <v>82</v>
      </c>
      <c r="BD117" s="210"/>
      <c r="BE117" s="210"/>
      <c r="BF117" s="207"/>
      <c r="BG117" s="207"/>
      <c r="BH117" s="207"/>
      <c r="BI117" s="207"/>
      <c r="BJ117" s="207"/>
      <c r="BK117" s="206"/>
      <c r="BL117" s="206"/>
      <c r="BM117" s="206"/>
      <c r="BN117" s="206"/>
      <c r="BO117" s="211"/>
      <c r="BP117" s="207"/>
      <c r="BQ117" s="207"/>
      <c r="BR117" s="206"/>
      <c r="BS117" s="206"/>
      <c r="BT117" s="212"/>
      <c r="BU117" s="212"/>
      <c r="BV117" s="206"/>
      <c r="BW117" s="212"/>
      <c r="BX117" s="206"/>
      <c r="BY117" s="212"/>
      <c r="BZ117" s="206"/>
      <c r="CA117" s="206">
        <v>42482</v>
      </c>
      <c r="CB117" s="213" t="s">
        <v>134</v>
      </c>
      <c r="CC117" s="212"/>
      <c r="CD117" s="212">
        <v>255000000</v>
      </c>
      <c r="CE117" s="212"/>
      <c r="CF117" s="212"/>
      <c r="CG117" s="212">
        <v>255000000</v>
      </c>
      <c r="CH117" s="200"/>
      <c r="CI117" s="212"/>
      <c r="CJ117" s="255" t="s">
        <v>416</v>
      </c>
    </row>
    <row r="118" spans="1:88" s="503" customFormat="1" ht="14.1" hidden="1" customHeight="1">
      <c r="A118" s="483" t="s">
        <v>3424</v>
      </c>
      <c r="B118" s="478" t="s">
        <v>3296</v>
      </c>
      <c r="C118" s="251" t="s">
        <v>3423</v>
      </c>
      <c r="D118" s="517" t="s">
        <v>3423</v>
      </c>
      <c r="E118" s="500">
        <v>226998219</v>
      </c>
      <c r="F118" s="251" t="s">
        <v>3189</v>
      </c>
      <c r="G118" s="501"/>
      <c r="H118" s="502"/>
      <c r="J118" s="199">
        <v>106</v>
      </c>
      <c r="K118" s="200"/>
      <c r="L118" s="200" t="s">
        <v>515</v>
      </c>
      <c r="M118" s="201" t="s">
        <v>148</v>
      </c>
      <c r="N118" s="536"/>
      <c r="O118" s="202">
        <v>1</v>
      </c>
      <c r="P118" s="201" t="s">
        <v>103</v>
      </c>
      <c r="Q118" s="201" t="s">
        <v>120</v>
      </c>
      <c r="R118" s="201" t="s">
        <v>121</v>
      </c>
      <c r="S118" s="201" t="s">
        <v>1670</v>
      </c>
      <c r="T118" s="201" t="s">
        <v>106</v>
      </c>
      <c r="U118" s="203">
        <v>44.39</v>
      </c>
      <c r="V118" s="203">
        <v>84.32</v>
      </c>
      <c r="W118" s="204"/>
      <c r="X118" s="205"/>
      <c r="Y118" s="203"/>
      <c r="Z118" s="206">
        <v>40696</v>
      </c>
      <c r="AA118" s="206" t="s">
        <v>79</v>
      </c>
      <c r="AB118" s="207">
        <v>1</v>
      </c>
      <c r="AC118" s="208" t="s">
        <v>80</v>
      </c>
      <c r="AD118" s="209">
        <v>272400000</v>
      </c>
      <c r="AE118" s="209">
        <v>272400000</v>
      </c>
      <c r="AF118" s="207"/>
      <c r="AG118" s="207"/>
      <c r="AH118" s="209"/>
      <c r="AI118" s="207"/>
      <c r="AJ118" s="208"/>
      <c r="AK118" s="209"/>
      <c r="AL118" s="209"/>
      <c r="AM118" s="206"/>
      <c r="AN118" s="207"/>
      <c r="AO118" s="208"/>
      <c r="AP118" s="209"/>
      <c r="AQ118" s="209"/>
      <c r="AR118" s="207"/>
      <c r="AS118" s="207"/>
      <c r="AT118" s="209"/>
      <c r="AU118" s="209"/>
      <c r="AV118" s="209"/>
      <c r="AW118" s="466" t="s">
        <v>1313</v>
      </c>
      <c r="AX118" s="466" t="s">
        <v>1313</v>
      </c>
      <c r="AY118" s="466" t="s">
        <v>1313</v>
      </c>
      <c r="AZ118" s="466" t="s">
        <v>1313</v>
      </c>
      <c r="BA118" s="466" t="s">
        <v>1313</v>
      </c>
      <c r="BB118" s="466" t="s">
        <v>1313</v>
      </c>
      <c r="BC118" s="207" t="s">
        <v>82</v>
      </c>
      <c r="BD118" s="210"/>
      <c r="BE118" s="210"/>
      <c r="BF118" s="207"/>
      <c r="BG118" s="207"/>
      <c r="BH118" s="207"/>
      <c r="BI118" s="207"/>
      <c r="BJ118" s="207"/>
      <c r="BK118" s="206"/>
      <c r="BL118" s="206"/>
      <c r="BM118" s="206"/>
      <c r="BN118" s="206"/>
      <c r="BO118" s="211"/>
      <c r="BP118" s="207"/>
      <c r="BQ118" s="207"/>
      <c r="BR118" s="206"/>
      <c r="BS118" s="206"/>
      <c r="BT118" s="212"/>
      <c r="BU118" s="212"/>
      <c r="BV118" s="206"/>
      <c r="BW118" s="212"/>
      <c r="BX118" s="206"/>
      <c r="BY118" s="212"/>
      <c r="BZ118" s="206"/>
      <c r="CA118" s="206">
        <v>40689</v>
      </c>
      <c r="CB118" s="213" t="s">
        <v>1388</v>
      </c>
      <c r="CC118" s="212"/>
      <c r="CD118" s="212">
        <v>378500000</v>
      </c>
      <c r="CE118" s="212"/>
      <c r="CF118" s="212"/>
      <c r="CG118" s="212">
        <v>378500000</v>
      </c>
      <c r="CH118" s="200"/>
      <c r="CI118" s="212"/>
      <c r="CJ118" s="255" t="s">
        <v>416</v>
      </c>
    </row>
    <row r="119" spans="1:88" s="503" customFormat="1" ht="14.1" hidden="1" customHeight="1">
      <c r="A119" s="483" t="s">
        <v>3424</v>
      </c>
      <c r="B119" s="478" t="s">
        <v>3297</v>
      </c>
      <c r="C119" s="251" t="s">
        <v>3423</v>
      </c>
      <c r="D119" s="517" t="s">
        <v>3423</v>
      </c>
      <c r="E119" s="500">
        <v>230055665</v>
      </c>
      <c r="F119" s="251" t="s">
        <v>3189</v>
      </c>
      <c r="G119" s="501"/>
      <c r="H119" s="502"/>
      <c r="J119" s="199">
        <v>107</v>
      </c>
      <c r="K119" s="200"/>
      <c r="L119" s="200" t="s">
        <v>516</v>
      </c>
      <c r="M119" s="201" t="s">
        <v>152</v>
      </c>
      <c r="N119" s="536"/>
      <c r="O119" s="202">
        <v>1</v>
      </c>
      <c r="P119" s="201" t="s">
        <v>93</v>
      </c>
      <c r="Q119" s="201" t="s">
        <v>128</v>
      </c>
      <c r="R119" s="201" t="s">
        <v>1671</v>
      </c>
      <c r="S119" s="201" t="s">
        <v>1672</v>
      </c>
      <c r="T119" s="201" t="s">
        <v>106</v>
      </c>
      <c r="U119" s="203">
        <v>92.551500000000004</v>
      </c>
      <c r="V119" s="203">
        <v>121.6139</v>
      </c>
      <c r="W119" s="204"/>
      <c r="X119" s="205"/>
      <c r="Y119" s="203"/>
      <c r="Z119" s="206">
        <v>41922</v>
      </c>
      <c r="AA119" s="206" t="s">
        <v>79</v>
      </c>
      <c r="AB119" s="207">
        <v>1</v>
      </c>
      <c r="AC119" s="208" t="s">
        <v>80</v>
      </c>
      <c r="AD119" s="209">
        <v>268800000</v>
      </c>
      <c r="AE119" s="209">
        <v>268800000</v>
      </c>
      <c r="AF119" s="207"/>
      <c r="AG119" s="207"/>
      <c r="AH119" s="209"/>
      <c r="AI119" s="207"/>
      <c r="AJ119" s="208"/>
      <c r="AK119" s="209"/>
      <c r="AL119" s="209"/>
      <c r="AM119" s="206"/>
      <c r="AN119" s="207"/>
      <c r="AO119" s="208"/>
      <c r="AP119" s="209"/>
      <c r="AQ119" s="209"/>
      <c r="AR119" s="207"/>
      <c r="AS119" s="207"/>
      <c r="AT119" s="209"/>
      <c r="AU119" s="209"/>
      <c r="AV119" s="209"/>
      <c r="AW119" s="466" t="s">
        <v>1313</v>
      </c>
      <c r="AX119" s="466" t="s">
        <v>1313</v>
      </c>
      <c r="AY119" s="466" t="s">
        <v>1313</v>
      </c>
      <c r="AZ119" s="466" t="s">
        <v>1313</v>
      </c>
      <c r="BA119" s="466" t="s">
        <v>1313</v>
      </c>
      <c r="BB119" s="466" t="s">
        <v>1313</v>
      </c>
      <c r="BC119" s="207" t="s">
        <v>1320</v>
      </c>
      <c r="BD119" s="210">
        <v>231792280</v>
      </c>
      <c r="BE119" s="210"/>
      <c r="BF119" s="207" t="s">
        <v>101</v>
      </c>
      <c r="BG119" s="207"/>
      <c r="BH119" s="207" t="s">
        <v>115</v>
      </c>
      <c r="BI119" s="207" t="s">
        <v>1673</v>
      </c>
      <c r="BJ119" s="207"/>
      <c r="BK119" s="206">
        <v>42481</v>
      </c>
      <c r="BL119" s="206">
        <v>42557</v>
      </c>
      <c r="BM119" s="206"/>
      <c r="BN119" s="206"/>
      <c r="BO119" s="211"/>
      <c r="BP119" s="207"/>
      <c r="BQ119" s="207"/>
      <c r="BR119" s="206"/>
      <c r="BS119" s="206"/>
      <c r="BT119" s="212"/>
      <c r="BU119" s="212"/>
      <c r="BV119" s="206"/>
      <c r="BW119" s="212"/>
      <c r="BX119" s="206"/>
      <c r="BY119" s="212"/>
      <c r="BZ119" s="206"/>
      <c r="CA119" s="206">
        <v>42482</v>
      </c>
      <c r="CB119" s="213" t="s">
        <v>134</v>
      </c>
      <c r="CC119" s="212"/>
      <c r="CD119" s="212">
        <v>320000000</v>
      </c>
      <c r="CE119" s="212"/>
      <c r="CF119" s="212"/>
      <c r="CG119" s="212">
        <v>320000000</v>
      </c>
      <c r="CH119" s="200"/>
      <c r="CI119" s="212"/>
      <c r="CJ119" s="255" t="s">
        <v>416</v>
      </c>
    </row>
    <row r="120" spans="1:88" s="503" customFormat="1" ht="14.1" hidden="1" customHeight="1">
      <c r="A120" s="483" t="s">
        <v>3424</v>
      </c>
      <c r="B120" s="478" t="s">
        <v>3298</v>
      </c>
      <c r="C120" s="251" t="s">
        <v>3423</v>
      </c>
      <c r="D120" s="517" t="s">
        <v>3423</v>
      </c>
      <c r="E120" s="500">
        <v>216786794</v>
      </c>
      <c r="F120" s="251" t="s">
        <v>3187</v>
      </c>
      <c r="G120" s="501"/>
      <c r="H120" s="502"/>
      <c r="J120" s="199">
        <v>108</v>
      </c>
      <c r="K120" s="200"/>
      <c r="L120" s="200" t="s">
        <v>517</v>
      </c>
      <c r="M120" s="201" t="s">
        <v>205</v>
      </c>
      <c r="N120" s="536"/>
      <c r="O120" s="202">
        <v>1</v>
      </c>
      <c r="P120" s="201" t="s">
        <v>145</v>
      </c>
      <c r="Q120" s="201" t="s">
        <v>1674</v>
      </c>
      <c r="R120" s="201" t="s">
        <v>1675</v>
      </c>
      <c r="S120" s="201" t="s">
        <v>1676</v>
      </c>
      <c r="T120" s="201" t="s">
        <v>106</v>
      </c>
      <c r="U120" s="203">
        <v>51.18</v>
      </c>
      <c r="V120" s="203">
        <v>144.61000000000001</v>
      </c>
      <c r="W120" s="204"/>
      <c r="X120" s="205"/>
      <c r="Y120" s="203"/>
      <c r="Z120" s="206">
        <v>36419</v>
      </c>
      <c r="AA120" s="206" t="s">
        <v>79</v>
      </c>
      <c r="AB120" s="207" t="s">
        <v>89</v>
      </c>
      <c r="AC120" s="208" t="s">
        <v>80</v>
      </c>
      <c r="AD120" s="209">
        <v>241000000</v>
      </c>
      <c r="AE120" s="209">
        <v>241000000</v>
      </c>
      <c r="AF120" s="207"/>
      <c r="AG120" s="207"/>
      <c r="AH120" s="209"/>
      <c r="AI120" s="207"/>
      <c r="AJ120" s="208"/>
      <c r="AK120" s="209"/>
      <c r="AL120" s="209"/>
      <c r="AM120" s="206"/>
      <c r="AN120" s="207"/>
      <c r="AO120" s="208"/>
      <c r="AP120" s="209"/>
      <c r="AQ120" s="209"/>
      <c r="AR120" s="207"/>
      <c r="AS120" s="207"/>
      <c r="AT120" s="209"/>
      <c r="AU120" s="209"/>
      <c r="AV120" s="209"/>
      <c r="AW120" s="466" t="s">
        <v>1313</v>
      </c>
      <c r="AX120" s="466" t="s">
        <v>1313</v>
      </c>
      <c r="AY120" s="466" t="s">
        <v>1313</v>
      </c>
      <c r="AZ120" s="466" t="s">
        <v>1313</v>
      </c>
      <c r="BA120" s="466" t="s">
        <v>1313</v>
      </c>
      <c r="BB120" s="466" t="s">
        <v>1313</v>
      </c>
      <c r="BC120" s="207" t="s">
        <v>82</v>
      </c>
      <c r="BD120" s="210"/>
      <c r="BE120" s="210"/>
      <c r="BF120" s="207"/>
      <c r="BG120" s="207"/>
      <c r="BH120" s="207"/>
      <c r="BI120" s="207"/>
      <c r="BJ120" s="207"/>
      <c r="BK120" s="206"/>
      <c r="BL120" s="206"/>
      <c r="BM120" s="206"/>
      <c r="BN120" s="206"/>
      <c r="BO120" s="211"/>
      <c r="BP120" s="207"/>
      <c r="BQ120" s="207"/>
      <c r="BR120" s="206"/>
      <c r="BS120" s="206"/>
      <c r="BT120" s="212"/>
      <c r="BU120" s="212"/>
      <c r="BV120" s="206"/>
      <c r="BW120" s="212"/>
      <c r="BX120" s="206"/>
      <c r="BY120" s="212"/>
      <c r="BZ120" s="206"/>
      <c r="CA120" s="206">
        <v>42482</v>
      </c>
      <c r="CB120" s="213" t="s">
        <v>134</v>
      </c>
      <c r="CC120" s="212"/>
      <c r="CD120" s="212">
        <v>240000000</v>
      </c>
      <c r="CE120" s="212"/>
      <c r="CF120" s="212"/>
      <c r="CG120" s="212">
        <v>240000000</v>
      </c>
      <c r="CH120" s="200"/>
      <c r="CI120" s="212"/>
      <c r="CJ120" s="255" t="s">
        <v>416</v>
      </c>
    </row>
    <row r="121" spans="1:88" s="503" customFormat="1" ht="14.1" hidden="1" customHeight="1">
      <c r="A121" s="483" t="s">
        <v>3424</v>
      </c>
      <c r="B121" s="478" t="s">
        <v>3299</v>
      </c>
      <c r="C121" s="251" t="s">
        <v>3423</v>
      </c>
      <c r="D121" s="517" t="s">
        <v>3423</v>
      </c>
      <c r="E121" s="500">
        <v>213452713</v>
      </c>
      <c r="F121" s="251" t="s">
        <v>3189</v>
      </c>
      <c r="G121" s="501"/>
      <c r="H121" s="502"/>
      <c r="J121" s="199">
        <v>109</v>
      </c>
      <c r="K121" s="200"/>
      <c r="L121" s="200" t="s">
        <v>518</v>
      </c>
      <c r="M121" s="201" t="s">
        <v>194</v>
      </c>
      <c r="N121" s="536"/>
      <c r="O121" s="202">
        <v>1</v>
      </c>
      <c r="P121" s="201" t="s">
        <v>139</v>
      </c>
      <c r="Q121" s="201" t="s">
        <v>1677</v>
      </c>
      <c r="R121" s="201" t="s">
        <v>1678</v>
      </c>
      <c r="S121" s="201" t="s">
        <v>1679</v>
      </c>
      <c r="T121" s="201" t="s">
        <v>106</v>
      </c>
      <c r="U121" s="203">
        <v>86.245199999999997</v>
      </c>
      <c r="V121" s="203">
        <v>155.7268</v>
      </c>
      <c r="W121" s="204"/>
      <c r="X121" s="205"/>
      <c r="Y121" s="203"/>
      <c r="Z121" s="206">
        <v>40905</v>
      </c>
      <c r="AA121" s="206" t="s">
        <v>79</v>
      </c>
      <c r="AB121" s="207">
        <v>1</v>
      </c>
      <c r="AC121" s="208" t="s">
        <v>80</v>
      </c>
      <c r="AD121" s="209">
        <v>252000000</v>
      </c>
      <c r="AE121" s="209">
        <v>252000000</v>
      </c>
      <c r="AF121" s="207"/>
      <c r="AG121" s="207"/>
      <c r="AH121" s="209"/>
      <c r="AI121" s="207"/>
      <c r="AJ121" s="208"/>
      <c r="AK121" s="209"/>
      <c r="AL121" s="209"/>
      <c r="AM121" s="206"/>
      <c r="AN121" s="207"/>
      <c r="AO121" s="208"/>
      <c r="AP121" s="209"/>
      <c r="AQ121" s="209"/>
      <c r="AR121" s="207"/>
      <c r="AS121" s="207"/>
      <c r="AT121" s="209"/>
      <c r="AU121" s="209"/>
      <c r="AV121" s="209"/>
      <c r="AW121" s="466" t="s">
        <v>1313</v>
      </c>
      <c r="AX121" s="466" t="s">
        <v>1313</v>
      </c>
      <c r="AY121" s="466" t="s">
        <v>1313</v>
      </c>
      <c r="AZ121" s="466" t="s">
        <v>1313</v>
      </c>
      <c r="BA121" s="466" t="s">
        <v>1313</v>
      </c>
      <c r="BB121" s="466" t="s">
        <v>1313</v>
      </c>
      <c r="BC121" s="207" t="s">
        <v>1320</v>
      </c>
      <c r="BD121" s="210">
        <v>213977513</v>
      </c>
      <c r="BE121" s="210"/>
      <c r="BF121" s="207" t="s">
        <v>101</v>
      </c>
      <c r="BG121" s="207"/>
      <c r="BH121" s="207" t="s">
        <v>140</v>
      </c>
      <c r="BI121" s="207" t="s">
        <v>1680</v>
      </c>
      <c r="BJ121" s="207"/>
      <c r="BK121" s="206">
        <v>42451</v>
      </c>
      <c r="BL121" s="206">
        <v>42541</v>
      </c>
      <c r="BM121" s="206"/>
      <c r="BN121" s="206"/>
      <c r="BO121" s="211"/>
      <c r="BP121" s="207"/>
      <c r="BQ121" s="207"/>
      <c r="BR121" s="206"/>
      <c r="BS121" s="206"/>
      <c r="BT121" s="212"/>
      <c r="BU121" s="212"/>
      <c r="BV121" s="206"/>
      <c r="BW121" s="212"/>
      <c r="BX121" s="206"/>
      <c r="BY121" s="212"/>
      <c r="BZ121" s="206"/>
      <c r="CA121" s="206">
        <v>42482</v>
      </c>
      <c r="CB121" s="213" t="s">
        <v>134</v>
      </c>
      <c r="CC121" s="212"/>
      <c r="CD121" s="212">
        <v>385000000</v>
      </c>
      <c r="CE121" s="212"/>
      <c r="CF121" s="212"/>
      <c r="CG121" s="212">
        <v>385000000</v>
      </c>
      <c r="CH121" s="200"/>
      <c r="CI121" s="212"/>
      <c r="CJ121" s="255" t="s">
        <v>416</v>
      </c>
    </row>
    <row r="122" spans="1:88" s="503" customFormat="1" ht="14.1" hidden="1" customHeight="1">
      <c r="A122" s="483" t="s">
        <v>3424</v>
      </c>
      <c r="B122" s="478" t="s">
        <v>3300</v>
      </c>
      <c r="C122" s="521" t="s">
        <v>3435</v>
      </c>
      <c r="D122" s="521" t="s">
        <v>3435</v>
      </c>
      <c r="E122" s="500">
        <v>211076460</v>
      </c>
      <c r="F122" s="251" t="s">
        <v>3185</v>
      </c>
      <c r="G122" s="501"/>
      <c r="H122" s="502"/>
      <c r="J122" s="199">
        <v>110</v>
      </c>
      <c r="K122" s="200"/>
      <c r="L122" s="200" t="s">
        <v>519</v>
      </c>
      <c r="M122" s="201" t="s">
        <v>148</v>
      </c>
      <c r="N122" s="536"/>
      <c r="O122" s="202">
        <v>1</v>
      </c>
      <c r="P122" s="201" t="s">
        <v>103</v>
      </c>
      <c r="Q122" s="201" t="s">
        <v>244</v>
      </c>
      <c r="R122" s="201" t="s">
        <v>1681</v>
      </c>
      <c r="S122" s="201" t="s">
        <v>1682</v>
      </c>
      <c r="T122" s="201" t="s">
        <v>112</v>
      </c>
      <c r="U122" s="203">
        <v>34.08</v>
      </c>
      <c r="V122" s="203">
        <v>59.08</v>
      </c>
      <c r="W122" s="204"/>
      <c r="X122" s="205"/>
      <c r="Y122" s="203"/>
      <c r="Z122" s="206">
        <v>40891</v>
      </c>
      <c r="AA122" s="206" t="s">
        <v>79</v>
      </c>
      <c r="AB122" s="207" t="s">
        <v>91</v>
      </c>
      <c r="AC122" s="208" t="s">
        <v>80</v>
      </c>
      <c r="AD122" s="209">
        <v>252000000</v>
      </c>
      <c r="AE122" s="209">
        <v>252000000</v>
      </c>
      <c r="AF122" s="207"/>
      <c r="AG122" s="207"/>
      <c r="AH122" s="209"/>
      <c r="AI122" s="207"/>
      <c r="AJ122" s="208"/>
      <c r="AK122" s="209"/>
      <c r="AL122" s="209"/>
      <c r="AM122" s="206"/>
      <c r="AN122" s="207"/>
      <c r="AO122" s="208"/>
      <c r="AP122" s="209"/>
      <c r="AQ122" s="209"/>
      <c r="AR122" s="207"/>
      <c r="AS122" s="207"/>
      <c r="AT122" s="209"/>
      <c r="AU122" s="209"/>
      <c r="AV122" s="209"/>
      <c r="AW122" s="466" t="s">
        <v>1313</v>
      </c>
      <c r="AX122" s="466" t="s">
        <v>1313</v>
      </c>
      <c r="AY122" s="466" t="s">
        <v>1313</v>
      </c>
      <c r="AZ122" s="466" t="s">
        <v>1313</v>
      </c>
      <c r="BA122" s="466" t="s">
        <v>1313</v>
      </c>
      <c r="BB122" s="466" t="s">
        <v>1313</v>
      </c>
      <c r="BC122" s="207" t="s">
        <v>1320</v>
      </c>
      <c r="BD122" s="210">
        <v>216706795</v>
      </c>
      <c r="BE122" s="210">
        <v>24482881</v>
      </c>
      <c r="BF122" s="207" t="s">
        <v>1683</v>
      </c>
      <c r="BG122" s="207" t="s">
        <v>101</v>
      </c>
      <c r="BH122" s="207" t="s">
        <v>213</v>
      </c>
      <c r="BI122" s="207" t="s">
        <v>1684</v>
      </c>
      <c r="BJ122" s="207" t="s">
        <v>1685</v>
      </c>
      <c r="BK122" s="206">
        <v>42338</v>
      </c>
      <c r="BL122" s="206">
        <v>42411</v>
      </c>
      <c r="BM122" s="206">
        <v>42453</v>
      </c>
      <c r="BN122" s="206"/>
      <c r="BO122" s="211"/>
      <c r="BP122" s="207"/>
      <c r="BQ122" s="207"/>
      <c r="BR122" s="206"/>
      <c r="BS122" s="206"/>
      <c r="BT122" s="212"/>
      <c r="BU122" s="212"/>
      <c r="BV122" s="206"/>
      <c r="BW122" s="212"/>
      <c r="BX122" s="206"/>
      <c r="BY122" s="212"/>
      <c r="BZ122" s="206"/>
      <c r="CA122" s="206">
        <v>40582</v>
      </c>
      <c r="CB122" s="213" t="s">
        <v>1388</v>
      </c>
      <c r="CC122" s="212"/>
      <c r="CD122" s="212">
        <v>297000000</v>
      </c>
      <c r="CE122" s="212"/>
      <c r="CF122" s="212"/>
      <c r="CG122" s="212">
        <v>297000000</v>
      </c>
      <c r="CH122" s="200"/>
      <c r="CI122" s="212"/>
      <c r="CJ122" s="255" t="s">
        <v>416</v>
      </c>
    </row>
    <row r="123" spans="1:88" s="503" customFormat="1" ht="14.1" hidden="1" customHeight="1">
      <c r="A123" s="483" t="s">
        <v>3424</v>
      </c>
      <c r="B123" s="478" t="s">
        <v>3301</v>
      </c>
      <c r="C123" s="251" t="s">
        <v>3423</v>
      </c>
      <c r="D123" s="517" t="s">
        <v>3423</v>
      </c>
      <c r="E123" s="500">
        <v>210666619</v>
      </c>
      <c r="F123" s="251" t="s">
        <v>3187</v>
      </c>
      <c r="G123" s="501"/>
      <c r="H123" s="502"/>
      <c r="J123" s="199">
        <v>111</v>
      </c>
      <c r="K123" s="200"/>
      <c r="L123" s="200" t="s">
        <v>520</v>
      </c>
      <c r="M123" s="201" t="s">
        <v>152</v>
      </c>
      <c r="N123" s="536"/>
      <c r="O123" s="202">
        <v>1</v>
      </c>
      <c r="P123" s="201" t="s">
        <v>83</v>
      </c>
      <c r="Q123" s="201" t="s">
        <v>155</v>
      </c>
      <c r="R123" s="201" t="s">
        <v>156</v>
      </c>
      <c r="S123" s="201" t="s">
        <v>1686</v>
      </c>
      <c r="T123" s="201" t="s">
        <v>106</v>
      </c>
      <c r="U123" s="203">
        <v>60.14</v>
      </c>
      <c r="V123" s="203">
        <v>134.89500000000001</v>
      </c>
      <c r="W123" s="204"/>
      <c r="X123" s="205"/>
      <c r="Y123" s="203"/>
      <c r="Z123" s="206">
        <v>37019</v>
      </c>
      <c r="AA123" s="206" t="s">
        <v>79</v>
      </c>
      <c r="AB123" s="207" t="s">
        <v>91</v>
      </c>
      <c r="AC123" s="208" t="s">
        <v>80</v>
      </c>
      <c r="AD123" s="209">
        <v>230400000</v>
      </c>
      <c r="AE123" s="209">
        <v>230400000</v>
      </c>
      <c r="AF123" s="207"/>
      <c r="AG123" s="207"/>
      <c r="AH123" s="209"/>
      <c r="AI123" s="207"/>
      <c r="AJ123" s="208"/>
      <c r="AK123" s="209"/>
      <c r="AL123" s="209"/>
      <c r="AM123" s="206"/>
      <c r="AN123" s="207"/>
      <c r="AO123" s="208"/>
      <c r="AP123" s="209"/>
      <c r="AQ123" s="209"/>
      <c r="AR123" s="207"/>
      <c r="AS123" s="207"/>
      <c r="AT123" s="209"/>
      <c r="AU123" s="209"/>
      <c r="AV123" s="209"/>
      <c r="AW123" s="466" t="s">
        <v>1313</v>
      </c>
      <c r="AX123" s="466" t="s">
        <v>1313</v>
      </c>
      <c r="AY123" s="466" t="s">
        <v>1313</v>
      </c>
      <c r="AZ123" s="466" t="s">
        <v>1313</v>
      </c>
      <c r="BA123" s="466" t="s">
        <v>1313</v>
      </c>
      <c r="BB123" s="466" t="s">
        <v>1313</v>
      </c>
      <c r="BC123" s="207" t="s">
        <v>1320</v>
      </c>
      <c r="BD123" s="210"/>
      <c r="BE123" s="210">
        <v>300000000</v>
      </c>
      <c r="BF123" s="207" t="s">
        <v>1687</v>
      </c>
      <c r="BG123" s="207"/>
      <c r="BH123" s="207" t="s">
        <v>87</v>
      </c>
      <c r="BI123" s="207" t="s">
        <v>1688</v>
      </c>
      <c r="BJ123" s="207"/>
      <c r="BK123" s="206">
        <v>42305</v>
      </c>
      <c r="BL123" s="206">
        <v>42387</v>
      </c>
      <c r="BM123" s="206"/>
      <c r="BN123" s="206"/>
      <c r="BO123" s="211"/>
      <c r="BP123" s="207"/>
      <c r="BQ123" s="207"/>
      <c r="BR123" s="206"/>
      <c r="BS123" s="206"/>
      <c r="BT123" s="212"/>
      <c r="BU123" s="212"/>
      <c r="BV123" s="206"/>
      <c r="BW123" s="212"/>
      <c r="BX123" s="206"/>
      <c r="BY123" s="212"/>
      <c r="BZ123" s="206"/>
      <c r="CA123" s="206">
        <v>42482</v>
      </c>
      <c r="CB123" s="213" t="s">
        <v>134</v>
      </c>
      <c r="CC123" s="212"/>
      <c r="CD123" s="212">
        <v>432500000</v>
      </c>
      <c r="CE123" s="212"/>
      <c r="CF123" s="212"/>
      <c r="CG123" s="212">
        <v>432500000</v>
      </c>
      <c r="CH123" s="200"/>
      <c r="CI123" s="212"/>
      <c r="CJ123" s="255" t="s">
        <v>1689</v>
      </c>
    </row>
    <row r="124" spans="1:88" s="503" customFormat="1" ht="14.1" hidden="1" customHeight="1">
      <c r="A124" s="483" t="s">
        <v>3424</v>
      </c>
      <c r="B124" s="478" t="s">
        <v>3302</v>
      </c>
      <c r="C124" s="251" t="s">
        <v>3423</v>
      </c>
      <c r="D124" s="517" t="s">
        <v>3423</v>
      </c>
      <c r="E124" s="500">
        <v>210372842</v>
      </c>
      <c r="F124" s="251" t="s">
        <v>3186</v>
      </c>
      <c r="G124" s="501"/>
      <c r="H124" s="502"/>
      <c r="J124" s="199">
        <v>112</v>
      </c>
      <c r="K124" s="200"/>
      <c r="L124" s="200" t="s">
        <v>521</v>
      </c>
      <c r="M124" s="201" t="s">
        <v>152</v>
      </c>
      <c r="N124" s="536"/>
      <c r="O124" s="202">
        <v>1</v>
      </c>
      <c r="P124" s="201" t="s">
        <v>93</v>
      </c>
      <c r="Q124" s="201" t="s">
        <v>216</v>
      </c>
      <c r="R124" s="201" t="s">
        <v>1690</v>
      </c>
      <c r="S124" s="201" t="s">
        <v>1691</v>
      </c>
      <c r="T124" s="201" t="s">
        <v>106</v>
      </c>
      <c r="U124" s="203">
        <v>67.581000000000003</v>
      </c>
      <c r="V124" s="203">
        <v>146.41</v>
      </c>
      <c r="W124" s="204"/>
      <c r="X124" s="205"/>
      <c r="Y124" s="203"/>
      <c r="Z124" s="206">
        <v>42208</v>
      </c>
      <c r="AA124" s="206" t="s">
        <v>79</v>
      </c>
      <c r="AB124" s="207">
        <v>1</v>
      </c>
      <c r="AC124" s="208" t="s">
        <v>80</v>
      </c>
      <c r="AD124" s="209">
        <v>252000000</v>
      </c>
      <c r="AE124" s="209">
        <v>252000000</v>
      </c>
      <c r="AF124" s="207"/>
      <c r="AG124" s="207"/>
      <c r="AH124" s="209"/>
      <c r="AI124" s="207"/>
      <c r="AJ124" s="208"/>
      <c r="AK124" s="209"/>
      <c r="AL124" s="209"/>
      <c r="AM124" s="206"/>
      <c r="AN124" s="207"/>
      <c r="AO124" s="208"/>
      <c r="AP124" s="209"/>
      <c r="AQ124" s="209"/>
      <c r="AR124" s="207"/>
      <c r="AS124" s="207"/>
      <c r="AT124" s="209"/>
      <c r="AU124" s="209"/>
      <c r="AV124" s="209"/>
      <c r="AW124" s="466" t="s">
        <v>1313</v>
      </c>
      <c r="AX124" s="466" t="s">
        <v>1313</v>
      </c>
      <c r="AY124" s="466" t="s">
        <v>1313</v>
      </c>
      <c r="AZ124" s="466" t="s">
        <v>1313</v>
      </c>
      <c r="BA124" s="466" t="s">
        <v>1313</v>
      </c>
      <c r="BB124" s="466" t="s">
        <v>1313</v>
      </c>
      <c r="BC124" s="207" t="s">
        <v>1320</v>
      </c>
      <c r="BD124" s="210">
        <v>213439861</v>
      </c>
      <c r="BE124" s="210">
        <v>7000000</v>
      </c>
      <c r="BF124" s="207" t="s">
        <v>1692</v>
      </c>
      <c r="BG124" s="207" t="s">
        <v>101</v>
      </c>
      <c r="BH124" s="207" t="s">
        <v>178</v>
      </c>
      <c r="BI124" s="207" t="s">
        <v>1693</v>
      </c>
      <c r="BJ124" s="207" t="s">
        <v>1694</v>
      </c>
      <c r="BK124" s="206">
        <v>42297</v>
      </c>
      <c r="BL124" s="206">
        <v>42389</v>
      </c>
      <c r="BM124" s="206">
        <v>42411</v>
      </c>
      <c r="BN124" s="206"/>
      <c r="BO124" s="211">
        <v>280000000</v>
      </c>
      <c r="BP124" s="207"/>
      <c r="BQ124" s="207"/>
      <c r="BR124" s="206" t="s">
        <v>1695</v>
      </c>
      <c r="BS124" s="206"/>
      <c r="BT124" s="212"/>
      <c r="BU124" s="212"/>
      <c r="BV124" s="206"/>
      <c r="BW124" s="212"/>
      <c r="BX124" s="206"/>
      <c r="BY124" s="212"/>
      <c r="BZ124" s="206"/>
      <c r="CA124" s="206">
        <v>42307</v>
      </c>
      <c r="CB124" s="213" t="s">
        <v>1696</v>
      </c>
      <c r="CC124" s="212">
        <v>44800000</v>
      </c>
      <c r="CD124" s="212">
        <v>235200000</v>
      </c>
      <c r="CE124" s="212"/>
      <c r="CF124" s="212"/>
      <c r="CG124" s="212">
        <v>280000000</v>
      </c>
      <c r="CH124" s="200"/>
      <c r="CI124" s="212"/>
      <c r="CJ124" s="255" t="s">
        <v>416</v>
      </c>
    </row>
    <row r="125" spans="1:88" s="503" customFormat="1" ht="14.1" hidden="1" customHeight="1">
      <c r="A125" s="483" t="s">
        <v>3424</v>
      </c>
      <c r="B125" s="478" t="s">
        <v>3303</v>
      </c>
      <c r="C125" s="251" t="s">
        <v>3423</v>
      </c>
      <c r="D125" s="517" t="s">
        <v>3423</v>
      </c>
      <c r="E125" s="500">
        <v>210147310</v>
      </c>
      <c r="F125" s="251" t="s">
        <v>3186</v>
      </c>
      <c r="G125" s="501"/>
      <c r="H125" s="502"/>
      <c r="J125" s="199">
        <v>113</v>
      </c>
      <c r="K125" s="200"/>
      <c r="L125" s="200" t="s">
        <v>522</v>
      </c>
      <c r="M125" s="201" t="s">
        <v>92</v>
      </c>
      <c r="N125" s="536"/>
      <c r="O125" s="202">
        <v>1</v>
      </c>
      <c r="P125" s="201" t="s">
        <v>93</v>
      </c>
      <c r="Q125" s="201" t="s">
        <v>216</v>
      </c>
      <c r="R125" s="201" t="s">
        <v>1697</v>
      </c>
      <c r="S125" s="201" t="s">
        <v>1698</v>
      </c>
      <c r="T125" s="201" t="s">
        <v>106</v>
      </c>
      <c r="U125" s="203">
        <v>71.513499999999993</v>
      </c>
      <c r="V125" s="203">
        <v>134.37</v>
      </c>
      <c r="W125" s="204"/>
      <c r="X125" s="205"/>
      <c r="Y125" s="203"/>
      <c r="Z125" s="206">
        <v>40086</v>
      </c>
      <c r="AA125" s="206" t="s">
        <v>79</v>
      </c>
      <c r="AB125" s="207">
        <v>1</v>
      </c>
      <c r="AC125" s="208" t="s">
        <v>80</v>
      </c>
      <c r="AD125" s="209">
        <v>250800000</v>
      </c>
      <c r="AE125" s="209">
        <v>250800000</v>
      </c>
      <c r="AF125" s="207"/>
      <c r="AG125" s="207"/>
      <c r="AH125" s="209"/>
      <c r="AI125" s="207"/>
      <c r="AJ125" s="208"/>
      <c r="AK125" s="209"/>
      <c r="AL125" s="209"/>
      <c r="AM125" s="206"/>
      <c r="AN125" s="207"/>
      <c r="AO125" s="208"/>
      <c r="AP125" s="209"/>
      <c r="AQ125" s="209"/>
      <c r="AR125" s="207"/>
      <c r="AS125" s="207"/>
      <c r="AT125" s="209"/>
      <c r="AU125" s="209"/>
      <c r="AV125" s="209"/>
      <c r="AW125" s="466" t="s">
        <v>1313</v>
      </c>
      <c r="AX125" s="466" t="s">
        <v>1313</v>
      </c>
      <c r="AY125" s="466" t="s">
        <v>1313</v>
      </c>
      <c r="AZ125" s="466" t="s">
        <v>1313</v>
      </c>
      <c r="BA125" s="466" t="s">
        <v>1313</v>
      </c>
      <c r="BB125" s="466" t="s">
        <v>1313</v>
      </c>
      <c r="BC125" s="207" t="s">
        <v>1320</v>
      </c>
      <c r="BD125" s="210">
        <v>213997047</v>
      </c>
      <c r="BE125" s="210">
        <v>16196181</v>
      </c>
      <c r="BF125" s="207" t="s">
        <v>1699</v>
      </c>
      <c r="BG125" s="207" t="s">
        <v>101</v>
      </c>
      <c r="BH125" s="207" t="s">
        <v>178</v>
      </c>
      <c r="BI125" s="207" t="s">
        <v>1700</v>
      </c>
      <c r="BJ125" s="207" t="s">
        <v>1701</v>
      </c>
      <c r="BK125" s="206">
        <v>42402</v>
      </c>
      <c r="BL125" s="206">
        <v>42513</v>
      </c>
      <c r="BM125" s="206">
        <v>42464</v>
      </c>
      <c r="BN125" s="206">
        <v>42564</v>
      </c>
      <c r="BO125" s="211"/>
      <c r="BP125" s="207"/>
      <c r="BQ125" s="207"/>
      <c r="BR125" s="206"/>
      <c r="BS125" s="206"/>
      <c r="BT125" s="212"/>
      <c r="BU125" s="212"/>
      <c r="BV125" s="206"/>
      <c r="BW125" s="212"/>
      <c r="BX125" s="206"/>
      <c r="BY125" s="212"/>
      <c r="BZ125" s="206"/>
      <c r="CA125" s="206">
        <v>42482</v>
      </c>
      <c r="CB125" s="213" t="s">
        <v>134</v>
      </c>
      <c r="CC125" s="212"/>
      <c r="CD125" s="212">
        <v>330000000</v>
      </c>
      <c r="CE125" s="212"/>
      <c r="CF125" s="212"/>
      <c r="CG125" s="212">
        <v>330000000</v>
      </c>
      <c r="CH125" s="200"/>
      <c r="CI125" s="212"/>
      <c r="CJ125" s="255" t="s">
        <v>1702</v>
      </c>
    </row>
    <row r="126" spans="1:88" s="503" customFormat="1" ht="14.1" hidden="1" customHeight="1">
      <c r="A126" s="483" t="s">
        <v>3424</v>
      </c>
      <c r="B126" s="478" t="s">
        <v>3304</v>
      </c>
      <c r="C126" s="521" t="s">
        <v>3435</v>
      </c>
      <c r="D126" s="521" t="s">
        <v>3435</v>
      </c>
      <c r="E126" s="500">
        <v>203422661</v>
      </c>
      <c r="F126" s="251" t="s">
        <v>3187</v>
      </c>
      <c r="G126" s="501"/>
      <c r="H126" s="502"/>
      <c r="J126" s="199">
        <v>114</v>
      </c>
      <c r="K126" s="200"/>
      <c r="L126" s="200" t="s">
        <v>523</v>
      </c>
      <c r="M126" s="201" t="s">
        <v>205</v>
      </c>
      <c r="N126" s="536"/>
      <c r="O126" s="202">
        <v>1</v>
      </c>
      <c r="P126" s="201" t="s">
        <v>103</v>
      </c>
      <c r="Q126" s="201" t="s">
        <v>229</v>
      </c>
      <c r="R126" s="201" t="s">
        <v>1703</v>
      </c>
      <c r="S126" s="201" t="s">
        <v>1704</v>
      </c>
      <c r="T126" s="201" t="s">
        <v>187</v>
      </c>
      <c r="U126" s="203">
        <v>330</v>
      </c>
      <c r="V126" s="203">
        <v>0</v>
      </c>
      <c r="W126" s="204"/>
      <c r="X126" s="205"/>
      <c r="Y126" s="203"/>
      <c r="Z126" s="206">
        <v>38356</v>
      </c>
      <c r="AA126" s="206" t="s">
        <v>79</v>
      </c>
      <c r="AB126" s="207">
        <v>1</v>
      </c>
      <c r="AC126" s="208" t="s">
        <v>80</v>
      </c>
      <c r="AD126" s="209">
        <v>260000000</v>
      </c>
      <c r="AE126" s="209">
        <v>260000000</v>
      </c>
      <c r="AF126" s="207"/>
      <c r="AG126" s="207"/>
      <c r="AH126" s="209"/>
      <c r="AI126" s="207"/>
      <c r="AJ126" s="208"/>
      <c r="AK126" s="209"/>
      <c r="AL126" s="209"/>
      <c r="AM126" s="206"/>
      <c r="AN126" s="207"/>
      <c r="AO126" s="208"/>
      <c r="AP126" s="209"/>
      <c r="AQ126" s="209"/>
      <c r="AR126" s="207"/>
      <c r="AS126" s="207"/>
      <c r="AT126" s="209"/>
      <c r="AU126" s="209"/>
      <c r="AV126" s="209"/>
      <c r="AW126" s="466" t="s">
        <v>1313</v>
      </c>
      <c r="AX126" s="466" t="s">
        <v>1313</v>
      </c>
      <c r="AY126" s="466" t="s">
        <v>1313</v>
      </c>
      <c r="AZ126" s="466" t="s">
        <v>1313</v>
      </c>
      <c r="BA126" s="466" t="s">
        <v>1313</v>
      </c>
      <c r="BB126" s="466" t="s">
        <v>1313</v>
      </c>
      <c r="BC126" s="207" t="s">
        <v>1320</v>
      </c>
      <c r="BD126" s="210">
        <v>204139010</v>
      </c>
      <c r="BE126" s="210"/>
      <c r="BF126" s="207" t="s">
        <v>101</v>
      </c>
      <c r="BG126" s="207"/>
      <c r="BH126" s="207" t="s">
        <v>114</v>
      </c>
      <c r="BI126" s="207" t="s">
        <v>1705</v>
      </c>
      <c r="BJ126" s="207"/>
      <c r="BK126" s="206">
        <v>42451</v>
      </c>
      <c r="BL126" s="206">
        <v>42523</v>
      </c>
      <c r="BM126" s="206"/>
      <c r="BN126" s="206"/>
      <c r="BO126" s="211"/>
      <c r="BP126" s="207"/>
      <c r="BQ126" s="207"/>
      <c r="BR126" s="206"/>
      <c r="BS126" s="206"/>
      <c r="BT126" s="212"/>
      <c r="BU126" s="212"/>
      <c r="BV126" s="206"/>
      <c r="BW126" s="212"/>
      <c r="BX126" s="206"/>
      <c r="BY126" s="212"/>
      <c r="BZ126" s="206"/>
      <c r="CA126" s="206">
        <v>42374</v>
      </c>
      <c r="CB126" s="213" t="s">
        <v>1388</v>
      </c>
      <c r="CC126" s="212">
        <v>691200000</v>
      </c>
      <c r="CD126" s="212"/>
      <c r="CE126" s="212"/>
      <c r="CF126" s="212"/>
      <c r="CG126" s="212">
        <v>691200000</v>
      </c>
      <c r="CH126" s="200"/>
      <c r="CI126" s="212"/>
      <c r="CJ126" s="255" t="s">
        <v>1706</v>
      </c>
    </row>
    <row r="127" spans="1:88" s="503" customFormat="1" ht="14.1" hidden="1" customHeight="1">
      <c r="A127" s="483" t="s">
        <v>3424</v>
      </c>
      <c r="B127" s="478" t="s">
        <v>3305</v>
      </c>
      <c r="C127" s="251" t="s">
        <v>3423</v>
      </c>
      <c r="D127" s="517" t="s">
        <v>3423</v>
      </c>
      <c r="E127" s="500">
        <v>200000000</v>
      </c>
      <c r="F127" s="251" t="s">
        <v>3187</v>
      </c>
      <c r="G127" s="501"/>
      <c r="H127" s="502"/>
      <c r="J127" s="199">
        <v>115</v>
      </c>
      <c r="K127" s="200"/>
      <c r="L127" s="200" t="s">
        <v>524</v>
      </c>
      <c r="M127" s="201" t="s">
        <v>109</v>
      </c>
      <c r="N127" s="536"/>
      <c r="O127" s="202">
        <v>1</v>
      </c>
      <c r="P127" s="201" t="s">
        <v>210</v>
      </c>
      <c r="Q127" s="201" t="s">
        <v>1707</v>
      </c>
      <c r="R127" s="201" t="s">
        <v>1708</v>
      </c>
      <c r="S127" s="201" t="s">
        <v>1709</v>
      </c>
      <c r="T127" s="201" t="s">
        <v>106</v>
      </c>
      <c r="U127" s="203">
        <v>54.317</v>
      </c>
      <c r="V127" s="203">
        <v>84.866</v>
      </c>
      <c r="W127" s="204"/>
      <c r="X127" s="205"/>
      <c r="Y127" s="203"/>
      <c r="Z127" s="206">
        <v>40927</v>
      </c>
      <c r="AA127" s="206" t="s">
        <v>79</v>
      </c>
      <c r="AB127" s="207" t="s">
        <v>89</v>
      </c>
      <c r="AC127" s="208" t="s">
        <v>80</v>
      </c>
      <c r="AD127" s="209">
        <v>240000000</v>
      </c>
      <c r="AE127" s="209">
        <v>240000000</v>
      </c>
      <c r="AF127" s="207"/>
      <c r="AG127" s="207"/>
      <c r="AH127" s="209"/>
      <c r="AI127" s="207"/>
      <c r="AJ127" s="208"/>
      <c r="AK127" s="209"/>
      <c r="AL127" s="209"/>
      <c r="AM127" s="206"/>
      <c r="AN127" s="207"/>
      <c r="AO127" s="208"/>
      <c r="AP127" s="209"/>
      <c r="AQ127" s="209"/>
      <c r="AR127" s="207"/>
      <c r="AS127" s="207"/>
      <c r="AT127" s="209"/>
      <c r="AU127" s="209"/>
      <c r="AV127" s="209"/>
      <c r="AW127" s="466" t="s">
        <v>1313</v>
      </c>
      <c r="AX127" s="466" t="s">
        <v>1313</v>
      </c>
      <c r="AY127" s="466" t="s">
        <v>1313</v>
      </c>
      <c r="AZ127" s="466" t="s">
        <v>1313</v>
      </c>
      <c r="BA127" s="466" t="s">
        <v>1313</v>
      </c>
      <c r="BB127" s="466" t="s">
        <v>1313</v>
      </c>
      <c r="BC127" s="207" t="s">
        <v>1320</v>
      </c>
      <c r="BD127" s="210"/>
      <c r="BE127" s="210"/>
      <c r="BF127" s="207" t="s">
        <v>1710</v>
      </c>
      <c r="BG127" s="207"/>
      <c r="BH127" s="207" t="s">
        <v>1711</v>
      </c>
      <c r="BI127" s="207" t="s">
        <v>1712</v>
      </c>
      <c r="BJ127" s="207"/>
      <c r="BK127" s="206">
        <v>42361</v>
      </c>
      <c r="BL127" s="206">
        <v>42415</v>
      </c>
      <c r="BM127" s="206"/>
      <c r="BN127" s="206"/>
      <c r="BO127" s="211">
        <v>338000000</v>
      </c>
      <c r="BP127" s="207">
        <v>2</v>
      </c>
      <c r="BQ127" s="207" t="s">
        <v>147</v>
      </c>
      <c r="BR127" s="206">
        <v>42432</v>
      </c>
      <c r="BS127" s="206">
        <v>42439</v>
      </c>
      <c r="BT127" s="212">
        <v>304200000</v>
      </c>
      <c r="BU127" s="212">
        <v>304200000</v>
      </c>
      <c r="BV127" s="206" t="s">
        <v>1713</v>
      </c>
      <c r="BW127" s="212"/>
      <c r="BX127" s="206"/>
      <c r="BY127" s="212"/>
      <c r="BZ127" s="206"/>
      <c r="CA127" s="206">
        <v>42289</v>
      </c>
      <c r="CB127" s="213" t="s">
        <v>1714</v>
      </c>
      <c r="CC127" s="212">
        <v>50700000</v>
      </c>
      <c r="CD127" s="212">
        <v>287300000</v>
      </c>
      <c r="CE127" s="212"/>
      <c r="CF127" s="212"/>
      <c r="CG127" s="212">
        <v>338000000</v>
      </c>
      <c r="CH127" s="200"/>
      <c r="CI127" s="212"/>
      <c r="CJ127" s="255" t="s">
        <v>1715</v>
      </c>
    </row>
    <row r="128" spans="1:88" s="503" customFormat="1" ht="14.1" hidden="1" customHeight="1">
      <c r="A128" s="483" t="s">
        <v>3424</v>
      </c>
      <c r="B128" s="478" t="s">
        <v>3306</v>
      </c>
      <c r="C128" s="251" t="s">
        <v>3423</v>
      </c>
      <c r="D128" s="517" t="s">
        <v>3423</v>
      </c>
      <c r="E128" s="500">
        <v>194277533</v>
      </c>
      <c r="F128" s="251" t="s">
        <v>3187</v>
      </c>
      <c r="G128" s="501"/>
      <c r="H128" s="502"/>
      <c r="J128" s="199">
        <v>116</v>
      </c>
      <c r="K128" s="200"/>
      <c r="L128" s="200" t="s">
        <v>525</v>
      </c>
      <c r="M128" s="201" t="s">
        <v>214</v>
      </c>
      <c r="N128" s="536"/>
      <c r="O128" s="202">
        <v>1</v>
      </c>
      <c r="P128" s="201" t="s">
        <v>83</v>
      </c>
      <c r="Q128" s="201" t="s">
        <v>227</v>
      </c>
      <c r="R128" s="201" t="s">
        <v>1716</v>
      </c>
      <c r="S128" s="201" t="s">
        <v>1717</v>
      </c>
      <c r="T128" s="201" t="s">
        <v>106</v>
      </c>
      <c r="U128" s="203" t="s">
        <v>285</v>
      </c>
      <c r="V128" s="203">
        <v>96.521199999999993</v>
      </c>
      <c r="W128" s="204"/>
      <c r="X128" s="205"/>
      <c r="Y128" s="203"/>
      <c r="Z128" s="206">
        <v>39416</v>
      </c>
      <c r="AA128" s="206" t="s">
        <v>79</v>
      </c>
      <c r="AB128" s="207">
        <v>1</v>
      </c>
      <c r="AC128" s="208" t="s">
        <v>80</v>
      </c>
      <c r="AD128" s="209">
        <v>228000000</v>
      </c>
      <c r="AE128" s="209">
        <v>228000000</v>
      </c>
      <c r="AF128" s="207"/>
      <c r="AG128" s="207"/>
      <c r="AH128" s="209"/>
      <c r="AI128" s="207"/>
      <c r="AJ128" s="208"/>
      <c r="AK128" s="209"/>
      <c r="AL128" s="209"/>
      <c r="AM128" s="206"/>
      <c r="AN128" s="207"/>
      <c r="AO128" s="208"/>
      <c r="AP128" s="209"/>
      <c r="AQ128" s="209"/>
      <c r="AR128" s="207"/>
      <c r="AS128" s="207"/>
      <c r="AT128" s="209"/>
      <c r="AU128" s="209"/>
      <c r="AV128" s="209"/>
      <c r="AW128" s="466" t="s">
        <v>1313</v>
      </c>
      <c r="AX128" s="466" t="s">
        <v>1313</v>
      </c>
      <c r="AY128" s="466" t="s">
        <v>1313</v>
      </c>
      <c r="AZ128" s="466" t="s">
        <v>1313</v>
      </c>
      <c r="BA128" s="466" t="s">
        <v>1313</v>
      </c>
      <c r="BB128" s="466" t="s">
        <v>1313</v>
      </c>
      <c r="BC128" s="207" t="s">
        <v>1320</v>
      </c>
      <c r="BD128" s="210">
        <v>199306336</v>
      </c>
      <c r="BE128" s="210">
        <v>84630332</v>
      </c>
      <c r="BF128" s="207" t="s">
        <v>1718</v>
      </c>
      <c r="BG128" s="207" t="s">
        <v>101</v>
      </c>
      <c r="BH128" s="207" t="s">
        <v>87</v>
      </c>
      <c r="BI128" s="207" t="s">
        <v>1719</v>
      </c>
      <c r="BJ128" s="207" t="s">
        <v>1720</v>
      </c>
      <c r="BK128" s="206">
        <v>42389</v>
      </c>
      <c r="BL128" s="206">
        <v>42461</v>
      </c>
      <c r="BM128" s="206">
        <v>42453</v>
      </c>
      <c r="BN128" s="206"/>
      <c r="BO128" s="211"/>
      <c r="BP128" s="207"/>
      <c r="BQ128" s="207"/>
      <c r="BR128" s="206"/>
      <c r="BS128" s="206"/>
      <c r="BT128" s="212"/>
      <c r="BU128" s="212"/>
      <c r="BV128" s="206"/>
      <c r="BW128" s="212"/>
      <c r="BX128" s="206"/>
      <c r="BY128" s="212"/>
      <c r="BZ128" s="206"/>
      <c r="CA128" s="206">
        <v>42482</v>
      </c>
      <c r="CB128" s="213" t="s">
        <v>134</v>
      </c>
      <c r="CC128" s="212"/>
      <c r="CD128" s="212">
        <v>360000000</v>
      </c>
      <c r="CE128" s="212"/>
      <c r="CF128" s="212"/>
      <c r="CG128" s="212">
        <v>360000000</v>
      </c>
      <c r="CH128" s="200"/>
      <c r="CI128" s="212"/>
      <c r="CJ128" s="255" t="s">
        <v>1721</v>
      </c>
    </row>
    <row r="129" spans="1:88" s="503" customFormat="1" ht="14.1" hidden="1" customHeight="1">
      <c r="A129" s="483" t="s">
        <v>3424</v>
      </c>
      <c r="B129" s="478" t="s">
        <v>3307</v>
      </c>
      <c r="C129" s="251" t="s">
        <v>3423</v>
      </c>
      <c r="D129" s="517" t="s">
        <v>3423</v>
      </c>
      <c r="E129" s="500">
        <v>189131380</v>
      </c>
      <c r="F129" s="251" t="s">
        <v>3446</v>
      </c>
      <c r="G129" s="501"/>
      <c r="H129" s="502"/>
      <c r="J129" s="199">
        <v>117</v>
      </c>
      <c r="K129" s="200"/>
      <c r="L129" s="200" t="s">
        <v>526</v>
      </c>
      <c r="M129" s="201" t="s">
        <v>157</v>
      </c>
      <c r="N129" s="536"/>
      <c r="O129" s="202">
        <v>1</v>
      </c>
      <c r="P129" s="201" t="s">
        <v>93</v>
      </c>
      <c r="Q129" s="201" t="s">
        <v>1722</v>
      </c>
      <c r="R129" s="201" t="s">
        <v>1723</v>
      </c>
      <c r="S129" s="201" t="s">
        <v>1724</v>
      </c>
      <c r="T129" s="201" t="s">
        <v>106</v>
      </c>
      <c r="U129" s="203">
        <v>84.091999999999999</v>
      </c>
      <c r="V129" s="203">
        <v>136.19999999999999</v>
      </c>
      <c r="W129" s="204"/>
      <c r="X129" s="205"/>
      <c r="Y129" s="203"/>
      <c r="Z129" s="206">
        <v>39954</v>
      </c>
      <c r="AA129" s="206" t="s">
        <v>79</v>
      </c>
      <c r="AB129" s="207">
        <v>1</v>
      </c>
      <c r="AC129" s="208" t="s">
        <v>80</v>
      </c>
      <c r="AD129" s="209">
        <v>223200000</v>
      </c>
      <c r="AE129" s="209">
        <v>223200000</v>
      </c>
      <c r="AF129" s="207"/>
      <c r="AG129" s="207"/>
      <c r="AH129" s="209"/>
      <c r="AI129" s="207"/>
      <c r="AJ129" s="208"/>
      <c r="AK129" s="209"/>
      <c r="AL129" s="209"/>
      <c r="AM129" s="206"/>
      <c r="AN129" s="207"/>
      <c r="AO129" s="208"/>
      <c r="AP129" s="209"/>
      <c r="AQ129" s="209"/>
      <c r="AR129" s="207"/>
      <c r="AS129" s="207"/>
      <c r="AT129" s="209"/>
      <c r="AU129" s="209"/>
      <c r="AV129" s="209"/>
      <c r="AW129" s="466" t="s">
        <v>1313</v>
      </c>
      <c r="AX129" s="466" t="s">
        <v>1313</v>
      </c>
      <c r="AY129" s="466" t="s">
        <v>1313</v>
      </c>
      <c r="AZ129" s="466" t="s">
        <v>1313</v>
      </c>
      <c r="BA129" s="466" t="s">
        <v>1313</v>
      </c>
      <c r="BB129" s="466" t="s">
        <v>1313</v>
      </c>
      <c r="BC129" s="207" t="s">
        <v>1320</v>
      </c>
      <c r="BD129" s="210">
        <v>193237527</v>
      </c>
      <c r="BE129" s="210"/>
      <c r="BF129" s="207" t="s">
        <v>101</v>
      </c>
      <c r="BG129" s="207"/>
      <c r="BH129" s="207" t="s">
        <v>144</v>
      </c>
      <c r="BI129" s="207" t="s">
        <v>1725</v>
      </c>
      <c r="BJ129" s="207"/>
      <c r="BK129" s="206">
        <v>42438</v>
      </c>
      <c r="BL129" s="206">
        <v>42520</v>
      </c>
      <c r="BM129" s="206"/>
      <c r="BN129" s="206"/>
      <c r="BO129" s="211"/>
      <c r="BP129" s="207"/>
      <c r="BQ129" s="207"/>
      <c r="BR129" s="206"/>
      <c r="BS129" s="206"/>
      <c r="BT129" s="212"/>
      <c r="BU129" s="212"/>
      <c r="BV129" s="206"/>
      <c r="BW129" s="212"/>
      <c r="BX129" s="206"/>
      <c r="BY129" s="212"/>
      <c r="BZ129" s="206"/>
      <c r="CA129" s="206">
        <v>42482</v>
      </c>
      <c r="CB129" s="213" t="s">
        <v>134</v>
      </c>
      <c r="CC129" s="212"/>
      <c r="CD129" s="212">
        <v>230000000</v>
      </c>
      <c r="CE129" s="212"/>
      <c r="CF129" s="212"/>
      <c r="CG129" s="212">
        <v>230000000</v>
      </c>
      <c r="CH129" s="200"/>
      <c r="CI129" s="212"/>
      <c r="CJ129" s="255" t="s">
        <v>416</v>
      </c>
    </row>
    <row r="130" spans="1:88" s="503" customFormat="1" ht="14.1" hidden="1" customHeight="1">
      <c r="A130" s="483" t="s">
        <v>3424</v>
      </c>
      <c r="B130" s="478" t="s">
        <v>3308</v>
      </c>
      <c r="C130" s="251" t="s">
        <v>3423</v>
      </c>
      <c r="D130" s="517" t="s">
        <v>3423</v>
      </c>
      <c r="E130" s="500">
        <v>116074147</v>
      </c>
      <c r="F130" s="251" t="s">
        <v>3184</v>
      </c>
      <c r="G130" s="501"/>
      <c r="H130" s="502"/>
      <c r="J130" s="199">
        <v>118</v>
      </c>
      <c r="K130" s="200"/>
      <c r="L130" s="200" t="s">
        <v>527</v>
      </c>
      <c r="M130" s="201" t="s">
        <v>135</v>
      </c>
      <c r="N130" s="536"/>
      <c r="O130" s="202">
        <v>1</v>
      </c>
      <c r="P130" s="201" t="s">
        <v>93</v>
      </c>
      <c r="Q130" s="201" t="s">
        <v>94</v>
      </c>
      <c r="R130" s="201" t="s">
        <v>1726</v>
      </c>
      <c r="S130" s="201" t="s">
        <v>1727</v>
      </c>
      <c r="T130" s="201" t="s">
        <v>106</v>
      </c>
      <c r="U130" s="203">
        <v>41.031999999999996</v>
      </c>
      <c r="V130" s="203">
        <v>84.84</v>
      </c>
      <c r="W130" s="204"/>
      <c r="X130" s="205"/>
      <c r="Y130" s="203"/>
      <c r="Z130" s="206">
        <v>39196</v>
      </c>
      <c r="AA130" s="206" t="s">
        <v>79</v>
      </c>
      <c r="AB130" s="207" t="s">
        <v>89</v>
      </c>
      <c r="AC130" s="208" t="s">
        <v>80</v>
      </c>
      <c r="AD130" s="209">
        <v>156000000</v>
      </c>
      <c r="AE130" s="209">
        <v>156000000</v>
      </c>
      <c r="AF130" s="207"/>
      <c r="AG130" s="207"/>
      <c r="AH130" s="209"/>
      <c r="AI130" s="207"/>
      <c r="AJ130" s="208"/>
      <c r="AK130" s="209"/>
      <c r="AL130" s="209"/>
      <c r="AM130" s="206"/>
      <c r="AN130" s="207"/>
      <c r="AO130" s="208"/>
      <c r="AP130" s="209"/>
      <c r="AQ130" s="209"/>
      <c r="AR130" s="207"/>
      <c r="AS130" s="207"/>
      <c r="AT130" s="209"/>
      <c r="AU130" s="209"/>
      <c r="AV130" s="209"/>
      <c r="AW130" s="466" t="s">
        <v>1313</v>
      </c>
      <c r="AX130" s="466" t="s">
        <v>1313</v>
      </c>
      <c r="AY130" s="466" t="s">
        <v>1313</v>
      </c>
      <c r="AZ130" s="466" t="s">
        <v>1313</v>
      </c>
      <c r="BA130" s="466" t="s">
        <v>1313</v>
      </c>
      <c r="BB130" s="466" t="s">
        <v>1313</v>
      </c>
      <c r="BC130" s="207" t="s">
        <v>82</v>
      </c>
      <c r="BD130" s="210"/>
      <c r="BE130" s="210"/>
      <c r="BF130" s="207"/>
      <c r="BG130" s="207"/>
      <c r="BH130" s="207"/>
      <c r="BI130" s="207"/>
      <c r="BJ130" s="207"/>
      <c r="BK130" s="206"/>
      <c r="BL130" s="206"/>
      <c r="BM130" s="206"/>
      <c r="BN130" s="206"/>
      <c r="BO130" s="211"/>
      <c r="BP130" s="207"/>
      <c r="BQ130" s="207"/>
      <c r="BR130" s="206"/>
      <c r="BS130" s="206"/>
      <c r="BT130" s="212"/>
      <c r="BU130" s="212"/>
      <c r="BV130" s="206"/>
      <c r="BW130" s="212"/>
      <c r="BX130" s="206"/>
      <c r="BY130" s="212"/>
      <c r="BZ130" s="206"/>
      <c r="CA130" s="206">
        <v>42482</v>
      </c>
      <c r="CB130" s="213" t="s">
        <v>134</v>
      </c>
      <c r="CC130" s="212"/>
      <c r="CD130" s="212">
        <v>240000000</v>
      </c>
      <c r="CE130" s="212"/>
      <c r="CF130" s="212"/>
      <c r="CG130" s="212">
        <v>240000000</v>
      </c>
      <c r="CH130" s="200"/>
      <c r="CI130" s="212"/>
      <c r="CJ130" s="255" t="s">
        <v>1728</v>
      </c>
    </row>
    <row r="131" spans="1:88" s="503" customFormat="1" ht="14.1" hidden="1" customHeight="1">
      <c r="A131" s="483" t="s">
        <v>3424</v>
      </c>
      <c r="B131" s="478" t="s">
        <v>3309</v>
      </c>
      <c r="C131" s="521" t="s">
        <v>3435</v>
      </c>
      <c r="D131" s="521" t="s">
        <v>3435</v>
      </c>
      <c r="E131" s="500">
        <v>177743867</v>
      </c>
      <c r="F131" s="251" t="s">
        <v>3185</v>
      </c>
      <c r="G131" s="501"/>
      <c r="H131" s="502"/>
      <c r="J131" s="199">
        <v>119</v>
      </c>
      <c r="K131" s="200"/>
      <c r="L131" s="200" t="s">
        <v>528</v>
      </c>
      <c r="M131" s="201" t="s">
        <v>152</v>
      </c>
      <c r="N131" s="536"/>
      <c r="O131" s="202">
        <v>1</v>
      </c>
      <c r="P131" s="201" t="s">
        <v>93</v>
      </c>
      <c r="Q131" s="201" t="s">
        <v>95</v>
      </c>
      <c r="R131" s="201" t="s">
        <v>1463</v>
      </c>
      <c r="S131" s="201" t="s">
        <v>1729</v>
      </c>
      <c r="T131" s="201" t="s">
        <v>133</v>
      </c>
      <c r="U131" s="203">
        <v>26.696999999999999</v>
      </c>
      <c r="V131" s="203">
        <v>107.77800000000001</v>
      </c>
      <c r="W131" s="204"/>
      <c r="X131" s="205"/>
      <c r="Y131" s="203"/>
      <c r="Z131" s="206">
        <v>40539</v>
      </c>
      <c r="AA131" s="206" t="s">
        <v>79</v>
      </c>
      <c r="AB131" s="207">
        <v>1</v>
      </c>
      <c r="AC131" s="208" t="s">
        <v>80</v>
      </c>
      <c r="AD131" s="209">
        <v>192000000</v>
      </c>
      <c r="AE131" s="209">
        <v>192000000</v>
      </c>
      <c r="AF131" s="207"/>
      <c r="AG131" s="207"/>
      <c r="AH131" s="209"/>
      <c r="AI131" s="207"/>
      <c r="AJ131" s="208"/>
      <c r="AK131" s="209"/>
      <c r="AL131" s="209"/>
      <c r="AM131" s="206"/>
      <c r="AN131" s="207"/>
      <c r="AO131" s="208"/>
      <c r="AP131" s="209"/>
      <c r="AQ131" s="209"/>
      <c r="AR131" s="207"/>
      <c r="AS131" s="207"/>
      <c r="AT131" s="209"/>
      <c r="AU131" s="209"/>
      <c r="AV131" s="209"/>
      <c r="AW131" s="466" t="s">
        <v>1313</v>
      </c>
      <c r="AX131" s="466" t="s">
        <v>1313</v>
      </c>
      <c r="AY131" s="466" t="s">
        <v>1313</v>
      </c>
      <c r="AZ131" s="466" t="s">
        <v>1313</v>
      </c>
      <c r="BA131" s="466" t="s">
        <v>1313</v>
      </c>
      <c r="BB131" s="466" t="s">
        <v>1313</v>
      </c>
      <c r="BC131" s="207" t="s">
        <v>1320</v>
      </c>
      <c r="BD131" s="210"/>
      <c r="BE131" s="210">
        <v>500000000</v>
      </c>
      <c r="BF131" s="207" t="s">
        <v>1326</v>
      </c>
      <c r="BG131" s="207"/>
      <c r="BH131" s="207" t="s">
        <v>99</v>
      </c>
      <c r="BI131" s="207" t="s">
        <v>1730</v>
      </c>
      <c r="BJ131" s="207"/>
      <c r="BK131" s="206">
        <v>42352</v>
      </c>
      <c r="BL131" s="206">
        <v>42424</v>
      </c>
      <c r="BM131" s="206"/>
      <c r="BN131" s="206"/>
      <c r="BO131" s="211"/>
      <c r="BP131" s="207"/>
      <c r="BQ131" s="207"/>
      <c r="BR131" s="206"/>
      <c r="BS131" s="206"/>
      <c r="BT131" s="212"/>
      <c r="BU131" s="212"/>
      <c r="BV131" s="206"/>
      <c r="BW131" s="212"/>
      <c r="BX131" s="206"/>
      <c r="BY131" s="212"/>
      <c r="BZ131" s="206"/>
      <c r="CA131" s="206">
        <v>42482</v>
      </c>
      <c r="CB131" s="213" t="s">
        <v>134</v>
      </c>
      <c r="CC131" s="212"/>
      <c r="CD131" s="212">
        <v>455000000</v>
      </c>
      <c r="CE131" s="212"/>
      <c r="CF131" s="212"/>
      <c r="CG131" s="212">
        <v>455000000</v>
      </c>
      <c r="CH131" s="200"/>
      <c r="CI131" s="212"/>
      <c r="CJ131" s="255" t="s">
        <v>1731</v>
      </c>
    </row>
    <row r="132" spans="1:88" s="503" customFormat="1" ht="14.1" hidden="1" customHeight="1">
      <c r="A132" s="483" t="s">
        <v>3424</v>
      </c>
      <c r="B132" s="478" t="s">
        <v>3310</v>
      </c>
      <c r="C132" s="251" t="s">
        <v>3423</v>
      </c>
      <c r="D132" s="517" t="s">
        <v>3423</v>
      </c>
      <c r="E132" s="500">
        <v>175207900</v>
      </c>
      <c r="F132" s="251" t="s">
        <v>3184</v>
      </c>
      <c r="G132" s="501"/>
      <c r="H132" s="502"/>
      <c r="J132" s="199">
        <v>120</v>
      </c>
      <c r="K132" s="200"/>
      <c r="L132" s="200" t="s">
        <v>529</v>
      </c>
      <c r="M132" s="201" t="s">
        <v>194</v>
      </c>
      <c r="N132" s="536"/>
      <c r="O132" s="202">
        <v>1</v>
      </c>
      <c r="P132" s="201" t="s">
        <v>93</v>
      </c>
      <c r="Q132" s="201" t="s">
        <v>94</v>
      </c>
      <c r="R132" s="201" t="s">
        <v>1732</v>
      </c>
      <c r="S132" s="201" t="s">
        <v>1733</v>
      </c>
      <c r="T132" s="201" t="s">
        <v>106</v>
      </c>
      <c r="U132" s="203">
        <v>49.422800000000002</v>
      </c>
      <c r="V132" s="203">
        <v>84.98</v>
      </c>
      <c r="W132" s="204"/>
      <c r="X132" s="205"/>
      <c r="Y132" s="203"/>
      <c r="Z132" s="206">
        <v>41676</v>
      </c>
      <c r="AA132" s="206" t="s">
        <v>79</v>
      </c>
      <c r="AB132" s="207">
        <v>1</v>
      </c>
      <c r="AC132" s="208" t="s">
        <v>80</v>
      </c>
      <c r="AD132" s="209">
        <v>206640000</v>
      </c>
      <c r="AE132" s="209">
        <v>206640000</v>
      </c>
      <c r="AF132" s="207"/>
      <c r="AG132" s="207"/>
      <c r="AH132" s="209"/>
      <c r="AI132" s="207"/>
      <c r="AJ132" s="208"/>
      <c r="AK132" s="209"/>
      <c r="AL132" s="209"/>
      <c r="AM132" s="206"/>
      <c r="AN132" s="207"/>
      <c r="AO132" s="208"/>
      <c r="AP132" s="209"/>
      <c r="AQ132" s="209"/>
      <c r="AR132" s="207"/>
      <c r="AS132" s="207"/>
      <c r="AT132" s="209"/>
      <c r="AU132" s="209"/>
      <c r="AV132" s="209"/>
      <c r="AW132" s="466" t="s">
        <v>1313</v>
      </c>
      <c r="AX132" s="466" t="s">
        <v>1313</v>
      </c>
      <c r="AY132" s="466" t="s">
        <v>1313</v>
      </c>
      <c r="AZ132" s="466" t="s">
        <v>1313</v>
      </c>
      <c r="BA132" s="466" t="s">
        <v>1313</v>
      </c>
      <c r="BB132" s="466" t="s">
        <v>1313</v>
      </c>
      <c r="BC132" s="207" t="s">
        <v>1320</v>
      </c>
      <c r="BD132" s="210">
        <v>179078803</v>
      </c>
      <c r="BE132" s="210"/>
      <c r="BF132" s="207" t="s">
        <v>101</v>
      </c>
      <c r="BG132" s="207"/>
      <c r="BH132" s="207" t="s">
        <v>217</v>
      </c>
      <c r="BI132" s="207" t="s">
        <v>1734</v>
      </c>
      <c r="BJ132" s="207"/>
      <c r="BK132" s="206">
        <v>42478</v>
      </c>
      <c r="BL132" s="206">
        <v>42555</v>
      </c>
      <c r="BM132" s="206"/>
      <c r="BN132" s="206"/>
      <c r="BO132" s="211"/>
      <c r="BP132" s="207"/>
      <c r="BQ132" s="207"/>
      <c r="BR132" s="206"/>
      <c r="BS132" s="206"/>
      <c r="BT132" s="212"/>
      <c r="BU132" s="212"/>
      <c r="BV132" s="206"/>
      <c r="BW132" s="212"/>
      <c r="BX132" s="206"/>
      <c r="BY132" s="212"/>
      <c r="BZ132" s="206"/>
      <c r="CA132" s="206">
        <v>42482</v>
      </c>
      <c r="CB132" s="213" t="s">
        <v>134</v>
      </c>
      <c r="CC132" s="212"/>
      <c r="CD132" s="212">
        <v>292500000</v>
      </c>
      <c r="CE132" s="212"/>
      <c r="CF132" s="212"/>
      <c r="CG132" s="212">
        <v>292500000</v>
      </c>
      <c r="CH132" s="200"/>
      <c r="CI132" s="212"/>
      <c r="CJ132" s="255" t="s">
        <v>416</v>
      </c>
    </row>
    <row r="133" spans="1:88" s="503" customFormat="1" ht="14.1" hidden="1" customHeight="1">
      <c r="A133" s="483" t="s">
        <v>3424</v>
      </c>
      <c r="B133" s="478" t="s">
        <v>3311</v>
      </c>
      <c r="C133" s="251" t="s">
        <v>3423</v>
      </c>
      <c r="D133" s="517" t="s">
        <v>3423</v>
      </c>
      <c r="E133" s="500">
        <v>175000000</v>
      </c>
      <c r="F133" s="251" t="s">
        <v>3187</v>
      </c>
      <c r="G133" s="501"/>
      <c r="H133" s="502"/>
      <c r="J133" s="199">
        <v>121</v>
      </c>
      <c r="K133" s="200"/>
      <c r="L133" s="200" t="s">
        <v>530</v>
      </c>
      <c r="M133" s="201" t="s">
        <v>152</v>
      </c>
      <c r="N133" s="536"/>
      <c r="O133" s="202">
        <v>1</v>
      </c>
      <c r="P133" s="201" t="s">
        <v>103</v>
      </c>
      <c r="Q133" s="201" t="s">
        <v>185</v>
      </c>
      <c r="R133" s="201" t="s">
        <v>1735</v>
      </c>
      <c r="S133" s="201" t="s">
        <v>1736</v>
      </c>
      <c r="T133" s="201" t="s">
        <v>106</v>
      </c>
      <c r="U133" s="203">
        <v>36.15</v>
      </c>
      <c r="V133" s="203">
        <v>59.2</v>
      </c>
      <c r="W133" s="204"/>
      <c r="X133" s="205"/>
      <c r="Y133" s="203"/>
      <c r="Z133" s="206">
        <v>42052</v>
      </c>
      <c r="AA133" s="206" t="s">
        <v>79</v>
      </c>
      <c r="AB133" s="207">
        <v>1</v>
      </c>
      <c r="AC133" s="208" t="s">
        <v>80</v>
      </c>
      <c r="AD133" s="209">
        <v>210000000</v>
      </c>
      <c r="AE133" s="209">
        <v>210000000</v>
      </c>
      <c r="AF133" s="207"/>
      <c r="AG133" s="207"/>
      <c r="AH133" s="209"/>
      <c r="AI133" s="207"/>
      <c r="AJ133" s="208"/>
      <c r="AK133" s="209"/>
      <c r="AL133" s="209"/>
      <c r="AM133" s="206"/>
      <c r="AN133" s="207"/>
      <c r="AO133" s="208"/>
      <c r="AP133" s="209"/>
      <c r="AQ133" s="209"/>
      <c r="AR133" s="207"/>
      <c r="AS133" s="207"/>
      <c r="AT133" s="209"/>
      <c r="AU133" s="209"/>
      <c r="AV133" s="209"/>
      <c r="AW133" s="466" t="s">
        <v>1313</v>
      </c>
      <c r="AX133" s="466" t="s">
        <v>1313</v>
      </c>
      <c r="AY133" s="466" t="s">
        <v>1313</v>
      </c>
      <c r="AZ133" s="466" t="s">
        <v>1313</v>
      </c>
      <c r="BA133" s="466" t="s">
        <v>1313</v>
      </c>
      <c r="BB133" s="466" t="s">
        <v>1313</v>
      </c>
      <c r="BC133" s="207" t="s">
        <v>1320</v>
      </c>
      <c r="BD133" s="210"/>
      <c r="BE133" s="210">
        <v>67079399</v>
      </c>
      <c r="BF133" s="207" t="s">
        <v>1737</v>
      </c>
      <c r="BG133" s="207"/>
      <c r="BH133" s="207" t="s">
        <v>114</v>
      </c>
      <c r="BI133" s="207" t="s">
        <v>1738</v>
      </c>
      <c r="BJ133" s="207"/>
      <c r="BK133" s="206">
        <v>42450</v>
      </c>
      <c r="BL133" s="206">
        <v>42522</v>
      </c>
      <c r="BM133" s="206"/>
      <c r="BN133" s="206"/>
      <c r="BO133" s="211"/>
      <c r="BP133" s="207"/>
      <c r="BQ133" s="207"/>
      <c r="BR133" s="206"/>
      <c r="BS133" s="206"/>
      <c r="BT133" s="212"/>
      <c r="BU133" s="212"/>
      <c r="BV133" s="206"/>
      <c r="BW133" s="212"/>
      <c r="BX133" s="206"/>
      <c r="BY133" s="212"/>
      <c r="BZ133" s="206"/>
      <c r="CA133" s="206">
        <v>42482</v>
      </c>
      <c r="CB133" s="213" t="s">
        <v>134</v>
      </c>
      <c r="CC133" s="212"/>
      <c r="CD133" s="212">
        <v>280000000</v>
      </c>
      <c r="CE133" s="212"/>
      <c r="CF133" s="212"/>
      <c r="CG133" s="212">
        <v>280000000</v>
      </c>
      <c r="CH133" s="200"/>
      <c r="CI133" s="212"/>
      <c r="CJ133" s="255" t="s">
        <v>416</v>
      </c>
    </row>
    <row r="134" spans="1:88" s="503" customFormat="1" ht="14.1" hidden="1" customHeight="1">
      <c r="A134" s="483" t="s">
        <v>3424</v>
      </c>
      <c r="B134" s="478" t="s">
        <v>3312</v>
      </c>
      <c r="C134" s="521" t="s">
        <v>3435</v>
      </c>
      <c r="D134" s="521" t="s">
        <v>3435</v>
      </c>
      <c r="E134" s="500">
        <v>173034620</v>
      </c>
      <c r="F134" s="251" t="s">
        <v>3185</v>
      </c>
      <c r="G134" s="501"/>
      <c r="H134" s="502"/>
      <c r="J134" s="199">
        <v>122</v>
      </c>
      <c r="K134" s="200"/>
      <c r="L134" s="200" t="s">
        <v>531</v>
      </c>
      <c r="M134" s="201" t="s">
        <v>284</v>
      </c>
      <c r="N134" s="536"/>
      <c r="O134" s="202">
        <v>1</v>
      </c>
      <c r="P134" s="201" t="s">
        <v>103</v>
      </c>
      <c r="Q134" s="201" t="s">
        <v>212</v>
      </c>
      <c r="R134" s="201" t="s">
        <v>1739</v>
      </c>
      <c r="S134" s="201" t="s">
        <v>1740</v>
      </c>
      <c r="T134" s="201" t="s">
        <v>129</v>
      </c>
      <c r="U134" s="203">
        <v>165</v>
      </c>
      <c r="V134" s="203">
        <v>77.95</v>
      </c>
      <c r="W134" s="204"/>
      <c r="X134" s="205"/>
      <c r="Y134" s="203"/>
      <c r="Z134" s="206">
        <v>40550</v>
      </c>
      <c r="AA134" s="206" t="s">
        <v>79</v>
      </c>
      <c r="AB134" s="207">
        <v>1</v>
      </c>
      <c r="AC134" s="208" t="s">
        <v>80</v>
      </c>
      <c r="AD134" s="209">
        <v>204000000</v>
      </c>
      <c r="AE134" s="209">
        <v>204000000</v>
      </c>
      <c r="AF134" s="207"/>
      <c r="AG134" s="207"/>
      <c r="AH134" s="209"/>
      <c r="AI134" s="207"/>
      <c r="AJ134" s="208"/>
      <c r="AK134" s="209"/>
      <c r="AL134" s="209"/>
      <c r="AM134" s="206"/>
      <c r="AN134" s="207"/>
      <c r="AO134" s="208"/>
      <c r="AP134" s="209"/>
      <c r="AQ134" s="209"/>
      <c r="AR134" s="207"/>
      <c r="AS134" s="207"/>
      <c r="AT134" s="209"/>
      <c r="AU134" s="209"/>
      <c r="AV134" s="209"/>
      <c r="AW134" s="466" t="s">
        <v>1313</v>
      </c>
      <c r="AX134" s="466" t="s">
        <v>1313</v>
      </c>
      <c r="AY134" s="466" t="s">
        <v>1313</v>
      </c>
      <c r="AZ134" s="466" t="s">
        <v>1313</v>
      </c>
      <c r="BA134" s="466" t="s">
        <v>1313</v>
      </c>
      <c r="BB134" s="466" t="s">
        <v>1313</v>
      </c>
      <c r="BC134" s="207" t="s">
        <v>1320</v>
      </c>
      <c r="BD134" s="210">
        <v>172695845</v>
      </c>
      <c r="BE134" s="210">
        <v>123929830</v>
      </c>
      <c r="BF134" s="207" t="s">
        <v>1741</v>
      </c>
      <c r="BG134" s="207" t="s">
        <v>101</v>
      </c>
      <c r="BH134" s="207" t="s">
        <v>213</v>
      </c>
      <c r="BI134" s="207" t="s">
        <v>1742</v>
      </c>
      <c r="BJ134" s="207" t="s">
        <v>1743</v>
      </c>
      <c r="BK134" s="206">
        <v>42451</v>
      </c>
      <c r="BL134" s="206">
        <v>42524</v>
      </c>
      <c r="BM134" s="206">
        <v>42454</v>
      </c>
      <c r="BN134" s="206"/>
      <c r="BO134" s="211"/>
      <c r="BP134" s="207"/>
      <c r="BQ134" s="207"/>
      <c r="BR134" s="206"/>
      <c r="BS134" s="206"/>
      <c r="BT134" s="212"/>
      <c r="BU134" s="212"/>
      <c r="BV134" s="206"/>
      <c r="BW134" s="212"/>
      <c r="BX134" s="206"/>
      <c r="BY134" s="212"/>
      <c r="BZ134" s="206"/>
      <c r="CA134" s="206">
        <v>40548</v>
      </c>
      <c r="CB134" s="213" t="s">
        <v>1388</v>
      </c>
      <c r="CC134" s="212">
        <v>326700000</v>
      </c>
      <c r="CD134" s="212">
        <v>20316888</v>
      </c>
      <c r="CE134" s="212"/>
      <c r="CF134" s="212"/>
      <c r="CG134" s="212">
        <v>347016888</v>
      </c>
      <c r="CH134" s="200"/>
      <c r="CI134" s="212"/>
      <c r="CJ134" s="255" t="s">
        <v>416</v>
      </c>
    </row>
    <row r="135" spans="1:88" s="503" customFormat="1" ht="14.1" hidden="1" customHeight="1">
      <c r="A135" s="483" t="s">
        <v>3424</v>
      </c>
      <c r="B135" s="478" t="s">
        <v>3313</v>
      </c>
      <c r="C135" s="251" t="s">
        <v>3423</v>
      </c>
      <c r="D135" s="517" t="s">
        <v>3423</v>
      </c>
      <c r="E135" s="500">
        <v>171500000</v>
      </c>
      <c r="F135" s="251" t="s">
        <v>3187</v>
      </c>
      <c r="G135" s="501"/>
      <c r="H135" s="502"/>
      <c r="J135" s="199">
        <v>123</v>
      </c>
      <c r="K135" s="200"/>
      <c r="L135" s="200" t="s">
        <v>532</v>
      </c>
      <c r="M135" s="201" t="s">
        <v>152</v>
      </c>
      <c r="N135" s="536"/>
      <c r="O135" s="202">
        <v>1</v>
      </c>
      <c r="P135" s="201" t="s">
        <v>93</v>
      </c>
      <c r="Q135" s="201" t="s">
        <v>110</v>
      </c>
      <c r="R135" s="201" t="s">
        <v>1744</v>
      </c>
      <c r="S135" s="201" t="s">
        <v>1745</v>
      </c>
      <c r="T135" s="201" t="s">
        <v>106</v>
      </c>
      <c r="U135" s="203">
        <v>82.892200000000003</v>
      </c>
      <c r="V135" s="203">
        <v>117.79</v>
      </c>
      <c r="W135" s="204"/>
      <c r="X135" s="205"/>
      <c r="Y135" s="203"/>
      <c r="Z135" s="206">
        <v>41800</v>
      </c>
      <c r="AA135" s="206" t="s">
        <v>79</v>
      </c>
      <c r="AB135" s="207">
        <v>1</v>
      </c>
      <c r="AC135" s="208" t="s">
        <v>80</v>
      </c>
      <c r="AD135" s="209">
        <v>216000000</v>
      </c>
      <c r="AE135" s="209">
        <v>216000000</v>
      </c>
      <c r="AF135" s="207"/>
      <c r="AG135" s="207"/>
      <c r="AH135" s="209"/>
      <c r="AI135" s="207"/>
      <c r="AJ135" s="208"/>
      <c r="AK135" s="209"/>
      <c r="AL135" s="209"/>
      <c r="AM135" s="206"/>
      <c r="AN135" s="207"/>
      <c r="AO135" s="208"/>
      <c r="AP135" s="209"/>
      <c r="AQ135" s="209"/>
      <c r="AR135" s="207"/>
      <c r="AS135" s="207"/>
      <c r="AT135" s="209"/>
      <c r="AU135" s="209"/>
      <c r="AV135" s="209"/>
      <c r="AW135" s="466" t="s">
        <v>1313</v>
      </c>
      <c r="AX135" s="466" t="s">
        <v>1313</v>
      </c>
      <c r="AY135" s="466" t="s">
        <v>1313</v>
      </c>
      <c r="AZ135" s="466" t="s">
        <v>1313</v>
      </c>
      <c r="BA135" s="466" t="s">
        <v>1313</v>
      </c>
      <c r="BB135" s="466" t="s">
        <v>1313</v>
      </c>
      <c r="BC135" s="207" t="s">
        <v>82</v>
      </c>
      <c r="BD135" s="210"/>
      <c r="BE135" s="210"/>
      <c r="BF135" s="207"/>
      <c r="BG135" s="207"/>
      <c r="BH135" s="207"/>
      <c r="BI135" s="207"/>
      <c r="BJ135" s="207"/>
      <c r="BK135" s="206"/>
      <c r="BL135" s="206"/>
      <c r="BM135" s="206"/>
      <c r="BN135" s="206"/>
      <c r="BO135" s="211"/>
      <c r="BP135" s="207"/>
      <c r="BQ135" s="207"/>
      <c r="BR135" s="206"/>
      <c r="BS135" s="206"/>
      <c r="BT135" s="212"/>
      <c r="BU135" s="212"/>
      <c r="BV135" s="206"/>
      <c r="BW135" s="212"/>
      <c r="BX135" s="206"/>
      <c r="BY135" s="212"/>
      <c r="BZ135" s="206"/>
      <c r="CA135" s="206">
        <v>42482</v>
      </c>
      <c r="CB135" s="213" t="s">
        <v>134</v>
      </c>
      <c r="CC135" s="212"/>
      <c r="CD135" s="212">
        <v>330000000</v>
      </c>
      <c r="CE135" s="212"/>
      <c r="CF135" s="212"/>
      <c r="CG135" s="212">
        <v>330000000</v>
      </c>
      <c r="CH135" s="200"/>
      <c r="CI135" s="212"/>
      <c r="CJ135" s="255" t="s">
        <v>416</v>
      </c>
    </row>
    <row r="136" spans="1:88" s="503" customFormat="1" ht="14.1" hidden="1" customHeight="1">
      <c r="A136" s="483" t="s">
        <v>3424</v>
      </c>
      <c r="B136" s="478" t="s">
        <v>3314</v>
      </c>
      <c r="C136" s="521" t="s">
        <v>3435</v>
      </c>
      <c r="D136" s="521" t="s">
        <v>3435</v>
      </c>
      <c r="E136" s="500">
        <v>168849405</v>
      </c>
      <c r="F136" s="251" t="s">
        <v>3189</v>
      </c>
      <c r="G136" s="501"/>
      <c r="H136" s="502"/>
      <c r="J136" s="199">
        <v>124</v>
      </c>
      <c r="K136" s="200"/>
      <c r="L136" s="200" t="s">
        <v>533</v>
      </c>
      <c r="M136" s="201" t="s">
        <v>221</v>
      </c>
      <c r="N136" s="536"/>
      <c r="O136" s="202">
        <v>1</v>
      </c>
      <c r="P136" s="201" t="s">
        <v>139</v>
      </c>
      <c r="Q136" s="201" t="s">
        <v>1677</v>
      </c>
      <c r="R136" s="201" t="s">
        <v>1746</v>
      </c>
      <c r="S136" s="201" t="s">
        <v>1747</v>
      </c>
      <c r="T136" s="201" t="s">
        <v>129</v>
      </c>
      <c r="U136" s="203">
        <v>462.8</v>
      </c>
      <c r="V136" s="203">
        <v>344.07</v>
      </c>
      <c r="W136" s="204"/>
      <c r="X136" s="205"/>
      <c r="Y136" s="203"/>
      <c r="Z136" s="206">
        <v>41829</v>
      </c>
      <c r="AA136" s="206" t="s">
        <v>79</v>
      </c>
      <c r="AB136" s="207">
        <v>1</v>
      </c>
      <c r="AC136" s="208" t="s">
        <v>80</v>
      </c>
      <c r="AD136" s="209">
        <v>204000000</v>
      </c>
      <c r="AE136" s="209">
        <v>204000000</v>
      </c>
      <c r="AF136" s="207"/>
      <c r="AG136" s="207"/>
      <c r="AH136" s="209"/>
      <c r="AI136" s="207"/>
      <c r="AJ136" s="208"/>
      <c r="AK136" s="209"/>
      <c r="AL136" s="209"/>
      <c r="AM136" s="206"/>
      <c r="AN136" s="207"/>
      <c r="AO136" s="208"/>
      <c r="AP136" s="209"/>
      <c r="AQ136" s="209"/>
      <c r="AR136" s="207"/>
      <c r="AS136" s="207"/>
      <c r="AT136" s="209"/>
      <c r="AU136" s="209"/>
      <c r="AV136" s="209"/>
      <c r="AW136" s="466" t="s">
        <v>1313</v>
      </c>
      <c r="AX136" s="466" t="s">
        <v>1313</v>
      </c>
      <c r="AY136" s="466" t="s">
        <v>1313</v>
      </c>
      <c r="AZ136" s="466" t="s">
        <v>1313</v>
      </c>
      <c r="BA136" s="466" t="s">
        <v>1313</v>
      </c>
      <c r="BB136" s="466" t="s">
        <v>1313</v>
      </c>
      <c r="BC136" s="207" t="s">
        <v>1320</v>
      </c>
      <c r="BD136" s="210"/>
      <c r="BE136" s="210">
        <v>3540000000</v>
      </c>
      <c r="BF136" s="207" t="s">
        <v>1748</v>
      </c>
      <c r="BG136" s="207"/>
      <c r="BH136" s="207" t="s">
        <v>140</v>
      </c>
      <c r="BI136" s="207" t="s">
        <v>1749</v>
      </c>
      <c r="BJ136" s="207"/>
      <c r="BK136" s="206">
        <v>42334</v>
      </c>
      <c r="BL136" s="206">
        <v>42424</v>
      </c>
      <c r="BM136" s="206"/>
      <c r="BN136" s="206"/>
      <c r="BO136" s="211">
        <v>438708200</v>
      </c>
      <c r="BP136" s="207"/>
      <c r="BQ136" s="207"/>
      <c r="BR136" s="206" t="s">
        <v>426</v>
      </c>
      <c r="BS136" s="206"/>
      <c r="BT136" s="212"/>
      <c r="BU136" s="212"/>
      <c r="BV136" s="206"/>
      <c r="BW136" s="212"/>
      <c r="BX136" s="206"/>
      <c r="BY136" s="212"/>
      <c r="BZ136" s="206"/>
      <c r="CA136" s="206">
        <v>42356</v>
      </c>
      <c r="CB136" s="213" t="s">
        <v>1453</v>
      </c>
      <c r="CC136" s="212"/>
      <c r="CD136" s="212"/>
      <c r="CE136" s="212"/>
      <c r="CF136" s="212"/>
      <c r="CG136" s="212">
        <v>438708200</v>
      </c>
      <c r="CH136" s="200"/>
      <c r="CI136" s="212"/>
      <c r="CJ136" s="255" t="s">
        <v>1750</v>
      </c>
    </row>
    <row r="137" spans="1:88" s="503" customFormat="1" ht="14.1" hidden="1" customHeight="1">
      <c r="A137" s="483" t="s">
        <v>3424</v>
      </c>
      <c r="B137" s="478" t="s">
        <v>3315</v>
      </c>
      <c r="C137" s="251" t="s">
        <v>3423</v>
      </c>
      <c r="D137" s="517" t="s">
        <v>3423</v>
      </c>
      <c r="E137" s="500">
        <v>166650000</v>
      </c>
      <c r="F137" s="251" t="s">
        <v>3186</v>
      </c>
      <c r="G137" s="501"/>
      <c r="H137" s="502"/>
      <c r="J137" s="199">
        <v>125</v>
      </c>
      <c r="K137" s="200"/>
      <c r="L137" s="200" t="s">
        <v>534</v>
      </c>
      <c r="M137" s="201" t="s">
        <v>667</v>
      </c>
      <c r="N137" s="536"/>
      <c r="O137" s="202">
        <v>1</v>
      </c>
      <c r="P137" s="201" t="s">
        <v>93</v>
      </c>
      <c r="Q137" s="201" t="s">
        <v>1751</v>
      </c>
      <c r="R137" s="201" t="s">
        <v>1752</v>
      </c>
      <c r="S137" s="201" t="s">
        <v>1753</v>
      </c>
      <c r="T137" s="201" t="s">
        <v>106</v>
      </c>
      <c r="U137" s="203">
        <v>69.95</v>
      </c>
      <c r="V137" s="203">
        <v>134.47999999999999</v>
      </c>
      <c r="W137" s="204"/>
      <c r="X137" s="205"/>
      <c r="Y137" s="203"/>
      <c r="Z137" s="206">
        <v>41799</v>
      </c>
      <c r="AA137" s="206" t="s">
        <v>79</v>
      </c>
      <c r="AB137" s="207">
        <v>4</v>
      </c>
      <c r="AC137" s="208" t="s">
        <v>80</v>
      </c>
      <c r="AD137" s="209">
        <v>240000000</v>
      </c>
      <c r="AE137" s="209">
        <v>240000000</v>
      </c>
      <c r="AF137" s="207"/>
      <c r="AG137" s="207"/>
      <c r="AH137" s="209"/>
      <c r="AI137" s="207"/>
      <c r="AJ137" s="208"/>
      <c r="AK137" s="209"/>
      <c r="AL137" s="209"/>
      <c r="AM137" s="206"/>
      <c r="AN137" s="207" t="s">
        <v>91</v>
      </c>
      <c r="AO137" s="208" t="s">
        <v>80</v>
      </c>
      <c r="AP137" s="209">
        <v>230000000</v>
      </c>
      <c r="AQ137" s="209">
        <v>230000000</v>
      </c>
      <c r="AR137" s="207"/>
      <c r="AS137" s="207"/>
      <c r="AT137" s="209"/>
      <c r="AU137" s="209"/>
      <c r="AV137" s="209"/>
      <c r="AW137" s="466" t="s">
        <v>1313</v>
      </c>
      <c r="AX137" s="466" t="s">
        <v>1313</v>
      </c>
      <c r="AY137" s="466" t="s">
        <v>1313</v>
      </c>
      <c r="AZ137" s="466" t="s">
        <v>1313</v>
      </c>
      <c r="BA137" s="466" t="s">
        <v>1313</v>
      </c>
      <c r="BB137" s="466" t="s">
        <v>1313</v>
      </c>
      <c r="BC137" s="207" t="s">
        <v>82</v>
      </c>
      <c r="BD137" s="210"/>
      <c r="BE137" s="210"/>
      <c r="BF137" s="207"/>
      <c r="BG137" s="207"/>
      <c r="BH137" s="207"/>
      <c r="BI137" s="207"/>
      <c r="BJ137" s="207"/>
      <c r="BK137" s="206"/>
      <c r="BL137" s="206"/>
      <c r="BM137" s="206"/>
      <c r="BN137" s="206"/>
      <c r="BO137" s="211"/>
      <c r="BP137" s="207"/>
      <c r="BQ137" s="207"/>
      <c r="BR137" s="206"/>
      <c r="BS137" s="206"/>
      <c r="BT137" s="212"/>
      <c r="BU137" s="212"/>
      <c r="BV137" s="206"/>
      <c r="BW137" s="212"/>
      <c r="BX137" s="206"/>
      <c r="BY137" s="212"/>
      <c r="BZ137" s="206"/>
      <c r="CA137" s="206">
        <v>42482</v>
      </c>
      <c r="CB137" s="213" t="s">
        <v>134</v>
      </c>
      <c r="CC137" s="212"/>
      <c r="CD137" s="212">
        <v>795000000</v>
      </c>
      <c r="CE137" s="212"/>
      <c r="CF137" s="212"/>
      <c r="CG137" s="212">
        <v>795000000</v>
      </c>
      <c r="CH137" s="200"/>
      <c r="CI137" s="212"/>
      <c r="CJ137" s="255" t="s">
        <v>1754</v>
      </c>
    </row>
    <row r="138" spans="1:88" s="503" customFormat="1" ht="14.1" hidden="1" customHeight="1">
      <c r="A138" s="483" t="s">
        <v>3424</v>
      </c>
      <c r="B138" s="478" t="s">
        <v>3316</v>
      </c>
      <c r="C138" s="251" t="s">
        <v>3423</v>
      </c>
      <c r="D138" s="517" t="s">
        <v>3423</v>
      </c>
      <c r="E138" s="500">
        <v>163604314</v>
      </c>
      <c r="F138" s="251" t="s">
        <v>3185</v>
      </c>
      <c r="G138" s="501"/>
      <c r="H138" s="502"/>
      <c r="J138" s="199">
        <v>126</v>
      </c>
      <c r="K138" s="200"/>
      <c r="L138" s="200" t="s">
        <v>535</v>
      </c>
      <c r="M138" s="201" t="s">
        <v>109</v>
      </c>
      <c r="N138" s="536"/>
      <c r="O138" s="202">
        <v>1</v>
      </c>
      <c r="P138" s="201" t="s">
        <v>125</v>
      </c>
      <c r="Q138" s="201" t="s">
        <v>1755</v>
      </c>
      <c r="R138" s="201" t="s">
        <v>1756</v>
      </c>
      <c r="S138" s="201" t="s">
        <v>1757</v>
      </c>
      <c r="T138" s="201" t="s">
        <v>106</v>
      </c>
      <c r="U138" s="203">
        <v>35.319200000000002</v>
      </c>
      <c r="V138" s="203">
        <v>123.41</v>
      </c>
      <c r="W138" s="204"/>
      <c r="X138" s="205"/>
      <c r="Y138" s="203"/>
      <c r="Z138" s="206">
        <v>38220</v>
      </c>
      <c r="AA138" s="206" t="s">
        <v>79</v>
      </c>
      <c r="AB138" s="207" t="s">
        <v>89</v>
      </c>
      <c r="AC138" s="208" t="s">
        <v>80</v>
      </c>
      <c r="AD138" s="209">
        <v>225240000</v>
      </c>
      <c r="AE138" s="209">
        <v>225240000</v>
      </c>
      <c r="AF138" s="207"/>
      <c r="AG138" s="207"/>
      <c r="AH138" s="209"/>
      <c r="AI138" s="207"/>
      <c r="AJ138" s="208"/>
      <c r="AK138" s="209"/>
      <c r="AL138" s="209"/>
      <c r="AM138" s="206"/>
      <c r="AN138" s="207"/>
      <c r="AO138" s="208"/>
      <c r="AP138" s="209"/>
      <c r="AQ138" s="209"/>
      <c r="AR138" s="207"/>
      <c r="AS138" s="207"/>
      <c r="AT138" s="209"/>
      <c r="AU138" s="209"/>
      <c r="AV138" s="209"/>
      <c r="AW138" s="466" t="s">
        <v>1313</v>
      </c>
      <c r="AX138" s="466" t="s">
        <v>1313</v>
      </c>
      <c r="AY138" s="466" t="s">
        <v>1313</v>
      </c>
      <c r="AZ138" s="466" t="s">
        <v>1313</v>
      </c>
      <c r="BA138" s="466" t="s">
        <v>1313</v>
      </c>
      <c r="BB138" s="466" t="s">
        <v>1313</v>
      </c>
      <c r="BC138" s="207" t="s">
        <v>1320</v>
      </c>
      <c r="BD138" s="210">
        <v>166364403</v>
      </c>
      <c r="BE138" s="210">
        <v>333363529</v>
      </c>
      <c r="BF138" s="207" t="s">
        <v>1361</v>
      </c>
      <c r="BG138" s="207" t="s">
        <v>101</v>
      </c>
      <c r="BH138" s="207" t="s">
        <v>127</v>
      </c>
      <c r="BI138" s="207" t="s">
        <v>1758</v>
      </c>
      <c r="BJ138" s="207" t="s">
        <v>1759</v>
      </c>
      <c r="BK138" s="206">
        <v>42240</v>
      </c>
      <c r="BL138" s="206">
        <v>42311</v>
      </c>
      <c r="BM138" s="206">
        <v>42418</v>
      </c>
      <c r="BN138" s="206"/>
      <c r="BO138" s="211">
        <v>510000000</v>
      </c>
      <c r="BP138" s="207">
        <v>1</v>
      </c>
      <c r="BQ138" s="207" t="s">
        <v>147</v>
      </c>
      <c r="BR138" s="206">
        <v>42432</v>
      </c>
      <c r="BS138" s="206">
        <v>42432</v>
      </c>
      <c r="BT138" s="212">
        <v>510000000</v>
      </c>
      <c r="BU138" s="212">
        <v>510000000</v>
      </c>
      <c r="BV138" s="206" t="s">
        <v>1760</v>
      </c>
      <c r="BW138" s="212">
        <v>357000000</v>
      </c>
      <c r="BX138" s="206"/>
      <c r="BY138" s="212"/>
      <c r="BZ138" s="206"/>
      <c r="CA138" s="206">
        <v>42247</v>
      </c>
      <c r="CB138" s="213" t="s">
        <v>1761</v>
      </c>
      <c r="CC138" s="212">
        <v>132600000</v>
      </c>
      <c r="CD138" s="212">
        <v>377400000</v>
      </c>
      <c r="CE138" s="212"/>
      <c r="CF138" s="212"/>
      <c r="CG138" s="212">
        <v>510000000</v>
      </c>
      <c r="CH138" s="200"/>
      <c r="CI138" s="212"/>
      <c r="CJ138" s="255" t="s">
        <v>416</v>
      </c>
    </row>
    <row r="139" spans="1:88" s="503" customFormat="1" ht="14.1" hidden="1" customHeight="1">
      <c r="A139" s="483" t="s">
        <v>3424</v>
      </c>
      <c r="B139" s="478" t="s">
        <v>3317</v>
      </c>
      <c r="C139" s="521" t="s">
        <v>3435</v>
      </c>
      <c r="D139" s="521" t="s">
        <v>3435</v>
      </c>
      <c r="E139" s="500">
        <v>164903302</v>
      </c>
      <c r="F139" s="251" t="s">
        <v>3187</v>
      </c>
      <c r="G139" s="501"/>
      <c r="H139" s="502"/>
      <c r="J139" s="199">
        <v>127</v>
      </c>
      <c r="K139" s="200"/>
      <c r="L139" s="200" t="s">
        <v>536</v>
      </c>
      <c r="M139" s="201" t="s">
        <v>92</v>
      </c>
      <c r="N139" s="536"/>
      <c r="O139" s="202">
        <v>1</v>
      </c>
      <c r="P139" s="201" t="s">
        <v>103</v>
      </c>
      <c r="Q139" s="201" t="s">
        <v>1762</v>
      </c>
      <c r="R139" s="201" t="s">
        <v>1763</v>
      </c>
      <c r="S139" s="201" t="s">
        <v>1764</v>
      </c>
      <c r="T139" s="201" t="s">
        <v>129</v>
      </c>
      <c r="U139" s="203">
        <v>170.3</v>
      </c>
      <c r="V139" s="203">
        <v>195.5</v>
      </c>
      <c r="W139" s="204"/>
      <c r="X139" s="205"/>
      <c r="Y139" s="203"/>
      <c r="Z139" s="206">
        <v>41410</v>
      </c>
      <c r="AA139" s="206" t="s">
        <v>79</v>
      </c>
      <c r="AB139" s="207" t="s">
        <v>91</v>
      </c>
      <c r="AC139" s="208" t="s">
        <v>80</v>
      </c>
      <c r="AD139" s="209">
        <v>194400000</v>
      </c>
      <c r="AE139" s="209">
        <v>194400000</v>
      </c>
      <c r="AF139" s="207"/>
      <c r="AG139" s="207"/>
      <c r="AH139" s="209"/>
      <c r="AI139" s="207"/>
      <c r="AJ139" s="208"/>
      <c r="AK139" s="209"/>
      <c r="AL139" s="209"/>
      <c r="AM139" s="206"/>
      <c r="AN139" s="207"/>
      <c r="AO139" s="208"/>
      <c r="AP139" s="209"/>
      <c r="AQ139" s="209"/>
      <c r="AR139" s="207"/>
      <c r="AS139" s="207"/>
      <c r="AT139" s="209"/>
      <c r="AU139" s="209"/>
      <c r="AV139" s="209"/>
      <c r="AW139" s="466" t="s">
        <v>1313</v>
      </c>
      <c r="AX139" s="466" t="s">
        <v>1313</v>
      </c>
      <c r="AY139" s="466" t="s">
        <v>1313</v>
      </c>
      <c r="AZ139" s="466" t="s">
        <v>1313</v>
      </c>
      <c r="BA139" s="466" t="s">
        <v>1313</v>
      </c>
      <c r="BB139" s="466" t="s">
        <v>1313</v>
      </c>
      <c r="BC139" s="207" t="s">
        <v>82</v>
      </c>
      <c r="BD139" s="210"/>
      <c r="BE139" s="210"/>
      <c r="BF139" s="207"/>
      <c r="BG139" s="207"/>
      <c r="BH139" s="207"/>
      <c r="BI139" s="207"/>
      <c r="BJ139" s="207"/>
      <c r="BK139" s="206"/>
      <c r="BL139" s="206"/>
      <c r="BM139" s="206"/>
      <c r="BN139" s="206"/>
      <c r="BO139" s="211"/>
      <c r="BP139" s="207"/>
      <c r="BQ139" s="207"/>
      <c r="BR139" s="206"/>
      <c r="BS139" s="206"/>
      <c r="BT139" s="212"/>
      <c r="BU139" s="212"/>
      <c r="BV139" s="206"/>
      <c r="BW139" s="212"/>
      <c r="BX139" s="206"/>
      <c r="BY139" s="212"/>
      <c r="BZ139" s="206"/>
      <c r="CA139" s="206">
        <v>41400</v>
      </c>
      <c r="CB139" s="213" t="s">
        <v>1388</v>
      </c>
      <c r="CC139" s="212">
        <v>493870000</v>
      </c>
      <c r="CD139" s="212">
        <v>112226400</v>
      </c>
      <c r="CE139" s="212"/>
      <c r="CF139" s="212"/>
      <c r="CG139" s="212">
        <v>606096400</v>
      </c>
      <c r="CH139" s="200"/>
      <c r="CI139" s="212"/>
      <c r="CJ139" s="255" t="s">
        <v>416</v>
      </c>
    </row>
    <row r="140" spans="1:88" s="503" customFormat="1" ht="14.1" hidden="1" customHeight="1">
      <c r="A140" s="483" t="s">
        <v>3424</v>
      </c>
      <c r="B140" s="478" t="s">
        <v>3318</v>
      </c>
      <c r="C140" s="521" t="s">
        <v>3435</v>
      </c>
      <c r="D140" s="521" t="s">
        <v>3435</v>
      </c>
      <c r="E140" s="500">
        <v>159383272</v>
      </c>
      <c r="F140" s="251" t="s">
        <v>3185</v>
      </c>
      <c r="G140" s="501"/>
      <c r="H140" s="502"/>
      <c r="J140" s="199">
        <v>128</v>
      </c>
      <c r="K140" s="200"/>
      <c r="L140" s="200" t="s">
        <v>537</v>
      </c>
      <c r="M140" s="201" t="s">
        <v>221</v>
      </c>
      <c r="N140" s="536"/>
      <c r="O140" s="202">
        <v>1</v>
      </c>
      <c r="P140" s="201" t="s">
        <v>103</v>
      </c>
      <c r="Q140" s="201" t="s">
        <v>231</v>
      </c>
      <c r="R140" s="201" t="s">
        <v>1765</v>
      </c>
      <c r="S140" s="201" t="s">
        <v>1766</v>
      </c>
      <c r="T140" s="201" t="s">
        <v>133</v>
      </c>
      <c r="U140" s="203">
        <v>19.7</v>
      </c>
      <c r="V140" s="203">
        <v>79.33</v>
      </c>
      <c r="W140" s="204"/>
      <c r="X140" s="205"/>
      <c r="Y140" s="203"/>
      <c r="Z140" s="206">
        <v>38708</v>
      </c>
      <c r="AA140" s="206" t="s">
        <v>79</v>
      </c>
      <c r="AB140" s="207">
        <v>1</v>
      </c>
      <c r="AC140" s="208" t="s">
        <v>80</v>
      </c>
      <c r="AD140" s="209">
        <v>198000000</v>
      </c>
      <c r="AE140" s="209">
        <v>198000000</v>
      </c>
      <c r="AF140" s="207"/>
      <c r="AG140" s="207"/>
      <c r="AH140" s="209"/>
      <c r="AI140" s="207"/>
      <c r="AJ140" s="208"/>
      <c r="AK140" s="209"/>
      <c r="AL140" s="209"/>
      <c r="AM140" s="206"/>
      <c r="AN140" s="207"/>
      <c r="AO140" s="208"/>
      <c r="AP140" s="209"/>
      <c r="AQ140" s="209"/>
      <c r="AR140" s="207"/>
      <c r="AS140" s="207"/>
      <c r="AT140" s="209"/>
      <c r="AU140" s="209"/>
      <c r="AV140" s="209"/>
      <c r="AW140" s="466" t="s">
        <v>1313</v>
      </c>
      <c r="AX140" s="466" t="s">
        <v>1313</v>
      </c>
      <c r="AY140" s="466" t="s">
        <v>1313</v>
      </c>
      <c r="AZ140" s="466" t="s">
        <v>1313</v>
      </c>
      <c r="BA140" s="466" t="s">
        <v>1313</v>
      </c>
      <c r="BB140" s="466" t="s">
        <v>1313</v>
      </c>
      <c r="BC140" s="207" t="s">
        <v>1320</v>
      </c>
      <c r="BD140" s="210"/>
      <c r="BE140" s="210"/>
      <c r="BF140" s="207" t="s">
        <v>1767</v>
      </c>
      <c r="BG140" s="207"/>
      <c r="BH140" s="207" t="s">
        <v>1711</v>
      </c>
      <c r="BI140" s="207" t="s">
        <v>1768</v>
      </c>
      <c r="BJ140" s="207"/>
      <c r="BK140" s="206">
        <v>42417</v>
      </c>
      <c r="BL140" s="206">
        <v>42464</v>
      </c>
      <c r="BM140" s="206"/>
      <c r="BN140" s="206"/>
      <c r="BO140" s="211">
        <v>370000000</v>
      </c>
      <c r="BP140" s="207">
        <v>1</v>
      </c>
      <c r="BQ140" s="207" t="s">
        <v>147</v>
      </c>
      <c r="BR140" s="206">
        <v>42481</v>
      </c>
      <c r="BS140" s="206">
        <v>42481</v>
      </c>
      <c r="BT140" s="212">
        <v>370000000</v>
      </c>
      <c r="BU140" s="212">
        <v>370000000</v>
      </c>
      <c r="BV140" s="206" t="s">
        <v>1713</v>
      </c>
      <c r="BW140" s="212"/>
      <c r="BX140" s="206"/>
      <c r="BY140" s="212"/>
      <c r="BZ140" s="206"/>
      <c r="CA140" s="206">
        <v>42389</v>
      </c>
      <c r="CB140" s="213" t="s">
        <v>1534</v>
      </c>
      <c r="CC140" s="212"/>
      <c r="CD140" s="212">
        <v>370000000</v>
      </c>
      <c r="CE140" s="212"/>
      <c r="CF140" s="212"/>
      <c r="CG140" s="212">
        <v>370000000</v>
      </c>
      <c r="CH140" s="200"/>
      <c r="CI140" s="212"/>
      <c r="CJ140" s="255" t="s">
        <v>416</v>
      </c>
    </row>
    <row r="141" spans="1:88" s="503" customFormat="1" ht="14.1" hidden="1" customHeight="1">
      <c r="A141" s="483" t="s">
        <v>3424</v>
      </c>
      <c r="B141" s="478" t="s">
        <v>3319</v>
      </c>
      <c r="C141" s="251" t="s">
        <v>3423</v>
      </c>
      <c r="D141" s="517" t="s">
        <v>3423</v>
      </c>
      <c r="E141" s="500">
        <v>156000000</v>
      </c>
      <c r="F141" s="251" t="s">
        <v>3189</v>
      </c>
      <c r="G141" s="501"/>
      <c r="H141" s="502"/>
      <c r="J141" s="199">
        <v>129</v>
      </c>
      <c r="K141" s="200"/>
      <c r="L141" s="200" t="s">
        <v>538</v>
      </c>
      <c r="M141" s="201" t="s">
        <v>173</v>
      </c>
      <c r="N141" s="536"/>
      <c r="O141" s="202">
        <v>1</v>
      </c>
      <c r="P141" s="201" t="s">
        <v>93</v>
      </c>
      <c r="Q141" s="201" t="s">
        <v>415</v>
      </c>
      <c r="R141" s="201" t="s">
        <v>1769</v>
      </c>
      <c r="S141" s="201" t="s">
        <v>1770</v>
      </c>
      <c r="T141" s="201" t="s">
        <v>106</v>
      </c>
      <c r="U141" s="203">
        <v>59.968600000000002</v>
      </c>
      <c r="V141" s="203">
        <v>84.844399999999993</v>
      </c>
      <c r="W141" s="204"/>
      <c r="X141" s="205"/>
      <c r="Y141" s="203"/>
      <c r="Z141" s="206">
        <v>41236</v>
      </c>
      <c r="AA141" s="206" t="s">
        <v>79</v>
      </c>
      <c r="AB141" s="207">
        <v>1</v>
      </c>
      <c r="AC141" s="208" t="s">
        <v>80</v>
      </c>
      <c r="AD141" s="209">
        <v>187200000</v>
      </c>
      <c r="AE141" s="209">
        <v>187200000</v>
      </c>
      <c r="AF141" s="207"/>
      <c r="AG141" s="207"/>
      <c r="AH141" s="209"/>
      <c r="AI141" s="207"/>
      <c r="AJ141" s="208"/>
      <c r="AK141" s="209"/>
      <c r="AL141" s="209"/>
      <c r="AM141" s="206"/>
      <c r="AN141" s="207"/>
      <c r="AO141" s="208"/>
      <c r="AP141" s="209"/>
      <c r="AQ141" s="209"/>
      <c r="AR141" s="207"/>
      <c r="AS141" s="207"/>
      <c r="AT141" s="209"/>
      <c r="AU141" s="209"/>
      <c r="AV141" s="209"/>
      <c r="AW141" s="466" t="s">
        <v>1313</v>
      </c>
      <c r="AX141" s="466" t="s">
        <v>1313</v>
      </c>
      <c r="AY141" s="466" t="s">
        <v>1313</v>
      </c>
      <c r="AZ141" s="466" t="s">
        <v>1313</v>
      </c>
      <c r="BA141" s="466" t="s">
        <v>1313</v>
      </c>
      <c r="BB141" s="466" t="s">
        <v>1313</v>
      </c>
      <c r="BC141" s="207" t="s">
        <v>82</v>
      </c>
      <c r="BD141" s="210"/>
      <c r="BE141" s="210"/>
      <c r="BF141" s="207"/>
      <c r="BG141" s="207"/>
      <c r="BH141" s="207"/>
      <c r="BI141" s="207"/>
      <c r="BJ141" s="207"/>
      <c r="BK141" s="206"/>
      <c r="BL141" s="206"/>
      <c r="BM141" s="206"/>
      <c r="BN141" s="206"/>
      <c r="BO141" s="211"/>
      <c r="BP141" s="207"/>
      <c r="BQ141" s="207"/>
      <c r="BR141" s="206"/>
      <c r="BS141" s="206"/>
      <c r="BT141" s="212"/>
      <c r="BU141" s="212"/>
      <c r="BV141" s="206"/>
      <c r="BW141" s="212"/>
      <c r="BX141" s="206"/>
      <c r="BY141" s="212"/>
      <c r="BZ141" s="206"/>
      <c r="CA141" s="206">
        <v>42482</v>
      </c>
      <c r="CB141" s="213" t="s">
        <v>134</v>
      </c>
      <c r="CC141" s="212"/>
      <c r="CD141" s="212">
        <v>295000000</v>
      </c>
      <c r="CE141" s="212"/>
      <c r="CF141" s="212"/>
      <c r="CG141" s="212">
        <v>295000000</v>
      </c>
      <c r="CH141" s="200"/>
      <c r="CI141" s="212"/>
      <c r="CJ141" s="255" t="s">
        <v>416</v>
      </c>
    </row>
    <row r="142" spans="1:88" s="503" customFormat="1" ht="14.1" hidden="1" customHeight="1">
      <c r="A142" s="483" t="s">
        <v>3424</v>
      </c>
      <c r="B142" s="478" t="s">
        <v>3320</v>
      </c>
      <c r="C142" s="251" t="s">
        <v>3423</v>
      </c>
      <c r="D142" s="517" t="s">
        <v>3423</v>
      </c>
      <c r="E142" s="500">
        <v>154820537</v>
      </c>
      <c r="F142" s="251" t="s">
        <v>3185</v>
      </c>
      <c r="G142" s="501"/>
      <c r="H142" s="502"/>
      <c r="J142" s="199">
        <v>130</v>
      </c>
      <c r="K142" s="200"/>
      <c r="L142" s="200" t="s">
        <v>539</v>
      </c>
      <c r="M142" s="201" t="s">
        <v>152</v>
      </c>
      <c r="N142" s="536"/>
      <c r="O142" s="202">
        <v>1</v>
      </c>
      <c r="P142" s="201" t="s">
        <v>93</v>
      </c>
      <c r="Q142" s="201" t="s">
        <v>1771</v>
      </c>
      <c r="R142" s="201" t="s">
        <v>1772</v>
      </c>
      <c r="S142" s="201" t="s">
        <v>1773</v>
      </c>
      <c r="T142" s="201" t="s">
        <v>106</v>
      </c>
      <c r="U142" s="203">
        <v>38.274000000000001</v>
      </c>
      <c r="V142" s="203">
        <v>84.974999999999994</v>
      </c>
      <c r="W142" s="204"/>
      <c r="X142" s="205"/>
      <c r="Y142" s="203"/>
      <c r="Z142" s="206">
        <v>38877</v>
      </c>
      <c r="AA142" s="206" t="s">
        <v>79</v>
      </c>
      <c r="AB142" s="207">
        <v>1</v>
      </c>
      <c r="AC142" s="208" t="s">
        <v>80</v>
      </c>
      <c r="AD142" s="209">
        <v>168000000</v>
      </c>
      <c r="AE142" s="209">
        <v>168000000</v>
      </c>
      <c r="AF142" s="207"/>
      <c r="AG142" s="207"/>
      <c r="AH142" s="209"/>
      <c r="AI142" s="207"/>
      <c r="AJ142" s="208"/>
      <c r="AK142" s="209"/>
      <c r="AL142" s="209"/>
      <c r="AM142" s="206"/>
      <c r="AN142" s="207"/>
      <c r="AO142" s="208"/>
      <c r="AP142" s="209"/>
      <c r="AQ142" s="209"/>
      <c r="AR142" s="207"/>
      <c r="AS142" s="207"/>
      <c r="AT142" s="209"/>
      <c r="AU142" s="209"/>
      <c r="AV142" s="209"/>
      <c r="AW142" s="466" t="s">
        <v>1313</v>
      </c>
      <c r="AX142" s="466" t="s">
        <v>1313</v>
      </c>
      <c r="AY142" s="466" t="s">
        <v>1313</v>
      </c>
      <c r="AZ142" s="466" t="s">
        <v>1313</v>
      </c>
      <c r="BA142" s="466" t="s">
        <v>1313</v>
      </c>
      <c r="BB142" s="466" t="s">
        <v>1313</v>
      </c>
      <c r="BC142" s="207" t="s">
        <v>82</v>
      </c>
      <c r="BD142" s="210"/>
      <c r="BE142" s="210"/>
      <c r="BF142" s="207"/>
      <c r="BG142" s="207"/>
      <c r="BH142" s="207"/>
      <c r="BI142" s="207"/>
      <c r="BJ142" s="207"/>
      <c r="BK142" s="206"/>
      <c r="BL142" s="206"/>
      <c r="BM142" s="206"/>
      <c r="BN142" s="206"/>
      <c r="BO142" s="211"/>
      <c r="BP142" s="207"/>
      <c r="BQ142" s="207"/>
      <c r="BR142" s="206"/>
      <c r="BS142" s="206"/>
      <c r="BT142" s="212"/>
      <c r="BU142" s="212"/>
      <c r="BV142" s="206"/>
      <c r="BW142" s="212"/>
      <c r="BX142" s="206"/>
      <c r="BY142" s="212"/>
      <c r="BZ142" s="206"/>
      <c r="CA142" s="206">
        <v>42482</v>
      </c>
      <c r="CB142" s="213" t="s">
        <v>134</v>
      </c>
      <c r="CC142" s="212"/>
      <c r="CD142" s="212">
        <v>370000000</v>
      </c>
      <c r="CE142" s="212"/>
      <c r="CF142" s="212"/>
      <c r="CG142" s="212">
        <v>370000000</v>
      </c>
      <c r="CH142" s="200"/>
      <c r="CI142" s="212"/>
      <c r="CJ142" s="255" t="s">
        <v>1774</v>
      </c>
    </row>
    <row r="143" spans="1:88" s="503" customFormat="1" ht="14.1" hidden="1" customHeight="1">
      <c r="A143" s="483" t="s">
        <v>3424</v>
      </c>
      <c r="B143" s="478" t="s">
        <v>3321</v>
      </c>
      <c r="C143" s="251" t="s">
        <v>3423</v>
      </c>
      <c r="D143" s="517" t="s">
        <v>3423</v>
      </c>
      <c r="E143" s="500">
        <v>147914942</v>
      </c>
      <c r="F143" s="251" t="s">
        <v>3189</v>
      </c>
      <c r="G143" s="501"/>
      <c r="H143" s="502"/>
      <c r="J143" s="199">
        <v>131</v>
      </c>
      <c r="K143" s="200"/>
      <c r="L143" s="200" t="s">
        <v>540</v>
      </c>
      <c r="M143" s="201" t="s">
        <v>175</v>
      </c>
      <c r="N143" s="536"/>
      <c r="O143" s="202">
        <v>1</v>
      </c>
      <c r="P143" s="201" t="s">
        <v>93</v>
      </c>
      <c r="Q143" s="201" t="s">
        <v>128</v>
      </c>
      <c r="R143" s="201" t="s">
        <v>1775</v>
      </c>
      <c r="S143" s="201" t="s">
        <v>1776</v>
      </c>
      <c r="T143" s="201" t="s">
        <v>106</v>
      </c>
      <c r="U143" s="203">
        <v>81.981800000000007</v>
      </c>
      <c r="V143" s="203">
        <v>84.891099999999994</v>
      </c>
      <c r="W143" s="204"/>
      <c r="X143" s="205"/>
      <c r="Y143" s="203"/>
      <c r="Z143" s="206">
        <v>41648</v>
      </c>
      <c r="AA143" s="206" t="s">
        <v>79</v>
      </c>
      <c r="AB143" s="207">
        <v>1</v>
      </c>
      <c r="AC143" s="208" t="s">
        <v>80</v>
      </c>
      <c r="AD143" s="209">
        <v>183600000</v>
      </c>
      <c r="AE143" s="209">
        <v>183600000</v>
      </c>
      <c r="AF143" s="207"/>
      <c r="AG143" s="207"/>
      <c r="AH143" s="209"/>
      <c r="AI143" s="207"/>
      <c r="AJ143" s="208"/>
      <c r="AK143" s="209"/>
      <c r="AL143" s="209"/>
      <c r="AM143" s="206"/>
      <c r="AN143" s="207"/>
      <c r="AO143" s="208"/>
      <c r="AP143" s="209"/>
      <c r="AQ143" s="209"/>
      <c r="AR143" s="207"/>
      <c r="AS143" s="207"/>
      <c r="AT143" s="209"/>
      <c r="AU143" s="209"/>
      <c r="AV143" s="209"/>
      <c r="AW143" s="466" t="s">
        <v>1313</v>
      </c>
      <c r="AX143" s="466" t="s">
        <v>1313</v>
      </c>
      <c r="AY143" s="466" t="s">
        <v>1313</v>
      </c>
      <c r="AZ143" s="466" t="s">
        <v>1313</v>
      </c>
      <c r="BA143" s="466" t="s">
        <v>1313</v>
      </c>
      <c r="BB143" s="466" t="s">
        <v>1313</v>
      </c>
      <c r="BC143" s="207" t="s">
        <v>82</v>
      </c>
      <c r="BD143" s="210"/>
      <c r="BE143" s="210"/>
      <c r="BF143" s="207"/>
      <c r="BG143" s="207"/>
      <c r="BH143" s="207"/>
      <c r="BI143" s="207"/>
      <c r="BJ143" s="207"/>
      <c r="BK143" s="206"/>
      <c r="BL143" s="206"/>
      <c r="BM143" s="206"/>
      <c r="BN143" s="206"/>
      <c r="BO143" s="211"/>
      <c r="BP143" s="207"/>
      <c r="BQ143" s="207"/>
      <c r="BR143" s="206"/>
      <c r="BS143" s="206"/>
      <c r="BT143" s="212"/>
      <c r="BU143" s="212"/>
      <c r="BV143" s="206"/>
      <c r="BW143" s="212"/>
      <c r="BX143" s="206"/>
      <c r="BY143" s="212"/>
      <c r="BZ143" s="206"/>
      <c r="CA143" s="206">
        <v>42482</v>
      </c>
      <c r="CB143" s="213" t="s">
        <v>134</v>
      </c>
      <c r="CC143" s="212"/>
      <c r="CD143" s="212">
        <v>292500000</v>
      </c>
      <c r="CE143" s="212"/>
      <c r="CF143" s="212"/>
      <c r="CG143" s="212">
        <v>292500000</v>
      </c>
      <c r="CH143" s="200"/>
      <c r="CI143" s="212"/>
      <c r="CJ143" s="255" t="s">
        <v>416</v>
      </c>
    </row>
    <row r="144" spans="1:88" s="503" customFormat="1" ht="14.1" hidden="1" customHeight="1">
      <c r="A144" s="483" t="s">
        <v>3424</v>
      </c>
      <c r="B144" s="478" t="s">
        <v>3322</v>
      </c>
      <c r="C144" s="521" t="s">
        <v>3435</v>
      </c>
      <c r="D144" s="521" t="s">
        <v>3435</v>
      </c>
      <c r="E144" s="500">
        <v>147692850</v>
      </c>
      <c r="F144" s="251" t="s">
        <v>3187</v>
      </c>
      <c r="G144" s="501"/>
      <c r="H144" s="502"/>
      <c r="J144" s="199">
        <v>132</v>
      </c>
      <c r="K144" s="200"/>
      <c r="L144" s="200" t="s">
        <v>541</v>
      </c>
      <c r="M144" s="201" t="s">
        <v>168</v>
      </c>
      <c r="N144" s="536"/>
      <c r="O144" s="202">
        <v>1</v>
      </c>
      <c r="P144" s="201" t="s">
        <v>103</v>
      </c>
      <c r="Q144" s="201" t="s">
        <v>1762</v>
      </c>
      <c r="R144" s="201" t="s">
        <v>1777</v>
      </c>
      <c r="S144" s="201" t="s">
        <v>1778</v>
      </c>
      <c r="T144" s="201" t="s">
        <v>220</v>
      </c>
      <c r="U144" s="203">
        <v>29.87</v>
      </c>
      <c r="V144" s="203">
        <v>50.31</v>
      </c>
      <c r="W144" s="204"/>
      <c r="X144" s="205"/>
      <c r="Y144" s="203"/>
      <c r="Z144" s="206">
        <v>41750</v>
      </c>
      <c r="AA144" s="206" t="s">
        <v>79</v>
      </c>
      <c r="AB144" s="207">
        <v>1</v>
      </c>
      <c r="AC144" s="208" t="s">
        <v>80</v>
      </c>
      <c r="AD144" s="209">
        <v>180000000</v>
      </c>
      <c r="AE144" s="209">
        <v>180000000</v>
      </c>
      <c r="AF144" s="207"/>
      <c r="AG144" s="207"/>
      <c r="AH144" s="209"/>
      <c r="AI144" s="207"/>
      <c r="AJ144" s="208"/>
      <c r="AK144" s="209"/>
      <c r="AL144" s="209"/>
      <c r="AM144" s="206"/>
      <c r="AN144" s="207"/>
      <c r="AO144" s="208"/>
      <c r="AP144" s="209"/>
      <c r="AQ144" s="209"/>
      <c r="AR144" s="207"/>
      <c r="AS144" s="207"/>
      <c r="AT144" s="209"/>
      <c r="AU144" s="209"/>
      <c r="AV144" s="209"/>
      <c r="AW144" s="466" t="s">
        <v>1313</v>
      </c>
      <c r="AX144" s="466" t="s">
        <v>1313</v>
      </c>
      <c r="AY144" s="466" t="s">
        <v>1313</v>
      </c>
      <c r="AZ144" s="466" t="s">
        <v>1313</v>
      </c>
      <c r="BA144" s="466" t="s">
        <v>1313</v>
      </c>
      <c r="BB144" s="466" t="s">
        <v>1313</v>
      </c>
      <c r="BC144" s="207" t="s">
        <v>82</v>
      </c>
      <c r="BD144" s="210"/>
      <c r="BE144" s="210"/>
      <c r="BF144" s="207"/>
      <c r="BG144" s="207"/>
      <c r="BH144" s="207"/>
      <c r="BI144" s="207"/>
      <c r="BJ144" s="207"/>
      <c r="BK144" s="206"/>
      <c r="BL144" s="206"/>
      <c r="BM144" s="206"/>
      <c r="BN144" s="206"/>
      <c r="BO144" s="211"/>
      <c r="BP144" s="207"/>
      <c r="BQ144" s="207"/>
      <c r="BR144" s="206"/>
      <c r="BS144" s="206"/>
      <c r="BT144" s="212"/>
      <c r="BU144" s="212"/>
      <c r="BV144" s="206"/>
      <c r="BW144" s="212"/>
      <c r="BX144" s="206"/>
      <c r="BY144" s="212"/>
      <c r="BZ144" s="206"/>
      <c r="CA144" s="206">
        <v>41747</v>
      </c>
      <c r="CB144" s="213" t="s">
        <v>1779</v>
      </c>
      <c r="CC144" s="212"/>
      <c r="CD144" s="212">
        <v>275000000</v>
      </c>
      <c r="CE144" s="212"/>
      <c r="CF144" s="212"/>
      <c r="CG144" s="212">
        <v>275000000</v>
      </c>
      <c r="CH144" s="200"/>
      <c r="CI144" s="212"/>
      <c r="CJ144" s="255" t="s">
        <v>416</v>
      </c>
    </row>
    <row r="145" spans="1:88" s="503" customFormat="1" ht="14.1" hidden="1" customHeight="1">
      <c r="A145" s="483" t="s">
        <v>3424</v>
      </c>
      <c r="B145" s="478" t="s">
        <v>3323</v>
      </c>
      <c r="C145" s="521" t="s">
        <v>3435</v>
      </c>
      <c r="D145" s="521" t="s">
        <v>3435</v>
      </c>
      <c r="E145" s="500">
        <v>142813768</v>
      </c>
      <c r="F145" s="251" t="s">
        <v>3186</v>
      </c>
      <c r="G145" s="501"/>
      <c r="H145" s="502"/>
      <c r="J145" s="199">
        <v>133</v>
      </c>
      <c r="K145" s="200"/>
      <c r="L145" s="200" t="s">
        <v>542</v>
      </c>
      <c r="M145" s="201" t="s">
        <v>130</v>
      </c>
      <c r="N145" s="536"/>
      <c r="O145" s="202">
        <v>1</v>
      </c>
      <c r="P145" s="201" t="s">
        <v>93</v>
      </c>
      <c r="Q145" s="201" t="s">
        <v>1780</v>
      </c>
      <c r="R145" s="201" t="s">
        <v>1781</v>
      </c>
      <c r="S145" s="201" t="s">
        <v>1782</v>
      </c>
      <c r="T145" s="201" t="s">
        <v>78</v>
      </c>
      <c r="U145" s="203">
        <v>388</v>
      </c>
      <c r="V145" s="203">
        <v>268.47000000000003</v>
      </c>
      <c r="W145" s="204"/>
      <c r="X145" s="205"/>
      <c r="Y145" s="203"/>
      <c r="Z145" s="206">
        <v>41465</v>
      </c>
      <c r="AA145" s="206" t="s">
        <v>79</v>
      </c>
      <c r="AB145" s="207">
        <v>1</v>
      </c>
      <c r="AC145" s="208" t="s">
        <v>80</v>
      </c>
      <c r="AD145" s="209">
        <v>168000000</v>
      </c>
      <c r="AE145" s="209">
        <v>168000000</v>
      </c>
      <c r="AF145" s="207"/>
      <c r="AG145" s="207"/>
      <c r="AH145" s="209"/>
      <c r="AI145" s="207"/>
      <c r="AJ145" s="208"/>
      <c r="AK145" s="209"/>
      <c r="AL145" s="209"/>
      <c r="AM145" s="206"/>
      <c r="AN145" s="207"/>
      <c r="AO145" s="208"/>
      <c r="AP145" s="209"/>
      <c r="AQ145" s="209"/>
      <c r="AR145" s="207"/>
      <c r="AS145" s="207"/>
      <c r="AT145" s="209"/>
      <c r="AU145" s="209"/>
      <c r="AV145" s="209"/>
      <c r="AW145" s="466" t="s">
        <v>1313</v>
      </c>
      <c r="AX145" s="466" t="s">
        <v>1313</v>
      </c>
      <c r="AY145" s="466" t="s">
        <v>1313</v>
      </c>
      <c r="AZ145" s="466" t="s">
        <v>1313</v>
      </c>
      <c r="BA145" s="466" t="s">
        <v>1313</v>
      </c>
      <c r="BB145" s="466" t="s">
        <v>1313</v>
      </c>
      <c r="BC145" s="207" t="s">
        <v>1320</v>
      </c>
      <c r="BD145" s="210">
        <v>142869275</v>
      </c>
      <c r="BE145" s="210"/>
      <c r="BF145" s="207" t="s">
        <v>101</v>
      </c>
      <c r="BG145" s="207"/>
      <c r="BH145" s="207" t="s">
        <v>1783</v>
      </c>
      <c r="BI145" s="207" t="s">
        <v>1784</v>
      </c>
      <c r="BJ145" s="207"/>
      <c r="BK145" s="206">
        <v>42419</v>
      </c>
      <c r="BL145" s="206">
        <v>42506</v>
      </c>
      <c r="BM145" s="206"/>
      <c r="BN145" s="206"/>
      <c r="BO145" s="211"/>
      <c r="BP145" s="207"/>
      <c r="BQ145" s="207"/>
      <c r="BR145" s="206"/>
      <c r="BS145" s="206"/>
      <c r="BT145" s="212"/>
      <c r="BU145" s="212"/>
      <c r="BV145" s="206"/>
      <c r="BW145" s="212"/>
      <c r="BX145" s="206"/>
      <c r="BY145" s="212"/>
      <c r="BZ145" s="206"/>
      <c r="CA145" s="206">
        <v>41452</v>
      </c>
      <c r="CB145" s="213" t="s">
        <v>1327</v>
      </c>
      <c r="CC145" s="212">
        <v>186240000</v>
      </c>
      <c r="CD145" s="212">
        <v>166487400</v>
      </c>
      <c r="CE145" s="212"/>
      <c r="CF145" s="212"/>
      <c r="CG145" s="212">
        <v>352727400</v>
      </c>
      <c r="CH145" s="200"/>
      <c r="CI145" s="212"/>
      <c r="CJ145" s="255" t="s">
        <v>1785</v>
      </c>
    </row>
    <row r="146" spans="1:88" s="503" customFormat="1" ht="14.1" hidden="1" customHeight="1">
      <c r="A146" s="483" t="s">
        <v>3424</v>
      </c>
      <c r="B146" s="478" t="s">
        <v>3324</v>
      </c>
      <c r="C146" s="251" t="s">
        <v>3423</v>
      </c>
      <c r="D146" s="517" t="s">
        <v>3423</v>
      </c>
      <c r="E146" s="500">
        <v>142710448</v>
      </c>
      <c r="F146" s="251" t="s">
        <v>3187</v>
      </c>
      <c r="G146" s="501"/>
      <c r="H146" s="502"/>
      <c r="J146" s="199">
        <v>134</v>
      </c>
      <c r="K146" s="200"/>
      <c r="L146" s="200" t="s">
        <v>543</v>
      </c>
      <c r="M146" s="201" t="s">
        <v>109</v>
      </c>
      <c r="N146" s="536"/>
      <c r="O146" s="202">
        <v>1</v>
      </c>
      <c r="P146" s="201" t="s">
        <v>210</v>
      </c>
      <c r="Q146" s="201" t="s">
        <v>1667</v>
      </c>
      <c r="R146" s="201" t="s">
        <v>1786</v>
      </c>
      <c r="S146" s="201" t="s">
        <v>1787</v>
      </c>
      <c r="T146" s="201" t="s">
        <v>106</v>
      </c>
      <c r="U146" s="203">
        <v>57.39</v>
      </c>
      <c r="V146" s="203">
        <v>84.51</v>
      </c>
      <c r="W146" s="204"/>
      <c r="X146" s="205"/>
      <c r="Y146" s="203"/>
      <c r="Z146" s="206">
        <v>41446</v>
      </c>
      <c r="AA146" s="206" t="s">
        <v>79</v>
      </c>
      <c r="AB146" s="207" t="s">
        <v>89</v>
      </c>
      <c r="AC146" s="208" t="s">
        <v>80</v>
      </c>
      <c r="AD146" s="209">
        <v>189000000</v>
      </c>
      <c r="AE146" s="209">
        <v>189000000</v>
      </c>
      <c r="AF146" s="207"/>
      <c r="AG146" s="207"/>
      <c r="AH146" s="209"/>
      <c r="AI146" s="207"/>
      <c r="AJ146" s="208"/>
      <c r="AK146" s="209"/>
      <c r="AL146" s="209"/>
      <c r="AM146" s="206"/>
      <c r="AN146" s="207"/>
      <c r="AO146" s="208"/>
      <c r="AP146" s="209"/>
      <c r="AQ146" s="209"/>
      <c r="AR146" s="207"/>
      <c r="AS146" s="207"/>
      <c r="AT146" s="209"/>
      <c r="AU146" s="209"/>
      <c r="AV146" s="209"/>
      <c r="AW146" s="466" t="s">
        <v>1313</v>
      </c>
      <c r="AX146" s="466" t="s">
        <v>1313</v>
      </c>
      <c r="AY146" s="466" t="s">
        <v>1313</v>
      </c>
      <c r="AZ146" s="466" t="s">
        <v>1313</v>
      </c>
      <c r="BA146" s="466" t="s">
        <v>1313</v>
      </c>
      <c r="BB146" s="466" t="s">
        <v>1313</v>
      </c>
      <c r="BC146" s="207" t="s">
        <v>1320</v>
      </c>
      <c r="BD146" s="210">
        <v>142888244</v>
      </c>
      <c r="BE146" s="210">
        <v>8414401</v>
      </c>
      <c r="BF146" s="207" t="s">
        <v>1788</v>
      </c>
      <c r="BG146" s="207" t="s">
        <v>101</v>
      </c>
      <c r="BH146" s="207" t="s">
        <v>1397</v>
      </c>
      <c r="BI146" s="207" t="s">
        <v>1789</v>
      </c>
      <c r="BJ146" s="207" t="s">
        <v>1790</v>
      </c>
      <c r="BK146" s="206">
        <v>42422</v>
      </c>
      <c r="BL146" s="206">
        <v>42509</v>
      </c>
      <c r="BM146" s="206">
        <v>42457</v>
      </c>
      <c r="BN146" s="206"/>
      <c r="BO146" s="211"/>
      <c r="BP146" s="207"/>
      <c r="BQ146" s="207"/>
      <c r="BR146" s="206"/>
      <c r="BS146" s="206"/>
      <c r="BT146" s="212"/>
      <c r="BU146" s="212"/>
      <c r="BV146" s="206"/>
      <c r="BW146" s="212"/>
      <c r="BX146" s="206"/>
      <c r="BY146" s="212"/>
      <c r="BZ146" s="206"/>
      <c r="CA146" s="206">
        <v>42482</v>
      </c>
      <c r="CB146" s="213" t="s">
        <v>134</v>
      </c>
      <c r="CC146" s="212"/>
      <c r="CD146" s="212">
        <v>225000000</v>
      </c>
      <c r="CE146" s="212"/>
      <c r="CF146" s="212"/>
      <c r="CG146" s="212">
        <v>225000000</v>
      </c>
      <c r="CH146" s="200"/>
      <c r="CI146" s="212"/>
      <c r="CJ146" s="255" t="s">
        <v>1791</v>
      </c>
    </row>
    <row r="147" spans="1:88" s="503" customFormat="1" ht="14.1" hidden="1" customHeight="1">
      <c r="A147" s="483" t="s">
        <v>3424</v>
      </c>
      <c r="B147" s="478" t="s">
        <v>3325</v>
      </c>
      <c r="C147" s="251" t="s">
        <v>3423</v>
      </c>
      <c r="D147" s="517" t="s">
        <v>3423</v>
      </c>
      <c r="E147" s="500">
        <v>141864808</v>
      </c>
      <c r="F147" s="251" t="s">
        <v>3187</v>
      </c>
      <c r="G147" s="501"/>
      <c r="H147" s="502"/>
      <c r="J147" s="199">
        <v>135</v>
      </c>
      <c r="K147" s="200"/>
      <c r="L147" s="200" t="s">
        <v>544</v>
      </c>
      <c r="M147" s="201" t="s">
        <v>151</v>
      </c>
      <c r="N147" s="536"/>
      <c r="O147" s="202">
        <v>1</v>
      </c>
      <c r="P147" s="201" t="s">
        <v>93</v>
      </c>
      <c r="Q147" s="201" t="s">
        <v>191</v>
      </c>
      <c r="R147" s="201" t="s">
        <v>1792</v>
      </c>
      <c r="S147" s="201" t="s">
        <v>1793</v>
      </c>
      <c r="T147" s="201" t="s">
        <v>106</v>
      </c>
      <c r="U147" s="203" t="s">
        <v>285</v>
      </c>
      <c r="V147" s="203">
        <v>84.98</v>
      </c>
      <c r="W147" s="204"/>
      <c r="X147" s="205"/>
      <c r="Y147" s="203"/>
      <c r="Z147" s="206">
        <v>40549</v>
      </c>
      <c r="AA147" s="206" t="s">
        <v>79</v>
      </c>
      <c r="AB147" s="207">
        <v>1</v>
      </c>
      <c r="AC147" s="208" t="s">
        <v>80</v>
      </c>
      <c r="AD147" s="209">
        <v>166800000</v>
      </c>
      <c r="AE147" s="209">
        <v>166800000</v>
      </c>
      <c r="AF147" s="207"/>
      <c r="AG147" s="207"/>
      <c r="AH147" s="209"/>
      <c r="AI147" s="207"/>
      <c r="AJ147" s="208"/>
      <c r="AK147" s="209"/>
      <c r="AL147" s="209"/>
      <c r="AM147" s="206"/>
      <c r="AN147" s="207"/>
      <c r="AO147" s="208"/>
      <c r="AP147" s="209"/>
      <c r="AQ147" s="209"/>
      <c r="AR147" s="207"/>
      <c r="AS147" s="207"/>
      <c r="AT147" s="209"/>
      <c r="AU147" s="209"/>
      <c r="AV147" s="209"/>
      <c r="AW147" s="466" t="s">
        <v>1313</v>
      </c>
      <c r="AX147" s="466" t="s">
        <v>1313</v>
      </c>
      <c r="AY147" s="466" t="s">
        <v>1313</v>
      </c>
      <c r="AZ147" s="466" t="s">
        <v>1313</v>
      </c>
      <c r="BA147" s="466" t="s">
        <v>1313</v>
      </c>
      <c r="BB147" s="466" t="s">
        <v>1313</v>
      </c>
      <c r="BC147" s="207" t="s">
        <v>1320</v>
      </c>
      <c r="BD147" s="210">
        <v>145343390</v>
      </c>
      <c r="BE147" s="210">
        <v>80000000</v>
      </c>
      <c r="BF147" s="207" t="s">
        <v>101</v>
      </c>
      <c r="BG147" s="207" t="s">
        <v>1343</v>
      </c>
      <c r="BH147" s="207" t="s">
        <v>172</v>
      </c>
      <c r="BI147" s="207" t="s">
        <v>1794</v>
      </c>
      <c r="BJ147" s="207" t="s">
        <v>1795</v>
      </c>
      <c r="BK147" s="206">
        <v>42366</v>
      </c>
      <c r="BL147" s="206">
        <v>42443</v>
      </c>
      <c r="BM147" s="206">
        <v>42383</v>
      </c>
      <c r="BN147" s="206"/>
      <c r="BO147" s="211"/>
      <c r="BP147" s="207"/>
      <c r="BQ147" s="207"/>
      <c r="BR147" s="206"/>
      <c r="BS147" s="206"/>
      <c r="BT147" s="212"/>
      <c r="BU147" s="212"/>
      <c r="BV147" s="206"/>
      <c r="BW147" s="212"/>
      <c r="BX147" s="206"/>
      <c r="BY147" s="212"/>
      <c r="BZ147" s="206"/>
      <c r="CA147" s="206">
        <v>42482</v>
      </c>
      <c r="CB147" s="213" t="s">
        <v>134</v>
      </c>
      <c r="CC147" s="212"/>
      <c r="CD147" s="212">
        <v>252500000</v>
      </c>
      <c r="CE147" s="212"/>
      <c r="CF147" s="212"/>
      <c r="CG147" s="212">
        <v>252500000</v>
      </c>
      <c r="CH147" s="200"/>
      <c r="CI147" s="212"/>
      <c r="CJ147" s="255" t="s">
        <v>1796</v>
      </c>
    </row>
    <row r="148" spans="1:88" s="503" customFormat="1" ht="14.1" hidden="1" customHeight="1">
      <c r="A148" s="483" t="s">
        <v>3424</v>
      </c>
      <c r="B148" s="478" t="s">
        <v>3326</v>
      </c>
      <c r="C148" s="251" t="s">
        <v>3423</v>
      </c>
      <c r="D148" s="517" t="s">
        <v>3423</v>
      </c>
      <c r="E148" s="500">
        <v>140810438</v>
      </c>
      <c r="F148" s="251" t="s">
        <v>3187</v>
      </c>
      <c r="G148" s="501"/>
      <c r="H148" s="502"/>
      <c r="J148" s="199">
        <v>136</v>
      </c>
      <c r="K148" s="200"/>
      <c r="L148" s="200" t="s">
        <v>545</v>
      </c>
      <c r="M148" s="201" t="s">
        <v>148</v>
      </c>
      <c r="N148" s="536"/>
      <c r="O148" s="202">
        <v>1</v>
      </c>
      <c r="P148" s="201" t="s">
        <v>83</v>
      </c>
      <c r="Q148" s="201" t="s">
        <v>155</v>
      </c>
      <c r="R148" s="201" t="s">
        <v>1797</v>
      </c>
      <c r="S148" s="201" t="s">
        <v>1798</v>
      </c>
      <c r="T148" s="201" t="s">
        <v>106</v>
      </c>
      <c r="U148" s="203">
        <v>33.549999999999997</v>
      </c>
      <c r="V148" s="203">
        <v>59.39</v>
      </c>
      <c r="W148" s="204"/>
      <c r="X148" s="205"/>
      <c r="Y148" s="203"/>
      <c r="Z148" s="206">
        <v>42114</v>
      </c>
      <c r="AA148" s="206" t="s">
        <v>79</v>
      </c>
      <c r="AB148" s="207">
        <v>1</v>
      </c>
      <c r="AC148" s="208" t="s">
        <v>80</v>
      </c>
      <c r="AD148" s="209">
        <v>170400000</v>
      </c>
      <c r="AE148" s="209">
        <v>170400000</v>
      </c>
      <c r="AF148" s="207"/>
      <c r="AG148" s="207"/>
      <c r="AH148" s="209"/>
      <c r="AI148" s="207"/>
      <c r="AJ148" s="208"/>
      <c r="AK148" s="209"/>
      <c r="AL148" s="209"/>
      <c r="AM148" s="206"/>
      <c r="AN148" s="207"/>
      <c r="AO148" s="208"/>
      <c r="AP148" s="209"/>
      <c r="AQ148" s="209"/>
      <c r="AR148" s="207"/>
      <c r="AS148" s="207"/>
      <c r="AT148" s="209"/>
      <c r="AU148" s="209"/>
      <c r="AV148" s="209"/>
      <c r="AW148" s="466" t="s">
        <v>1313</v>
      </c>
      <c r="AX148" s="466" t="s">
        <v>1313</v>
      </c>
      <c r="AY148" s="466" t="s">
        <v>1313</v>
      </c>
      <c r="AZ148" s="466" t="s">
        <v>1313</v>
      </c>
      <c r="BA148" s="466" t="s">
        <v>1313</v>
      </c>
      <c r="BB148" s="466" t="s">
        <v>1313</v>
      </c>
      <c r="BC148" s="207" t="s">
        <v>82</v>
      </c>
      <c r="BD148" s="210"/>
      <c r="BE148" s="210"/>
      <c r="BF148" s="207"/>
      <c r="BG148" s="207"/>
      <c r="BH148" s="207"/>
      <c r="BI148" s="207"/>
      <c r="BJ148" s="207"/>
      <c r="BK148" s="206"/>
      <c r="BL148" s="206"/>
      <c r="BM148" s="206"/>
      <c r="BN148" s="206"/>
      <c r="BO148" s="211"/>
      <c r="BP148" s="207"/>
      <c r="BQ148" s="207"/>
      <c r="BR148" s="206"/>
      <c r="BS148" s="206"/>
      <c r="BT148" s="212"/>
      <c r="BU148" s="212"/>
      <c r="BV148" s="206"/>
      <c r="BW148" s="212"/>
      <c r="BX148" s="206"/>
      <c r="BY148" s="212"/>
      <c r="BZ148" s="206"/>
      <c r="CA148" s="206">
        <v>42482</v>
      </c>
      <c r="CB148" s="213" t="s">
        <v>134</v>
      </c>
      <c r="CC148" s="212"/>
      <c r="CD148" s="212">
        <v>239000000</v>
      </c>
      <c r="CE148" s="212"/>
      <c r="CF148" s="212"/>
      <c r="CG148" s="212">
        <v>239000000</v>
      </c>
      <c r="CH148" s="200"/>
      <c r="CI148" s="212"/>
      <c r="CJ148" s="255" t="s">
        <v>1799</v>
      </c>
    </row>
    <row r="149" spans="1:88" s="503" customFormat="1" ht="14.1" hidden="1" customHeight="1">
      <c r="A149" s="483" t="s">
        <v>3424</v>
      </c>
      <c r="B149" s="478" t="s">
        <v>3327</v>
      </c>
      <c r="C149" s="251" t="s">
        <v>3423</v>
      </c>
      <c r="D149" s="517" t="s">
        <v>3423</v>
      </c>
      <c r="E149" s="500">
        <v>140166660</v>
      </c>
      <c r="F149" s="251" t="s">
        <v>3184</v>
      </c>
      <c r="G149" s="501"/>
      <c r="H149" s="502"/>
      <c r="J149" s="199">
        <v>137</v>
      </c>
      <c r="K149" s="200"/>
      <c r="L149" s="200" t="s">
        <v>546</v>
      </c>
      <c r="M149" s="201" t="s">
        <v>208</v>
      </c>
      <c r="N149" s="536"/>
      <c r="O149" s="202">
        <v>1</v>
      </c>
      <c r="P149" s="201" t="s">
        <v>164</v>
      </c>
      <c r="Q149" s="201" t="s">
        <v>203</v>
      </c>
      <c r="R149" s="201" t="s">
        <v>204</v>
      </c>
      <c r="S149" s="201" t="s">
        <v>1800</v>
      </c>
      <c r="T149" s="201" t="s">
        <v>106</v>
      </c>
      <c r="U149" s="203">
        <v>50.351100000000002</v>
      </c>
      <c r="V149" s="203">
        <v>84.936199999999999</v>
      </c>
      <c r="W149" s="204"/>
      <c r="X149" s="205"/>
      <c r="Y149" s="203"/>
      <c r="Z149" s="206">
        <v>40595</v>
      </c>
      <c r="AA149" s="206" t="s">
        <v>79</v>
      </c>
      <c r="AB149" s="207" t="s">
        <v>89</v>
      </c>
      <c r="AC149" s="208" t="s">
        <v>80</v>
      </c>
      <c r="AD149" s="209">
        <v>165600000</v>
      </c>
      <c r="AE149" s="209">
        <v>165600000</v>
      </c>
      <c r="AF149" s="207"/>
      <c r="AG149" s="207"/>
      <c r="AH149" s="209"/>
      <c r="AI149" s="207"/>
      <c r="AJ149" s="208"/>
      <c r="AK149" s="209"/>
      <c r="AL149" s="209"/>
      <c r="AM149" s="206"/>
      <c r="AN149" s="207"/>
      <c r="AO149" s="208"/>
      <c r="AP149" s="209"/>
      <c r="AQ149" s="209"/>
      <c r="AR149" s="207"/>
      <c r="AS149" s="207"/>
      <c r="AT149" s="209"/>
      <c r="AU149" s="209"/>
      <c r="AV149" s="209"/>
      <c r="AW149" s="466" t="s">
        <v>1313</v>
      </c>
      <c r="AX149" s="466" t="s">
        <v>1313</v>
      </c>
      <c r="AY149" s="466" t="s">
        <v>1313</v>
      </c>
      <c r="AZ149" s="466" t="s">
        <v>1313</v>
      </c>
      <c r="BA149" s="466" t="s">
        <v>1313</v>
      </c>
      <c r="BB149" s="466" t="s">
        <v>1313</v>
      </c>
      <c r="BC149" s="207" t="s">
        <v>82</v>
      </c>
      <c r="BD149" s="210"/>
      <c r="BE149" s="210"/>
      <c r="BF149" s="207"/>
      <c r="BG149" s="207"/>
      <c r="BH149" s="207"/>
      <c r="BI149" s="207"/>
      <c r="BJ149" s="207"/>
      <c r="BK149" s="206"/>
      <c r="BL149" s="206"/>
      <c r="BM149" s="206"/>
      <c r="BN149" s="206"/>
      <c r="BO149" s="211"/>
      <c r="BP149" s="207"/>
      <c r="BQ149" s="207"/>
      <c r="BR149" s="206"/>
      <c r="BS149" s="206"/>
      <c r="BT149" s="212"/>
      <c r="BU149" s="212"/>
      <c r="BV149" s="206"/>
      <c r="BW149" s="212"/>
      <c r="BX149" s="206"/>
      <c r="BY149" s="212"/>
      <c r="BZ149" s="206"/>
      <c r="CA149" s="206">
        <v>42482</v>
      </c>
      <c r="CB149" s="213" t="s">
        <v>134</v>
      </c>
      <c r="CC149" s="212"/>
      <c r="CD149" s="212">
        <v>180000000</v>
      </c>
      <c r="CE149" s="212"/>
      <c r="CF149" s="212"/>
      <c r="CG149" s="212">
        <v>180000000</v>
      </c>
      <c r="CH149" s="200"/>
      <c r="CI149" s="212"/>
      <c r="CJ149" s="255" t="s">
        <v>416</v>
      </c>
    </row>
    <row r="150" spans="1:88" s="503" customFormat="1" ht="14.1" hidden="1" customHeight="1">
      <c r="A150" s="483" t="s">
        <v>3424</v>
      </c>
      <c r="B150" s="478" t="s">
        <v>3328</v>
      </c>
      <c r="C150" s="251" t="s">
        <v>3423</v>
      </c>
      <c r="D150" s="517" t="s">
        <v>3423</v>
      </c>
      <c r="E150" s="500">
        <v>139092583</v>
      </c>
      <c r="F150" s="251" t="s">
        <v>3189</v>
      </c>
      <c r="G150" s="501" t="s">
        <v>3442</v>
      </c>
      <c r="H150" s="502"/>
      <c r="J150" s="199">
        <v>138</v>
      </c>
      <c r="K150" s="200"/>
      <c r="L150" s="200" t="s">
        <v>547</v>
      </c>
      <c r="M150" s="201" t="s">
        <v>109</v>
      </c>
      <c r="N150" s="536"/>
      <c r="O150" s="202">
        <v>1</v>
      </c>
      <c r="P150" s="201" t="s">
        <v>103</v>
      </c>
      <c r="Q150" s="201" t="s">
        <v>120</v>
      </c>
      <c r="R150" s="201" t="s">
        <v>1801</v>
      </c>
      <c r="S150" s="201" t="s">
        <v>1802</v>
      </c>
      <c r="T150" s="201" t="s">
        <v>106</v>
      </c>
      <c r="U150" s="203">
        <v>53.945900000000002</v>
      </c>
      <c r="V150" s="203">
        <v>84.94</v>
      </c>
      <c r="W150" s="204"/>
      <c r="X150" s="205"/>
      <c r="Y150" s="203"/>
      <c r="Z150" s="206">
        <v>39210</v>
      </c>
      <c r="AA150" s="206" t="s">
        <v>79</v>
      </c>
      <c r="AB150" s="207">
        <v>1</v>
      </c>
      <c r="AC150" s="208" t="s">
        <v>80</v>
      </c>
      <c r="AD150" s="209">
        <v>208800000</v>
      </c>
      <c r="AE150" s="209">
        <v>208800000</v>
      </c>
      <c r="AF150" s="207"/>
      <c r="AG150" s="207"/>
      <c r="AH150" s="209"/>
      <c r="AI150" s="207"/>
      <c r="AJ150" s="208"/>
      <c r="AK150" s="209"/>
      <c r="AL150" s="209"/>
      <c r="AM150" s="206"/>
      <c r="AN150" s="207"/>
      <c r="AO150" s="208"/>
      <c r="AP150" s="209"/>
      <c r="AQ150" s="209"/>
      <c r="AR150" s="207"/>
      <c r="AS150" s="207"/>
      <c r="AT150" s="209"/>
      <c r="AU150" s="209"/>
      <c r="AV150" s="209"/>
      <c r="AW150" s="466" t="s">
        <v>1313</v>
      </c>
      <c r="AX150" s="466" t="s">
        <v>1313</v>
      </c>
      <c r="AY150" s="466" t="s">
        <v>1313</v>
      </c>
      <c r="AZ150" s="466" t="s">
        <v>1313</v>
      </c>
      <c r="BA150" s="466" t="s">
        <v>1313</v>
      </c>
      <c r="BB150" s="466" t="s">
        <v>1313</v>
      </c>
      <c r="BC150" s="207" t="s">
        <v>1320</v>
      </c>
      <c r="BD150" s="210">
        <v>119443776</v>
      </c>
      <c r="BE150" s="210"/>
      <c r="BF150" s="207" t="s">
        <v>101</v>
      </c>
      <c r="BG150" s="207"/>
      <c r="BH150" s="207" t="s">
        <v>123</v>
      </c>
      <c r="BI150" s="207" t="s">
        <v>1803</v>
      </c>
      <c r="BJ150" s="207"/>
      <c r="BK150" s="206">
        <v>42334</v>
      </c>
      <c r="BL150" s="206">
        <v>42415</v>
      </c>
      <c r="BM150" s="206"/>
      <c r="BN150" s="206"/>
      <c r="BO150" s="211"/>
      <c r="BP150" s="207"/>
      <c r="BQ150" s="207"/>
      <c r="BR150" s="206"/>
      <c r="BS150" s="206"/>
      <c r="BT150" s="212"/>
      <c r="BU150" s="212"/>
      <c r="BV150" s="206"/>
      <c r="BW150" s="212"/>
      <c r="BX150" s="206"/>
      <c r="BY150" s="212"/>
      <c r="BZ150" s="206"/>
      <c r="CA150" s="206">
        <v>42482</v>
      </c>
      <c r="CB150" s="213" t="s">
        <v>134</v>
      </c>
      <c r="CC150" s="212"/>
      <c r="CD150" s="212">
        <v>320000000</v>
      </c>
      <c r="CE150" s="212"/>
      <c r="CF150" s="212"/>
      <c r="CG150" s="212">
        <v>320000000</v>
      </c>
      <c r="CH150" s="200"/>
      <c r="CI150" s="212"/>
      <c r="CJ150" s="255" t="s">
        <v>1804</v>
      </c>
    </row>
    <row r="151" spans="1:88" s="503" customFormat="1" ht="14.1" hidden="1" customHeight="1">
      <c r="A151" s="483" t="s">
        <v>3424</v>
      </c>
      <c r="B151" s="478" t="s">
        <v>3329</v>
      </c>
      <c r="C151" s="251" t="s">
        <v>3423</v>
      </c>
      <c r="D151" s="517" t="s">
        <v>3423</v>
      </c>
      <c r="E151" s="500">
        <v>138869638</v>
      </c>
      <c r="F151" s="251" t="s">
        <v>3187</v>
      </c>
      <c r="G151" s="501"/>
      <c r="H151" s="502"/>
      <c r="J151" s="199">
        <v>139</v>
      </c>
      <c r="K151" s="200"/>
      <c r="L151" s="200" t="s">
        <v>548</v>
      </c>
      <c r="M151" s="201" t="s">
        <v>151</v>
      </c>
      <c r="N151" s="536"/>
      <c r="O151" s="202">
        <v>1</v>
      </c>
      <c r="P151" s="201" t="s">
        <v>83</v>
      </c>
      <c r="Q151" s="201" t="s">
        <v>206</v>
      </c>
      <c r="R151" s="201" t="s">
        <v>1805</v>
      </c>
      <c r="S151" s="201" t="s">
        <v>1806</v>
      </c>
      <c r="T151" s="201" t="s">
        <v>106</v>
      </c>
      <c r="U151" s="203">
        <v>45.833329999999997</v>
      </c>
      <c r="V151" s="203">
        <v>84.846000000000004</v>
      </c>
      <c r="W151" s="204"/>
      <c r="X151" s="205"/>
      <c r="Y151" s="203"/>
      <c r="Z151" s="206">
        <v>40596</v>
      </c>
      <c r="AA151" s="206" t="s">
        <v>79</v>
      </c>
      <c r="AB151" s="207">
        <v>1</v>
      </c>
      <c r="AC151" s="208" t="s">
        <v>80</v>
      </c>
      <c r="AD151" s="209">
        <v>174000000</v>
      </c>
      <c r="AE151" s="209">
        <v>174000000</v>
      </c>
      <c r="AF151" s="207"/>
      <c r="AG151" s="207"/>
      <c r="AH151" s="209"/>
      <c r="AI151" s="207"/>
      <c r="AJ151" s="208"/>
      <c r="AK151" s="209"/>
      <c r="AL151" s="209"/>
      <c r="AM151" s="206"/>
      <c r="AN151" s="207"/>
      <c r="AO151" s="208"/>
      <c r="AP151" s="209"/>
      <c r="AQ151" s="209"/>
      <c r="AR151" s="207"/>
      <c r="AS151" s="207"/>
      <c r="AT151" s="209"/>
      <c r="AU151" s="209"/>
      <c r="AV151" s="209"/>
      <c r="AW151" s="466" t="s">
        <v>1313</v>
      </c>
      <c r="AX151" s="466" t="s">
        <v>1313</v>
      </c>
      <c r="AY151" s="466" t="s">
        <v>1313</v>
      </c>
      <c r="AZ151" s="466" t="s">
        <v>1313</v>
      </c>
      <c r="BA151" s="466" t="s">
        <v>1313</v>
      </c>
      <c r="BB151" s="466" t="s">
        <v>1313</v>
      </c>
      <c r="BC151" s="207" t="s">
        <v>1320</v>
      </c>
      <c r="BD151" s="210">
        <v>138880707</v>
      </c>
      <c r="BE151" s="210"/>
      <c r="BF151" s="207" t="s">
        <v>101</v>
      </c>
      <c r="BG151" s="207"/>
      <c r="BH151" s="207" t="s">
        <v>87</v>
      </c>
      <c r="BI151" s="207" t="s">
        <v>1807</v>
      </c>
      <c r="BJ151" s="207"/>
      <c r="BK151" s="206">
        <v>42458</v>
      </c>
      <c r="BL151" s="206">
        <v>42531</v>
      </c>
      <c r="BM151" s="206"/>
      <c r="BN151" s="206"/>
      <c r="BO151" s="211"/>
      <c r="BP151" s="207"/>
      <c r="BQ151" s="207"/>
      <c r="BR151" s="206"/>
      <c r="BS151" s="206"/>
      <c r="BT151" s="212"/>
      <c r="BU151" s="212"/>
      <c r="BV151" s="206"/>
      <c r="BW151" s="212"/>
      <c r="BX151" s="206"/>
      <c r="BY151" s="212"/>
      <c r="BZ151" s="206"/>
      <c r="CA151" s="206">
        <v>42482</v>
      </c>
      <c r="CB151" s="213" t="s">
        <v>134</v>
      </c>
      <c r="CC151" s="212"/>
      <c r="CD151" s="212">
        <v>257500000</v>
      </c>
      <c r="CE151" s="212"/>
      <c r="CF151" s="212"/>
      <c r="CG151" s="212">
        <v>257500000</v>
      </c>
      <c r="CH151" s="200"/>
      <c r="CI151" s="212"/>
      <c r="CJ151" s="255" t="s">
        <v>1808</v>
      </c>
    </row>
    <row r="152" spans="1:88" s="503" customFormat="1" ht="14.1" hidden="1" customHeight="1">
      <c r="A152" s="483" t="s">
        <v>3424</v>
      </c>
      <c r="B152" s="478" t="s">
        <v>3330</v>
      </c>
      <c r="C152" s="521" t="s">
        <v>3435</v>
      </c>
      <c r="D152" s="521" t="s">
        <v>3435</v>
      </c>
      <c r="E152" s="500">
        <v>132574144</v>
      </c>
      <c r="F152" s="251" t="s">
        <v>3187</v>
      </c>
      <c r="G152" s="501"/>
      <c r="H152" s="502"/>
      <c r="J152" s="199">
        <v>140</v>
      </c>
      <c r="K152" s="200"/>
      <c r="L152" s="200" t="s">
        <v>549</v>
      </c>
      <c r="M152" s="201" t="s">
        <v>236</v>
      </c>
      <c r="N152" s="536"/>
      <c r="O152" s="202">
        <v>1</v>
      </c>
      <c r="P152" s="201" t="s">
        <v>83</v>
      </c>
      <c r="Q152" s="201" t="s">
        <v>227</v>
      </c>
      <c r="R152" s="201" t="s">
        <v>228</v>
      </c>
      <c r="S152" s="201" t="s">
        <v>1809</v>
      </c>
      <c r="T152" s="201" t="s">
        <v>133</v>
      </c>
      <c r="U152" s="203">
        <v>7.5570000000000004</v>
      </c>
      <c r="V152" s="203">
        <v>49.976799999999997</v>
      </c>
      <c r="W152" s="204"/>
      <c r="X152" s="205"/>
      <c r="Y152" s="203"/>
      <c r="Z152" s="206">
        <v>42195</v>
      </c>
      <c r="AA152" s="206" t="s">
        <v>79</v>
      </c>
      <c r="AB152" s="207">
        <v>1</v>
      </c>
      <c r="AC152" s="208" t="s">
        <v>80</v>
      </c>
      <c r="AD152" s="209">
        <v>159600000</v>
      </c>
      <c r="AE152" s="209">
        <v>159600000</v>
      </c>
      <c r="AF152" s="207"/>
      <c r="AG152" s="207"/>
      <c r="AH152" s="209"/>
      <c r="AI152" s="207"/>
      <c r="AJ152" s="208"/>
      <c r="AK152" s="209"/>
      <c r="AL152" s="209"/>
      <c r="AM152" s="206"/>
      <c r="AN152" s="207"/>
      <c r="AO152" s="208"/>
      <c r="AP152" s="209"/>
      <c r="AQ152" s="209"/>
      <c r="AR152" s="207"/>
      <c r="AS152" s="207"/>
      <c r="AT152" s="209"/>
      <c r="AU152" s="209"/>
      <c r="AV152" s="209"/>
      <c r="AW152" s="466" t="s">
        <v>1313</v>
      </c>
      <c r="AX152" s="466" t="s">
        <v>1313</v>
      </c>
      <c r="AY152" s="466" t="s">
        <v>1313</v>
      </c>
      <c r="AZ152" s="466" t="s">
        <v>1313</v>
      </c>
      <c r="BA152" s="466" t="s">
        <v>1313</v>
      </c>
      <c r="BB152" s="466" t="s">
        <v>1313</v>
      </c>
      <c r="BC152" s="207" t="s">
        <v>1320</v>
      </c>
      <c r="BD152" s="210"/>
      <c r="BE152" s="210">
        <v>18000000</v>
      </c>
      <c r="BF152" s="207" t="s">
        <v>1361</v>
      </c>
      <c r="BG152" s="207"/>
      <c r="BH152" s="207" t="s">
        <v>87</v>
      </c>
      <c r="BI152" s="207" t="s">
        <v>1810</v>
      </c>
      <c r="BJ152" s="207"/>
      <c r="BK152" s="206">
        <v>42345</v>
      </c>
      <c r="BL152" s="206">
        <v>42411</v>
      </c>
      <c r="BM152" s="206"/>
      <c r="BN152" s="206"/>
      <c r="BO152" s="211"/>
      <c r="BP152" s="207"/>
      <c r="BQ152" s="207"/>
      <c r="BR152" s="206"/>
      <c r="BS152" s="206"/>
      <c r="BT152" s="212"/>
      <c r="BU152" s="212"/>
      <c r="BV152" s="206"/>
      <c r="BW152" s="212"/>
      <c r="BX152" s="206"/>
      <c r="BY152" s="212"/>
      <c r="BZ152" s="206"/>
      <c r="CA152" s="206">
        <v>42194</v>
      </c>
      <c r="CB152" s="213" t="s">
        <v>1811</v>
      </c>
      <c r="CC152" s="212"/>
      <c r="CD152" s="212">
        <v>193000000</v>
      </c>
      <c r="CE152" s="212"/>
      <c r="CF152" s="212"/>
      <c r="CG152" s="212">
        <v>193000000</v>
      </c>
      <c r="CH152" s="200"/>
      <c r="CI152" s="212"/>
      <c r="CJ152" s="255" t="s">
        <v>416</v>
      </c>
    </row>
    <row r="153" spans="1:88" s="503" customFormat="1" ht="14.1" hidden="1" customHeight="1">
      <c r="A153" s="483" t="s">
        <v>3424</v>
      </c>
      <c r="B153" s="478" t="s">
        <v>3331</v>
      </c>
      <c r="C153" s="251" t="s">
        <v>3423</v>
      </c>
      <c r="D153" s="517" t="s">
        <v>3423</v>
      </c>
      <c r="E153" s="500">
        <v>134752147</v>
      </c>
      <c r="F153" s="251" t="s">
        <v>3187</v>
      </c>
      <c r="G153" s="501"/>
      <c r="H153" s="502"/>
      <c r="J153" s="199">
        <v>141</v>
      </c>
      <c r="K153" s="200"/>
      <c r="L153" s="200" t="s">
        <v>550</v>
      </c>
      <c r="M153" s="201" t="s">
        <v>668</v>
      </c>
      <c r="N153" s="536"/>
      <c r="O153" s="202">
        <v>1</v>
      </c>
      <c r="P153" s="201" t="s">
        <v>83</v>
      </c>
      <c r="Q153" s="201" t="s">
        <v>84</v>
      </c>
      <c r="R153" s="201" t="s">
        <v>1406</v>
      </c>
      <c r="S153" s="201" t="s">
        <v>1812</v>
      </c>
      <c r="T153" s="201" t="s">
        <v>106</v>
      </c>
      <c r="U153" s="203">
        <v>25.7819</v>
      </c>
      <c r="V153" s="203">
        <v>84.965999999999994</v>
      </c>
      <c r="W153" s="204"/>
      <c r="X153" s="205"/>
      <c r="Y153" s="203"/>
      <c r="Z153" s="206">
        <v>40724</v>
      </c>
      <c r="AA153" s="206" t="s">
        <v>79</v>
      </c>
      <c r="AB153" s="207">
        <v>1</v>
      </c>
      <c r="AC153" s="208" t="s">
        <v>80</v>
      </c>
      <c r="AD153" s="209">
        <v>158400000</v>
      </c>
      <c r="AE153" s="209">
        <v>158400000</v>
      </c>
      <c r="AF153" s="207"/>
      <c r="AG153" s="207"/>
      <c r="AH153" s="209"/>
      <c r="AI153" s="207"/>
      <c r="AJ153" s="208"/>
      <c r="AK153" s="209"/>
      <c r="AL153" s="209"/>
      <c r="AM153" s="206"/>
      <c r="AN153" s="207"/>
      <c r="AO153" s="208"/>
      <c r="AP153" s="209"/>
      <c r="AQ153" s="209"/>
      <c r="AR153" s="207"/>
      <c r="AS153" s="207"/>
      <c r="AT153" s="209"/>
      <c r="AU153" s="209"/>
      <c r="AV153" s="209"/>
      <c r="AW153" s="466" t="s">
        <v>1313</v>
      </c>
      <c r="AX153" s="466" t="s">
        <v>1313</v>
      </c>
      <c r="AY153" s="466" t="s">
        <v>1313</v>
      </c>
      <c r="AZ153" s="466" t="s">
        <v>1313</v>
      </c>
      <c r="BA153" s="466" t="s">
        <v>1313</v>
      </c>
      <c r="BB153" s="466" t="s">
        <v>1313</v>
      </c>
      <c r="BC153" s="207" t="s">
        <v>82</v>
      </c>
      <c r="BD153" s="210"/>
      <c r="BE153" s="210"/>
      <c r="BF153" s="207"/>
      <c r="BG153" s="207"/>
      <c r="BH153" s="207"/>
      <c r="BI153" s="207"/>
      <c r="BJ153" s="207"/>
      <c r="BK153" s="206"/>
      <c r="BL153" s="206"/>
      <c r="BM153" s="206"/>
      <c r="BN153" s="206"/>
      <c r="BO153" s="211"/>
      <c r="BP153" s="207"/>
      <c r="BQ153" s="207"/>
      <c r="BR153" s="206"/>
      <c r="BS153" s="206"/>
      <c r="BT153" s="212"/>
      <c r="BU153" s="212"/>
      <c r="BV153" s="206"/>
      <c r="BW153" s="212"/>
      <c r="BX153" s="206"/>
      <c r="BY153" s="212"/>
      <c r="BZ153" s="206"/>
      <c r="CA153" s="206">
        <v>42482</v>
      </c>
      <c r="CB153" s="213" t="s">
        <v>134</v>
      </c>
      <c r="CC153" s="212"/>
      <c r="CD153" s="212">
        <v>225000000</v>
      </c>
      <c r="CE153" s="212"/>
      <c r="CF153" s="212"/>
      <c r="CG153" s="212">
        <v>225000000</v>
      </c>
      <c r="CH153" s="200"/>
      <c r="CI153" s="212"/>
      <c r="CJ153" s="255" t="s">
        <v>416</v>
      </c>
    </row>
    <row r="154" spans="1:88" s="503" customFormat="1" ht="14.1" hidden="1" customHeight="1">
      <c r="A154" s="483" t="s">
        <v>3424</v>
      </c>
      <c r="B154" s="478" t="s">
        <v>3332</v>
      </c>
      <c r="C154" s="251" t="s">
        <v>3423</v>
      </c>
      <c r="D154" s="517" t="s">
        <v>3423</v>
      </c>
      <c r="E154" s="500">
        <v>130704624</v>
      </c>
      <c r="F154" s="251" t="s">
        <v>3184</v>
      </c>
      <c r="G154" s="501"/>
      <c r="H154" s="502"/>
      <c r="J154" s="199">
        <v>142</v>
      </c>
      <c r="K154" s="200"/>
      <c r="L154" s="200" t="s">
        <v>551</v>
      </c>
      <c r="M154" s="201" t="s">
        <v>669</v>
      </c>
      <c r="N154" s="536"/>
      <c r="O154" s="202">
        <v>1</v>
      </c>
      <c r="P154" s="201" t="s">
        <v>232</v>
      </c>
      <c r="Q154" s="201" t="s">
        <v>1813</v>
      </c>
      <c r="R154" s="201" t="s">
        <v>1814</v>
      </c>
      <c r="S154" s="201" t="s">
        <v>1815</v>
      </c>
      <c r="T154" s="201" t="s">
        <v>106</v>
      </c>
      <c r="U154" s="203">
        <v>52.969299999999997</v>
      </c>
      <c r="V154" s="203">
        <v>84.995999999999995</v>
      </c>
      <c r="W154" s="204"/>
      <c r="X154" s="205"/>
      <c r="Y154" s="203"/>
      <c r="Z154" s="206">
        <v>42298</v>
      </c>
      <c r="AA154" s="206" t="s">
        <v>79</v>
      </c>
      <c r="AB154" s="207">
        <v>1</v>
      </c>
      <c r="AC154" s="208" t="s">
        <v>80</v>
      </c>
      <c r="AD154" s="209">
        <v>157200000</v>
      </c>
      <c r="AE154" s="209">
        <v>157200000</v>
      </c>
      <c r="AF154" s="207"/>
      <c r="AG154" s="207"/>
      <c r="AH154" s="209"/>
      <c r="AI154" s="207"/>
      <c r="AJ154" s="208"/>
      <c r="AK154" s="209"/>
      <c r="AL154" s="209"/>
      <c r="AM154" s="206"/>
      <c r="AN154" s="207"/>
      <c r="AO154" s="208"/>
      <c r="AP154" s="209"/>
      <c r="AQ154" s="209"/>
      <c r="AR154" s="207"/>
      <c r="AS154" s="207"/>
      <c r="AT154" s="209"/>
      <c r="AU154" s="209"/>
      <c r="AV154" s="209"/>
      <c r="AW154" s="466" t="s">
        <v>1313</v>
      </c>
      <c r="AX154" s="466" t="s">
        <v>1313</v>
      </c>
      <c r="AY154" s="466" t="s">
        <v>1313</v>
      </c>
      <c r="AZ154" s="466" t="s">
        <v>1313</v>
      </c>
      <c r="BA154" s="466" t="s">
        <v>1313</v>
      </c>
      <c r="BB154" s="466" t="s">
        <v>1313</v>
      </c>
      <c r="BC154" s="207" t="s">
        <v>82</v>
      </c>
      <c r="BD154" s="210"/>
      <c r="BE154" s="210"/>
      <c r="BF154" s="207"/>
      <c r="BG154" s="207"/>
      <c r="BH154" s="207"/>
      <c r="BI154" s="207"/>
      <c r="BJ154" s="207"/>
      <c r="BK154" s="206"/>
      <c r="BL154" s="206"/>
      <c r="BM154" s="206"/>
      <c r="BN154" s="206"/>
      <c r="BO154" s="211"/>
      <c r="BP154" s="207"/>
      <c r="BQ154" s="207"/>
      <c r="BR154" s="206"/>
      <c r="BS154" s="206"/>
      <c r="BT154" s="212"/>
      <c r="BU154" s="212"/>
      <c r="BV154" s="206"/>
      <c r="BW154" s="212"/>
      <c r="BX154" s="206"/>
      <c r="BY154" s="212"/>
      <c r="BZ154" s="206"/>
      <c r="CA154" s="206">
        <v>42482</v>
      </c>
      <c r="CB154" s="213" t="s">
        <v>134</v>
      </c>
      <c r="CC154" s="212"/>
      <c r="CD154" s="212">
        <v>187500000</v>
      </c>
      <c r="CE154" s="212"/>
      <c r="CF154" s="212"/>
      <c r="CG154" s="212">
        <v>187500000</v>
      </c>
      <c r="CH154" s="200"/>
      <c r="CI154" s="212"/>
      <c r="CJ154" s="255" t="s">
        <v>1816</v>
      </c>
    </row>
    <row r="155" spans="1:88" s="503" customFormat="1" ht="14.1" hidden="1" customHeight="1">
      <c r="A155" s="483" t="s">
        <v>3424</v>
      </c>
      <c r="B155" s="478" t="s">
        <v>3333</v>
      </c>
      <c r="C155" s="251" t="s">
        <v>3423</v>
      </c>
      <c r="D155" s="517" t="s">
        <v>3423</v>
      </c>
      <c r="E155" s="500">
        <v>132603308</v>
      </c>
      <c r="F155" s="251" t="s">
        <v>3189</v>
      </c>
      <c r="G155" s="501"/>
      <c r="H155" s="502"/>
      <c r="J155" s="199">
        <v>143</v>
      </c>
      <c r="K155" s="200"/>
      <c r="L155" s="200" t="s">
        <v>552</v>
      </c>
      <c r="M155" s="201" t="s">
        <v>109</v>
      </c>
      <c r="N155" s="536"/>
      <c r="O155" s="202">
        <v>1</v>
      </c>
      <c r="P155" s="201" t="s">
        <v>93</v>
      </c>
      <c r="Q155" s="201" t="s">
        <v>415</v>
      </c>
      <c r="R155" s="201" t="s">
        <v>1817</v>
      </c>
      <c r="S155" s="201" t="s">
        <v>1818</v>
      </c>
      <c r="T155" s="201" t="s">
        <v>106</v>
      </c>
      <c r="U155" s="203">
        <v>68.585999999999999</v>
      </c>
      <c r="V155" s="203">
        <v>122.65</v>
      </c>
      <c r="W155" s="204"/>
      <c r="X155" s="205"/>
      <c r="Y155" s="203"/>
      <c r="Z155" s="206">
        <v>41243</v>
      </c>
      <c r="AA155" s="206" t="s">
        <v>79</v>
      </c>
      <c r="AB155" s="207">
        <v>1</v>
      </c>
      <c r="AC155" s="208" t="s">
        <v>80</v>
      </c>
      <c r="AD155" s="209">
        <v>120000000</v>
      </c>
      <c r="AE155" s="209">
        <v>120000000</v>
      </c>
      <c r="AF155" s="207"/>
      <c r="AG155" s="207"/>
      <c r="AH155" s="209"/>
      <c r="AI155" s="207"/>
      <c r="AJ155" s="208"/>
      <c r="AK155" s="209"/>
      <c r="AL155" s="209"/>
      <c r="AM155" s="206"/>
      <c r="AN155" s="207"/>
      <c r="AO155" s="208"/>
      <c r="AP155" s="209"/>
      <c r="AQ155" s="209"/>
      <c r="AR155" s="207"/>
      <c r="AS155" s="207"/>
      <c r="AT155" s="209"/>
      <c r="AU155" s="209"/>
      <c r="AV155" s="209"/>
      <c r="AW155" s="466" t="s">
        <v>1313</v>
      </c>
      <c r="AX155" s="466" t="s">
        <v>1313</v>
      </c>
      <c r="AY155" s="466" t="s">
        <v>1313</v>
      </c>
      <c r="AZ155" s="466" t="s">
        <v>1313</v>
      </c>
      <c r="BA155" s="466" t="s">
        <v>1313</v>
      </c>
      <c r="BB155" s="466" t="s">
        <v>1313</v>
      </c>
      <c r="BC155" s="207" t="s">
        <v>82</v>
      </c>
      <c r="BD155" s="210"/>
      <c r="BE155" s="210"/>
      <c r="BF155" s="207"/>
      <c r="BG155" s="207"/>
      <c r="BH155" s="207"/>
      <c r="BI155" s="207"/>
      <c r="BJ155" s="207"/>
      <c r="BK155" s="206"/>
      <c r="BL155" s="206"/>
      <c r="BM155" s="206"/>
      <c r="BN155" s="206"/>
      <c r="BO155" s="211"/>
      <c r="BP155" s="207"/>
      <c r="BQ155" s="207"/>
      <c r="BR155" s="206"/>
      <c r="BS155" s="206"/>
      <c r="BT155" s="212"/>
      <c r="BU155" s="212"/>
      <c r="BV155" s="206"/>
      <c r="BW155" s="212"/>
      <c r="BX155" s="206"/>
      <c r="BY155" s="212"/>
      <c r="BZ155" s="206"/>
      <c r="CA155" s="206">
        <v>42482</v>
      </c>
      <c r="CB155" s="213" t="s">
        <v>134</v>
      </c>
      <c r="CC155" s="212"/>
      <c r="CD155" s="212">
        <v>177500000</v>
      </c>
      <c r="CE155" s="212"/>
      <c r="CF155" s="212"/>
      <c r="CG155" s="212">
        <v>177500000</v>
      </c>
      <c r="CH155" s="200"/>
      <c r="CI155" s="212"/>
      <c r="CJ155" s="255" t="s">
        <v>416</v>
      </c>
    </row>
    <row r="156" spans="1:88" s="503" customFormat="1" ht="14.1" hidden="1" customHeight="1">
      <c r="A156" s="483" t="s">
        <v>3424</v>
      </c>
      <c r="B156" s="478" t="s">
        <v>3334</v>
      </c>
      <c r="C156" s="251" t="s">
        <v>3423</v>
      </c>
      <c r="D156" s="517" t="s">
        <v>3423</v>
      </c>
      <c r="E156" s="500">
        <v>125323513</v>
      </c>
      <c r="F156" s="251" t="s">
        <v>3185</v>
      </c>
      <c r="G156" s="501"/>
      <c r="H156" s="502"/>
      <c r="J156" s="199">
        <v>144</v>
      </c>
      <c r="K156" s="200"/>
      <c r="L156" s="200" t="s">
        <v>553</v>
      </c>
      <c r="M156" s="201" t="s">
        <v>226</v>
      </c>
      <c r="N156" s="536"/>
      <c r="O156" s="202">
        <v>1</v>
      </c>
      <c r="P156" s="201" t="s">
        <v>93</v>
      </c>
      <c r="Q156" s="201" t="s">
        <v>1819</v>
      </c>
      <c r="R156" s="201" t="s">
        <v>1820</v>
      </c>
      <c r="S156" s="201" t="s">
        <v>1821</v>
      </c>
      <c r="T156" s="201" t="s">
        <v>106</v>
      </c>
      <c r="U156" s="203">
        <v>41</v>
      </c>
      <c r="V156" s="203">
        <v>76.989999999999995</v>
      </c>
      <c r="W156" s="204"/>
      <c r="X156" s="205"/>
      <c r="Y156" s="203"/>
      <c r="Z156" s="206">
        <v>41358</v>
      </c>
      <c r="AA156" s="206" t="s">
        <v>79</v>
      </c>
      <c r="AB156" s="207">
        <v>1</v>
      </c>
      <c r="AC156" s="208" t="s">
        <v>80</v>
      </c>
      <c r="AD156" s="209">
        <v>204000000</v>
      </c>
      <c r="AE156" s="209">
        <v>204000000</v>
      </c>
      <c r="AF156" s="207"/>
      <c r="AG156" s="207"/>
      <c r="AH156" s="209"/>
      <c r="AI156" s="207"/>
      <c r="AJ156" s="208"/>
      <c r="AK156" s="209"/>
      <c r="AL156" s="209"/>
      <c r="AM156" s="206"/>
      <c r="AN156" s="207"/>
      <c r="AO156" s="208"/>
      <c r="AP156" s="209"/>
      <c r="AQ156" s="209"/>
      <c r="AR156" s="207"/>
      <c r="AS156" s="207"/>
      <c r="AT156" s="209"/>
      <c r="AU156" s="209"/>
      <c r="AV156" s="209"/>
      <c r="AW156" s="466" t="s">
        <v>1313</v>
      </c>
      <c r="AX156" s="466" t="s">
        <v>1313</v>
      </c>
      <c r="AY156" s="466" t="s">
        <v>1313</v>
      </c>
      <c r="AZ156" s="466" t="s">
        <v>1313</v>
      </c>
      <c r="BA156" s="466" t="s">
        <v>1313</v>
      </c>
      <c r="BB156" s="466" t="s">
        <v>1313</v>
      </c>
      <c r="BC156" s="207" t="s">
        <v>82</v>
      </c>
      <c r="BD156" s="210"/>
      <c r="BE156" s="210"/>
      <c r="BF156" s="207"/>
      <c r="BG156" s="207"/>
      <c r="BH156" s="207"/>
      <c r="BI156" s="207"/>
      <c r="BJ156" s="207"/>
      <c r="BK156" s="206"/>
      <c r="BL156" s="206"/>
      <c r="BM156" s="206"/>
      <c r="BN156" s="206"/>
      <c r="BO156" s="211"/>
      <c r="BP156" s="207"/>
      <c r="BQ156" s="207"/>
      <c r="BR156" s="206"/>
      <c r="BS156" s="206"/>
      <c r="BT156" s="212"/>
      <c r="BU156" s="212"/>
      <c r="BV156" s="206"/>
      <c r="BW156" s="212"/>
      <c r="BX156" s="206"/>
      <c r="BY156" s="212"/>
      <c r="BZ156" s="206"/>
      <c r="CA156" s="206">
        <v>42482</v>
      </c>
      <c r="CB156" s="213" t="s">
        <v>134</v>
      </c>
      <c r="CC156" s="212"/>
      <c r="CD156" s="212">
        <v>155000000</v>
      </c>
      <c r="CE156" s="212"/>
      <c r="CF156" s="212"/>
      <c r="CG156" s="212">
        <v>155000000</v>
      </c>
      <c r="CH156" s="200"/>
      <c r="CI156" s="212"/>
      <c r="CJ156" s="255" t="s">
        <v>416</v>
      </c>
    </row>
    <row r="157" spans="1:88" s="503" customFormat="1" ht="14.1" hidden="1" customHeight="1">
      <c r="A157" s="483" t="s">
        <v>3424</v>
      </c>
      <c r="B157" s="478" t="s">
        <v>3335</v>
      </c>
      <c r="C157" s="521" t="s">
        <v>3435</v>
      </c>
      <c r="D157" s="521" t="s">
        <v>3435</v>
      </c>
      <c r="E157" s="500">
        <v>124788265</v>
      </c>
      <c r="F157" s="251" t="s">
        <v>3187</v>
      </c>
      <c r="G157" s="501"/>
      <c r="H157" s="502"/>
      <c r="J157" s="199">
        <v>145</v>
      </c>
      <c r="K157" s="200"/>
      <c r="L157" s="200" t="s">
        <v>554</v>
      </c>
      <c r="M157" s="201" t="s">
        <v>141</v>
      </c>
      <c r="N157" s="536"/>
      <c r="O157" s="202">
        <v>1</v>
      </c>
      <c r="P157" s="201" t="s">
        <v>83</v>
      </c>
      <c r="Q157" s="201" t="s">
        <v>1822</v>
      </c>
      <c r="R157" s="201" t="s">
        <v>1823</v>
      </c>
      <c r="S157" s="201" t="s">
        <v>1824</v>
      </c>
      <c r="T157" s="201" t="s">
        <v>129</v>
      </c>
      <c r="U157" s="203">
        <v>570</v>
      </c>
      <c r="V157" s="203">
        <v>169.88</v>
      </c>
      <c r="W157" s="204"/>
      <c r="X157" s="205"/>
      <c r="Y157" s="203"/>
      <c r="Z157" s="206">
        <v>37614</v>
      </c>
      <c r="AA157" s="206" t="s">
        <v>79</v>
      </c>
      <c r="AB157" s="207">
        <v>1</v>
      </c>
      <c r="AC157" s="208" t="s">
        <v>80</v>
      </c>
      <c r="AD157" s="209">
        <v>150000000</v>
      </c>
      <c r="AE157" s="209">
        <v>150000000</v>
      </c>
      <c r="AF157" s="207"/>
      <c r="AG157" s="207"/>
      <c r="AH157" s="209"/>
      <c r="AI157" s="207"/>
      <c r="AJ157" s="208"/>
      <c r="AK157" s="209"/>
      <c r="AL157" s="209"/>
      <c r="AM157" s="206"/>
      <c r="AN157" s="207"/>
      <c r="AO157" s="208"/>
      <c r="AP157" s="209"/>
      <c r="AQ157" s="209"/>
      <c r="AR157" s="207"/>
      <c r="AS157" s="207"/>
      <c r="AT157" s="209"/>
      <c r="AU157" s="209"/>
      <c r="AV157" s="209"/>
      <c r="AW157" s="466" t="s">
        <v>1313</v>
      </c>
      <c r="AX157" s="466" t="s">
        <v>1313</v>
      </c>
      <c r="AY157" s="466" t="s">
        <v>1313</v>
      </c>
      <c r="AZ157" s="466" t="s">
        <v>1313</v>
      </c>
      <c r="BA157" s="466" t="s">
        <v>1313</v>
      </c>
      <c r="BB157" s="466" t="s">
        <v>1313</v>
      </c>
      <c r="BC157" s="207" t="s">
        <v>1320</v>
      </c>
      <c r="BD157" s="210">
        <v>126277605</v>
      </c>
      <c r="BE157" s="210">
        <v>150000000</v>
      </c>
      <c r="BF157" s="207" t="s">
        <v>1825</v>
      </c>
      <c r="BG157" s="207" t="s">
        <v>101</v>
      </c>
      <c r="BH157" s="207" t="s">
        <v>87</v>
      </c>
      <c r="BI157" s="207" t="s">
        <v>1826</v>
      </c>
      <c r="BJ157" s="207" t="s">
        <v>1827</v>
      </c>
      <c r="BK157" s="206">
        <v>42298</v>
      </c>
      <c r="BL157" s="206">
        <v>42368</v>
      </c>
      <c r="BM157" s="206">
        <v>42432</v>
      </c>
      <c r="BN157" s="206"/>
      <c r="BO157" s="211"/>
      <c r="BP157" s="207"/>
      <c r="BQ157" s="207"/>
      <c r="BR157" s="206"/>
      <c r="BS157" s="206"/>
      <c r="BT157" s="212"/>
      <c r="BU157" s="212"/>
      <c r="BV157" s="206"/>
      <c r="BW157" s="212"/>
      <c r="BX157" s="206"/>
      <c r="BY157" s="212"/>
      <c r="BZ157" s="206"/>
      <c r="CA157" s="206">
        <v>37610</v>
      </c>
      <c r="CB157" s="213" t="s">
        <v>1321</v>
      </c>
      <c r="CC157" s="212">
        <v>13000000</v>
      </c>
      <c r="CD157" s="212">
        <v>236000000</v>
      </c>
      <c r="CE157" s="212"/>
      <c r="CF157" s="212"/>
      <c r="CG157" s="212">
        <v>249000000</v>
      </c>
      <c r="CH157" s="200"/>
      <c r="CI157" s="212"/>
      <c r="CJ157" s="255" t="s">
        <v>108</v>
      </c>
    </row>
    <row r="158" spans="1:88" s="503" customFormat="1" ht="14.1" hidden="1" customHeight="1">
      <c r="A158" s="483" t="s">
        <v>3424</v>
      </c>
      <c r="B158" s="478" t="s">
        <v>3336</v>
      </c>
      <c r="C158" s="251" t="s">
        <v>3423</v>
      </c>
      <c r="D158" s="517" t="s">
        <v>3436</v>
      </c>
      <c r="E158" s="500">
        <v>120110920</v>
      </c>
      <c r="F158" s="251" t="s">
        <v>3187</v>
      </c>
      <c r="G158" s="501" t="s">
        <v>3443</v>
      </c>
      <c r="H158" s="502" t="s">
        <v>3445</v>
      </c>
      <c r="J158" s="199">
        <v>146</v>
      </c>
      <c r="K158" s="200"/>
      <c r="L158" s="200" t="s">
        <v>555</v>
      </c>
      <c r="M158" s="201" t="s">
        <v>152</v>
      </c>
      <c r="N158" s="536"/>
      <c r="O158" s="202">
        <v>1</v>
      </c>
      <c r="P158" s="201" t="s">
        <v>210</v>
      </c>
      <c r="Q158" s="201" t="s">
        <v>1435</v>
      </c>
      <c r="R158" s="201" t="s">
        <v>1436</v>
      </c>
      <c r="S158" s="201" t="s">
        <v>1437</v>
      </c>
      <c r="T158" s="201" t="s">
        <v>106</v>
      </c>
      <c r="U158" s="203">
        <v>43.03</v>
      </c>
      <c r="V158" s="203">
        <v>84.43</v>
      </c>
      <c r="W158" s="204"/>
      <c r="X158" s="205"/>
      <c r="Y158" s="203"/>
      <c r="Z158" s="206">
        <v>41870</v>
      </c>
      <c r="AA158" s="206" t="s">
        <v>79</v>
      </c>
      <c r="AB158" s="207">
        <v>1</v>
      </c>
      <c r="AC158" s="208" t="s">
        <v>80</v>
      </c>
      <c r="AD158" s="209">
        <v>132000000</v>
      </c>
      <c r="AE158" s="209">
        <v>132000000</v>
      </c>
      <c r="AF158" s="207"/>
      <c r="AG158" s="207"/>
      <c r="AH158" s="209"/>
      <c r="AI158" s="207"/>
      <c r="AJ158" s="208"/>
      <c r="AK158" s="209"/>
      <c r="AL158" s="209"/>
      <c r="AM158" s="206"/>
      <c r="AN158" s="207"/>
      <c r="AO158" s="208"/>
      <c r="AP158" s="209"/>
      <c r="AQ158" s="209"/>
      <c r="AR158" s="207"/>
      <c r="AS158" s="207"/>
      <c r="AT158" s="209"/>
      <c r="AU158" s="209"/>
      <c r="AV158" s="209"/>
      <c r="AW158" s="466" t="s">
        <v>1313</v>
      </c>
      <c r="AX158" s="466" t="s">
        <v>1313</v>
      </c>
      <c r="AY158" s="466" t="s">
        <v>1313</v>
      </c>
      <c r="AZ158" s="466" t="s">
        <v>1313</v>
      </c>
      <c r="BA158" s="466" t="s">
        <v>1313</v>
      </c>
      <c r="BB158" s="466" t="s">
        <v>1313</v>
      </c>
      <c r="BC158" s="207" t="s">
        <v>82</v>
      </c>
      <c r="BD158" s="210"/>
      <c r="BE158" s="210"/>
      <c r="BF158" s="207"/>
      <c r="BG158" s="207"/>
      <c r="BH158" s="207"/>
      <c r="BI158" s="207"/>
      <c r="BJ158" s="207"/>
      <c r="BK158" s="206"/>
      <c r="BL158" s="206"/>
      <c r="BM158" s="206"/>
      <c r="BN158" s="206"/>
      <c r="BO158" s="211"/>
      <c r="BP158" s="207"/>
      <c r="BQ158" s="207"/>
      <c r="BR158" s="206"/>
      <c r="BS158" s="206"/>
      <c r="BT158" s="212"/>
      <c r="BU158" s="212"/>
      <c r="BV158" s="206"/>
      <c r="BW158" s="212"/>
      <c r="BX158" s="206"/>
      <c r="BY158" s="212"/>
      <c r="BZ158" s="206"/>
      <c r="CA158" s="206">
        <v>42482</v>
      </c>
      <c r="CB158" s="213" t="s">
        <v>134</v>
      </c>
      <c r="CC158" s="212"/>
      <c r="CD158" s="212">
        <v>175000000</v>
      </c>
      <c r="CE158" s="212"/>
      <c r="CF158" s="212"/>
      <c r="CG158" s="212">
        <v>175000000</v>
      </c>
      <c r="CH158" s="200"/>
      <c r="CI158" s="212"/>
      <c r="CJ158" s="255" t="s">
        <v>1828</v>
      </c>
    </row>
    <row r="159" spans="1:88" s="503" customFormat="1" ht="14.1" hidden="1" customHeight="1">
      <c r="A159" s="483" t="s">
        <v>3424</v>
      </c>
      <c r="B159" s="478" t="s">
        <v>3337</v>
      </c>
      <c r="C159" s="251" t="s">
        <v>3423</v>
      </c>
      <c r="D159" s="517" t="s">
        <v>3423</v>
      </c>
      <c r="E159" s="500">
        <v>119970038</v>
      </c>
      <c r="F159" s="251" t="s">
        <v>3189</v>
      </c>
      <c r="G159" s="501"/>
      <c r="H159" s="502"/>
      <c r="J159" s="199">
        <v>147</v>
      </c>
      <c r="K159" s="200"/>
      <c r="L159" s="200" t="s">
        <v>556</v>
      </c>
      <c r="M159" s="201" t="s">
        <v>284</v>
      </c>
      <c r="N159" s="536"/>
      <c r="O159" s="202">
        <v>1</v>
      </c>
      <c r="P159" s="201" t="s">
        <v>93</v>
      </c>
      <c r="Q159" s="201" t="s">
        <v>128</v>
      </c>
      <c r="R159" s="201" t="s">
        <v>1829</v>
      </c>
      <c r="S159" s="201" t="s">
        <v>1830</v>
      </c>
      <c r="T159" s="201" t="s">
        <v>106</v>
      </c>
      <c r="U159" s="203">
        <v>49.488500000000002</v>
      </c>
      <c r="V159" s="203">
        <v>84.6</v>
      </c>
      <c r="W159" s="204"/>
      <c r="X159" s="205"/>
      <c r="Y159" s="203"/>
      <c r="Z159" s="206">
        <v>38541</v>
      </c>
      <c r="AA159" s="206" t="s">
        <v>79</v>
      </c>
      <c r="AB159" s="207" t="s">
        <v>89</v>
      </c>
      <c r="AC159" s="208" t="s">
        <v>80</v>
      </c>
      <c r="AD159" s="209">
        <v>109200000</v>
      </c>
      <c r="AE159" s="209">
        <v>109200000</v>
      </c>
      <c r="AF159" s="207"/>
      <c r="AG159" s="207"/>
      <c r="AH159" s="209"/>
      <c r="AI159" s="207"/>
      <c r="AJ159" s="208"/>
      <c r="AK159" s="209"/>
      <c r="AL159" s="209"/>
      <c r="AM159" s="206"/>
      <c r="AN159" s="207"/>
      <c r="AO159" s="208"/>
      <c r="AP159" s="209"/>
      <c r="AQ159" s="209"/>
      <c r="AR159" s="207"/>
      <c r="AS159" s="207"/>
      <c r="AT159" s="209"/>
      <c r="AU159" s="209"/>
      <c r="AV159" s="209"/>
      <c r="AW159" s="466" t="s">
        <v>1313</v>
      </c>
      <c r="AX159" s="466" t="s">
        <v>1313</v>
      </c>
      <c r="AY159" s="466" t="s">
        <v>1313</v>
      </c>
      <c r="AZ159" s="466" t="s">
        <v>1313</v>
      </c>
      <c r="BA159" s="466" t="s">
        <v>1313</v>
      </c>
      <c r="BB159" s="466" t="s">
        <v>1313</v>
      </c>
      <c r="BC159" s="207" t="s">
        <v>82</v>
      </c>
      <c r="BD159" s="210"/>
      <c r="BE159" s="210"/>
      <c r="BF159" s="207"/>
      <c r="BG159" s="207"/>
      <c r="BH159" s="207"/>
      <c r="BI159" s="207"/>
      <c r="BJ159" s="207"/>
      <c r="BK159" s="206"/>
      <c r="BL159" s="206"/>
      <c r="BM159" s="206"/>
      <c r="BN159" s="206"/>
      <c r="BO159" s="211"/>
      <c r="BP159" s="207"/>
      <c r="BQ159" s="207"/>
      <c r="BR159" s="206"/>
      <c r="BS159" s="206"/>
      <c r="BT159" s="212"/>
      <c r="BU159" s="212"/>
      <c r="BV159" s="206"/>
      <c r="BW159" s="212"/>
      <c r="BX159" s="206"/>
      <c r="BY159" s="212"/>
      <c r="BZ159" s="206"/>
      <c r="CA159" s="206">
        <v>42482</v>
      </c>
      <c r="CB159" s="213" t="s">
        <v>134</v>
      </c>
      <c r="CC159" s="212"/>
      <c r="CD159" s="212">
        <v>165000000</v>
      </c>
      <c r="CE159" s="212"/>
      <c r="CF159" s="212"/>
      <c r="CG159" s="212">
        <v>165000000</v>
      </c>
      <c r="CH159" s="200"/>
      <c r="CI159" s="212"/>
      <c r="CJ159" s="255" t="s">
        <v>124</v>
      </c>
    </row>
    <row r="160" spans="1:88" s="503" customFormat="1" ht="14.1" hidden="1" customHeight="1">
      <c r="A160" s="483" t="s">
        <v>3424</v>
      </c>
      <c r="B160" s="478" t="s">
        <v>3338</v>
      </c>
      <c r="C160" s="251" t="s">
        <v>3423</v>
      </c>
      <c r="D160" s="517" t="s">
        <v>3423</v>
      </c>
      <c r="E160" s="500">
        <v>118163582</v>
      </c>
      <c r="F160" s="251" t="s">
        <v>3185</v>
      </c>
      <c r="G160" s="501"/>
      <c r="H160" s="502"/>
      <c r="J160" s="199">
        <v>148</v>
      </c>
      <c r="K160" s="200"/>
      <c r="L160" s="200" t="s">
        <v>557</v>
      </c>
      <c r="M160" s="201" t="s">
        <v>152</v>
      </c>
      <c r="N160" s="536"/>
      <c r="O160" s="202">
        <v>1</v>
      </c>
      <c r="P160" s="201" t="s">
        <v>125</v>
      </c>
      <c r="Q160" s="201" t="s">
        <v>1355</v>
      </c>
      <c r="R160" s="201" t="s">
        <v>1831</v>
      </c>
      <c r="S160" s="201" t="s">
        <v>1832</v>
      </c>
      <c r="T160" s="201" t="s">
        <v>106</v>
      </c>
      <c r="U160" s="203">
        <v>25.311900000000001</v>
      </c>
      <c r="V160" s="203">
        <v>59.454999999999998</v>
      </c>
      <c r="W160" s="204"/>
      <c r="X160" s="205"/>
      <c r="Y160" s="203"/>
      <c r="Z160" s="206">
        <v>40526</v>
      </c>
      <c r="AA160" s="206" t="s">
        <v>79</v>
      </c>
      <c r="AB160" s="207" t="s">
        <v>89</v>
      </c>
      <c r="AC160" s="208" t="s">
        <v>80</v>
      </c>
      <c r="AD160" s="209">
        <v>110285664</v>
      </c>
      <c r="AE160" s="209">
        <v>110285664</v>
      </c>
      <c r="AF160" s="207"/>
      <c r="AG160" s="207"/>
      <c r="AH160" s="209"/>
      <c r="AI160" s="207"/>
      <c r="AJ160" s="208"/>
      <c r="AK160" s="209"/>
      <c r="AL160" s="209"/>
      <c r="AM160" s="206"/>
      <c r="AN160" s="207"/>
      <c r="AO160" s="208"/>
      <c r="AP160" s="209"/>
      <c r="AQ160" s="209"/>
      <c r="AR160" s="207"/>
      <c r="AS160" s="207"/>
      <c r="AT160" s="209"/>
      <c r="AU160" s="209"/>
      <c r="AV160" s="209"/>
      <c r="AW160" s="466" t="s">
        <v>1313</v>
      </c>
      <c r="AX160" s="466" t="s">
        <v>1313</v>
      </c>
      <c r="AY160" s="466" t="s">
        <v>1313</v>
      </c>
      <c r="AZ160" s="466" t="s">
        <v>1313</v>
      </c>
      <c r="BA160" s="466" t="s">
        <v>1313</v>
      </c>
      <c r="BB160" s="466" t="s">
        <v>1313</v>
      </c>
      <c r="BC160" s="207" t="s">
        <v>1320</v>
      </c>
      <c r="BD160" s="210"/>
      <c r="BE160" s="210">
        <v>80000000</v>
      </c>
      <c r="BF160" s="207" t="s">
        <v>1325</v>
      </c>
      <c r="BG160" s="207"/>
      <c r="BH160" s="207" t="s">
        <v>1362</v>
      </c>
      <c r="BI160" s="207" t="s">
        <v>1833</v>
      </c>
      <c r="BJ160" s="207"/>
      <c r="BK160" s="206">
        <v>42390</v>
      </c>
      <c r="BL160" s="206">
        <v>42464</v>
      </c>
      <c r="BM160" s="206"/>
      <c r="BN160" s="206"/>
      <c r="BO160" s="211"/>
      <c r="BP160" s="207"/>
      <c r="BQ160" s="207"/>
      <c r="BR160" s="206"/>
      <c r="BS160" s="206"/>
      <c r="BT160" s="212"/>
      <c r="BU160" s="212"/>
      <c r="BV160" s="206"/>
      <c r="BW160" s="212"/>
      <c r="BX160" s="206"/>
      <c r="BY160" s="212"/>
      <c r="BZ160" s="206"/>
      <c r="CA160" s="206">
        <v>42482</v>
      </c>
      <c r="CB160" s="213" t="s">
        <v>134</v>
      </c>
      <c r="CC160" s="212"/>
      <c r="CD160" s="212">
        <v>225000000</v>
      </c>
      <c r="CE160" s="212"/>
      <c r="CF160" s="212"/>
      <c r="CG160" s="212">
        <v>225000000</v>
      </c>
      <c r="CH160" s="200"/>
      <c r="CI160" s="212"/>
      <c r="CJ160" s="255" t="s">
        <v>1834</v>
      </c>
    </row>
    <row r="161" spans="1:88" s="503" customFormat="1" ht="14.1" hidden="1" customHeight="1">
      <c r="A161" s="483" t="s">
        <v>3424</v>
      </c>
      <c r="B161" s="478" t="s">
        <v>3339</v>
      </c>
      <c r="C161" s="251" t="s">
        <v>3423</v>
      </c>
      <c r="D161" s="517" t="s">
        <v>3423</v>
      </c>
      <c r="E161" s="500">
        <v>117997875</v>
      </c>
      <c r="F161" s="251" t="s">
        <v>3187</v>
      </c>
      <c r="G161" s="501"/>
      <c r="H161" s="502"/>
      <c r="J161" s="199">
        <v>149</v>
      </c>
      <c r="K161" s="200"/>
      <c r="L161" s="200" t="s">
        <v>558</v>
      </c>
      <c r="M161" s="201" t="s">
        <v>202</v>
      </c>
      <c r="N161" s="536"/>
      <c r="O161" s="202">
        <v>1</v>
      </c>
      <c r="P161" s="201" t="s">
        <v>145</v>
      </c>
      <c r="Q161" s="201" t="s">
        <v>1674</v>
      </c>
      <c r="R161" s="201" t="s">
        <v>1675</v>
      </c>
      <c r="S161" s="201" t="s">
        <v>1835</v>
      </c>
      <c r="T161" s="201" t="s">
        <v>106</v>
      </c>
      <c r="U161" s="203">
        <v>54.220300000000002</v>
      </c>
      <c r="V161" s="203">
        <v>84.990200000000002</v>
      </c>
      <c r="W161" s="204"/>
      <c r="X161" s="205"/>
      <c r="Y161" s="203"/>
      <c r="Z161" s="206">
        <v>39489</v>
      </c>
      <c r="AA161" s="206" t="s">
        <v>79</v>
      </c>
      <c r="AB161" s="207">
        <v>1</v>
      </c>
      <c r="AC161" s="208" t="s">
        <v>80</v>
      </c>
      <c r="AD161" s="209">
        <v>141600000</v>
      </c>
      <c r="AE161" s="209">
        <v>141600000</v>
      </c>
      <c r="AF161" s="207"/>
      <c r="AG161" s="207"/>
      <c r="AH161" s="209"/>
      <c r="AI161" s="207"/>
      <c r="AJ161" s="208"/>
      <c r="AK161" s="209"/>
      <c r="AL161" s="209"/>
      <c r="AM161" s="206"/>
      <c r="AN161" s="207"/>
      <c r="AO161" s="208"/>
      <c r="AP161" s="209"/>
      <c r="AQ161" s="209"/>
      <c r="AR161" s="207"/>
      <c r="AS161" s="207"/>
      <c r="AT161" s="209"/>
      <c r="AU161" s="209"/>
      <c r="AV161" s="209"/>
      <c r="AW161" s="466" t="s">
        <v>1313</v>
      </c>
      <c r="AX161" s="466" t="s">
        <v>1313</v>
      </c>
      <c r="AY161" s="466" t="s">
        <v>1313</v>
      </c>
      <c r="AZ161" s="466" t="s">
        <v>1313</v>
      </c>
      <c r="BA161" s="466" t="s">
        <v>1313</v>
      </c>
      <c r="BB161" s="466" t="s">
        <v>1313</v>
      </c>
      <c r="BC161" s="207" t="s">
        <v>1320</v>
      </c>
      <c r="BD161" s="210"/>
      <c r="BE161" s="210">
        <v>100000000</v>
      </c>
      <c r="BF161" s="207" t="s">
        <v>1836</v>
      </c>
      <c r="BG161" s="207"/>
      <c r="BH161" s="207" t="s">
        <v>146</v>
      </c>
      <c r="BI161" s="207" t="s">
        <v>1837</v>
      </c>
      <c r="BJ161" s="207"/>
      <c r="BK161" s="206">
        <v>42436</v>
      </c>
      <c r="BL161" s="206">
        <v>42507</v>
      </c>
      <c r="BM161" s="206"/>
      <c r="BN161" s="206"/>
      <c r="BO161" s="211"/>
      <c r="BP161" s="207"/>
      <c r="BQ161" s="207"/>
      <c r="BR161" s="206"/>
      <c r="BS161" s="206"/>
      <c r="BT161" s="212"/>
      <c r="BU161" s="212"/>
      <c r="BV161" s="206"/>
      <c r="BW161" s="212"/>
      <c r="BX161" s="206"/>
      <c r="BY161" s="212"/>
      <c r="BZ161" s="206"/>
      <c r="CA161" s="206">
        <v>42482</v>
      </c>
      <c r="CB161" s="213" t="s">
        <v>134</v>
      </c>
      <c r="CC161" s="212"/>
      <c r="CD161" s="212">
        <v>240000000</v>
      </c>
      <c r="CE161" s="212"/>
      <c r="CF161" s="212"/>
      <c r="CG161" s="212">
        <v>240000000</v>
      </c>
      <c r="CH161" s="200"/>
      <c r="CI161" s="212"/>
      <c r="CJ161" s="255" t="s">
        <v>416</v>
      </c>
    </row>
    <row r="162" spans="1:88" s="503" customFormat="1" ht="14.1" hidden="1" customHeight="1">
      <c r="A162" s="483" t="s">
        <v>3424</v>
      </c>
      <c r="B162" s="478" t="s">
        <v>3340</v>
      </c>
      <c r="C162" s="251" t="s">
        <v>3423</v>
      </c>
      <c r="D162" s="517" t="s">
        <v>3423</v>
      </c>
      <c r="E162" s="500">
        <v>117333294</v>
      </c>
      <c r="F162" s="251" t="s">
        <v>3187</v>
      </c>
      <c r="G162" s="501"/>
      <c r="H162" s="502"/>
      <c r="J162" s="199">
        <v>150</v>
      </c>
      <c r="K162" s="200"/>
      <c r="L162" s="200" t="s">
        <v>559</v>
      </c>
      <c r="M162" s="201" t="s">
        <v>168</v>
      </c>
      <c r="N162" s="536"/>
      <c r="O162" s="202">
        <v>1</v>
      </c>
      <c r="P162" s="201" t="s">
        <v>83</v>
      </c>
      <c r="Q162" s="201" t="s">
        <v>155</v>
      </c>
      <c r="R162" s="201" t="s">
        <v>1797</v>
      </c>
      <c r="S162" s="201" t="s">
        <v>1838</v>
      </c>
      <c r="T162" s="201" t="s">
        <v>106</v>
      </c>
      <c r="U162" s="203">
        <v>40.469700000000003</v>
      </c>
      <c r="V162" s="203">
        <v>59.99</v>
      </c>
      <c r="W162" s="204"/>
      <c r="X162" s="205"/>
      <c r="Y162" s="203"/>
      <c r="Z162" s="206">
        <v>40466</v>
      </c>
      <c r="AA162" s="206" t="s">
        <v>79</v>
      </c>
      <c r="AB162" s="207" t="s">
        <v>89</v>
      </c>
      <c r="AC162" s="208" t="s">
        <v>80</v>
      </c>
      <c r="AD162" s="209">
        <v>144000000</v>
      </c>
      <c r="AE162" s="209">
        <v>144000000</v>
      </c>
      <c r="AF162" s="207"/>
      <c r="AG162" s="207"/>
      <c r="AH162" s="209"/>
      <c r="AI162" s="207"/>
      <c r="AJ162" s="208"/>
      <c r="AK162" s="209"/>
      <c r="AL162" s="209"/>
      <c r="AM162" s="206"/>
      <c r="AN162" s="207"/>
      <c r="AO162" s="208"/>
      <c r="AP162" s="209"/>
      <c r="AQ162" s="209"/>
      <c r="AR162" s="207"/>
      <c r="AS162" s="207"/>
      <c r="AT162" s="209"/>
      <c r="AU162" s="209"/>
      <c r="AV162" s="209"/>
      <c r="AW162" s="466" t="s">
        <v>1313</v>
      </c>
      <c r="AX162" s="466" t="s">
        <v>1313</v>
      </c>
      <c r="AY162" s="466" t="s">
        <v>1313</v>
      </c>
      <c r="AZ162" s="466" t="s">
        <v>1313</v>
      </c>
      <c r="BA162" s="466" t="s">
        <v>1313</v>
      </c>
      <c r="BB162" s="466" t="s">
        <v>1313</v>
      </c>
      <c r="BC162" s="207" t="s">
        <v>82</v>
      </c>
      <c r="BD162" s="210"/>
      <c r="BE162" s="210"/>
      <c r="BF162" s="207"/>
      <c r="BG162" s="207"/>
      <c r="BH162" s="207"/>
      <c r="BI162" s="207"/>
      <c r="BJ162" s="207"/>
      <c r="BK162" s="206"/>
      <c r="BL162" s="206"/>
      <c r="BM162" s="206"/>
      <c r="BN162" s="206"/>
      <c r="BO162" s="211"/>
      <c r="BP162" s="207"/>
      <c r="BQ162" s="207"/>
      <c r="BR162" s="206"/>
      <c r="BS162" s="206"/>
      <c r="BT162" s="212"/>
      <c r="BU162" s="212"/>
      <c r="BV162" s="206"/>
      <c r="BW162" s="212"/>
      <c r="BX162" s="206"/>
      <c r="BY162" s="212"/>
      <c r="BZ162" s="206"/>
      <c r="CA162" s="206">
        <v>42482</v>
      </c>
      <c r="CB162" s="213" t="s">
        <v>134</v>
      </c>
      <c r="CC162" s="212"/>
      <c r="CD162" s="212">
        <v>307500000</v>
      </c>
      <c r="CE162" s="212"/>
      <c r="CF162" s="212"/>
      <c r="CG162" s="212">
        <v>307500000</v>
      </c>
      <c r="CH162" s="200"/>
      <c r="CI162" s="212"/>
      <c r="CJ162" s="255" t="s">
        <v>416</v>
      </c>
    </row>
    <row r="163" spans="1:88" s="503" customFormat="1" ht="14.1" hidden="1" customHeight="1">
      <c r="A163" s="483" t="s">
        <v>3424</v>
      </c>
      <c r="B163" s="478" t="s">
        <v>3341</v>
      </c>
      <c r="C163" s="251" t="s">
        <v>3423</v>
      </c>
      <c r="D163" s="521" t="s">
        <v>3436</v>
      </c>
      <c r="E163" s="500">
        <v>113180301</v>
      </c>
      <c r="F163" s="251" t="s">
        <v>3189</v>
      </c>
      <c r="G163" s="532" t="s">
        <v>3328</v>
      </c>
      <c r="H163" s="533" t="s">
        <v>3444</v>
      </c>
      <c r="J163" s="199">
        <v>151</v>
      </c>
      <c r="K163" s="200"/>
      <c r="L163" s="200" t="s">
        <v>560</v>
      </c>
      <c r="M163" s="201" t="s">
        <v>670</v>
      </c>
      <c r="N163" s="536"/>
      <c r="O163" s="202">
        <v>1</v>
      </c>
      <c r="P163" s="201" t="s">
        <v>103</v>
      </c>
      <c r="Q163" s="201" t="s">
        <v>120</v>
      </c>
      <c r="R163" s="201" t="s">
        <v>1801</v>
      </c>
      <c r="S163" s="201" t="s">
        <v>1802</v>
      </c>
      <c r="T163" s="201" t="s">
        <v>106</v>
      </c>
      <c r="U163" s="203">
        <v>53.945900000000002</v>
      </c>
      <c r="V163" s="203">
        <v>84.94</v>
      </c>
      <c r="W163" s="204"/>
      <c r="X163" s="205"/>
      <c r="Y163" s="203"/>
      <c r="Z163" s="206">
        <v>39367</v>
      </c>
      <c r="AA163" s="206" t="s">
        <v>79</v>
      </c>
      <c r="AB163" s="207">
        <v>2</v>
      </c>
      <c r="AC163" s="208" t="s">
        <v>80</v>
      </c>
      <c r="AD163" s="209">
        <v>200000000</v>
      </c>
      <c r="AE163" s="209">
        <v>200000000</v>
      </c>
      <c r="AF163" s="207"/>
      <c r="AG163" s="207"/>
      <c r="AH163" s="209"/>
      <c r="AI163" s="207"/>
      <c r="AJ163" s="208"/>
      <c r="AK163" s="209"/>
      <c r="AL163" s="209"/>
      <c r="AM163" s="206"/>
      <c r="AN163" s="207">
        <v>1</v>
      </c>
      <c r="AO163" s="208" t="s">
        <v>80</v>
      </c>
      <c r="AP163" s="209">
        <v>208800000</v>
      </c>
      <c r="AQ163" s="209">
        <v>208800000</v>
      </c>
      <c r="AR163" s="207"/>
      <c r="AS163" s="207"/>
      <c r="AT163" s="209"/>
      <c r="AU163" s="209"/>
      <c r="AV163" s="209"/>
      <c r="AW163" s="466" t="s">
        <v>1313</v>
      </c>
      <c r="AX163" s="466" t="s">
        <v>1313</v>
      </c>
      <c r="AY163" s="466" t="s">
        <v>1313</v>
      </c>
      <c r="AZ163" s="466" t="s">
        <v>1313</v>
      </c>
      <c r="BA163" s="466" t="s">
        <v>1313</v>
      </c>
      <c r="BB163" s="466" t="s">
        <v>1313</v>
      </c>
      <c r="BC163" s="207" t="s">
        <v>1320</v>
      </c>
      <c r="BD163" s="210">
        <v>119443776</v>
      </c>
      <c r="BE163" s="210"/>
      <c r="BF163" s="207" t="s">
        <v>101</v>
      </c>
      <c r="BG163" s="207"/>
      <c r="BH163" s="207" t="s">
        <v>123</v>
      </c>
      <c r="BI163" s="207" t="s">
        <v>1803</v>
      </c>
      <c r="BJ163" s="207"/>
      <c r="BK163" s="206">
        <v>42334</v>
      </c>
      <c r="BL163" s="206">
        <v>42415</v>
      </c>
      <c r="BM163" s="206"/>
      <c r="BN163" s="206"/>
      <c r="BO163" s="211"/>
      <c r="BP163" s="207"/>
      <c r="BQ163" s="207"/>
      <c r="BR163" s="206"/>
      <c r="BS163" s="206"/>
      <c r="BT163" s="212"/>
      <c r="BU163" s="212"/>
      <c r="BV163" s="206"/>
      <c r="BW163" s="212"/>
      <c r="BX163" s="206"/>
      <c r="BY163" s="212"/>
      <c r="BZ163" s="206"/>
      <c r="CA163" s="206">
        <v>42482</v>
      </c>
      <c r="CB163" s="213" t="s">
        <v>134</v>
      </c>
      <c r="CC163" s="212"/>
      <c r="CD163" s="212">
        <v>320000000</v>
      </c>
      <c r="CE163" s="212"/>
      <c r="CF163" s="212"/>
      <c r="CG163" s="212">
        <v>320000000</v>
      </c>
      <c r="CH163" s="200"/>
      <c r="CI163" s="212"/>
      <c r="CJ163" s="255" t="s">
        <v>1839</v>
      </c>
    </row>
    <row r="164" spans="1:88" s="503" customFormat="1" ht="14.1" hidden="1" customHeight="1">
      <c r="A164" s="483" t="s">
        <v>3424</v>
      </c>
      <c r="B164" s="478" t="s">
        <v>3342</v>
      </c>
      <c r="C164" s="251" t="s">
        <v>3423</v>
      </c>
      <c r="D164" s="517" t="s">
        <v>3423</v>
      </c>
      <c r="E164" s="500">
        <v>112400000</v>
      </c>
      <c r="F164" s="251" t="s">
        <v>3187</v>
      </c>
      <c r="G164" s="501"/>
      <c r="H164" s="502"/>
      <c r="J164" s="199">
        <v>152</v>
      </c>
      <c r="K164" s="200"/>
      <c r="L164" s="200" t="s">
        <v>561</v>
      </c>
      <c r="M164" s="201" t="s">
        <v>168</v>
      </c>
      <c r="N164" s="536"/>
      <c r="O164" s="202">
        <v>1</v>
      </c>
      <c r="P164" s="201" t="s">
        <v>103</v>
      </c>
      <c r="Q164" s="201" t="s">
        <v>136</v>
      </c>
      <c r="R164" s="201" t="s">
        <v>1840</v>
      </c>
      <c r="S164" s="201" t="s">
        <v>1841</v>
      </c>
      <c r="T164" s="201" t="s">
        <v>106</v>
      </c>
      <c r="U164" s="203">
        <v>48.865000000000002</v>
      </c>
      <c r="V164" s="203">
        <v>114.91200000000001</v>
      </c>
      <c r="W164" s="204"/>
      <c r="X164" s="205"/>
      <c r="Y164" s="203"/>
      <c r="Z164" s="206">
        <v>39630</v>
      </c>
      <c r="AA164" s="206" t="s">
        <v>1315</v>
      </c>
      <c r="AB164" s="207" t="s">
        <v>1842</v>
      </c>
      <c r="AC164" s="208" t="s">
        <v>80</v>
      </c>
      <c r="AD164" s="209">
        <v>136800000</v>
      </c>
      <c r="AE164" s="209">
        <v>136800000</v>
      </c>
      <c r="AF164" s="207"/>
      <c r="AG164" s="207"/>
      <c r="AH164" s="209"/>
      <c r="AI164" s="207"/>
      <c r="AJ164" s="208"/>
      <c r="AK164" s="209"/>
      <c r="AL164" s="209"/>
      <c r="AM164" s="206"/>
      <c r="AN164" s="207" t="s">
        <v>428</v>
      </c>
      <c r="AO164" s="208" t="s">
        <v>80</v>
      </c>
      <c r="AP164" s="209">
        <v>279000000</v>
      </c>
      <c r="AQ164" s="209">
        <v>279000000</v>
      </c>
      <c r="AR164" s="207"/>
      <c r="AS164" s="207"/>
      <c r="AT164" s="209"/>
      <c r="AU164" s="209"/>
      <c r="AV164" s="209"/>
      <c r="AW164" s="466" t="s">
        <v>1313</v>
      </c>
      <c r="AX164" s="466" t="s">
        <v>1313</v>
      </c>
      <c r="AY164" s="466" t="s">
        <v>1313</v>
      </c>
      <c r="AZ164" s="466" t="s">
        <v>1313</v>
      </c>
      <c r="BA164" s="466" t="s">
        <v>1313</v>
      </c>
      <c r="BB164" s="466" t="s">
        <v>1313</v>
      </c>
      <c r="BC164" s="207" t="s">
        <v>82</v>
      </c>
      <c r="BD164" s="210"/>
      <c r="BE164" s="210"/>
      <c r="BF164" s="207"/>
      <c r="BG164" s="207"/>
      <c r="BH164" s="207"/>
      <c r="BI164" s="207"/>
      <c r="BJ164" s="207"/>
      <c r="BK164" s="206"/>
      <c r="BL164" s="206"/>
      <c r="BM164" s="206"/>
      <c r="BN164" s="206"/>
      <c r="BO164" s="211"/>
      <c r="BP164" s="207"/>
      <c r="BQ164" s="207"/>
      <c r="BR164" s="206"/>
      <c r="BS164" s="206"/>
      <c r="BT164" s="212"/>
      <c r="BU164" s="212"/>
      <c r="BV164" s="206"/>
      <c r="BW164" s="212"/>
      <c r="BX164" s="206"/>
      <c r="BY164" s="212"/>
      <c r="BZ164" s="206"/>
      <c r="CA164" s="206">
        <v>42482</v>
      </c>
      <c r="CB164" s="213" t="s">
        <v>134</v>
      </c>
      <c r="CC164" s="212"/>
      <c r="CD164" s="212">
        <v>475000000</v>
      </c>
      <c r="CE164" s="212"/>
      <c r="CF164" s="212"/>
      <c r="CG164" s="212">
        <v>475000000</v>
      </c>
      <c r="CH164" s="200"/>
      <c r="CI164" s="212"/>
      <c r="CJ164" s="255" t="s">
        <v>416</v>
      </c>
    </row>
    <row r="165" spans="1:88" s="503" customFormat="1" ht="14.1" hidden="1" customHeight="1">
      <c r="A165" s="483" t="s">
        <v>3424</v>
      </c>
      <c r="B165" s="478" t="s">
        <v>3343</v>
      </c>
      <c r="C165" s="521" t="s">
        <v>3435</v>
      </c>
      <c r="D165" s="521" t="s">
        <v>3435</v>
      </c>
      <c r="E165" s="500">
        <v>110167773</v>
      </c>
      <c r="F165" s="251" t="s">
        <v>3186</v>
      </c>
      <c r="G165" s="501"/>
      <c r="H165" s="502"/>
      <c r="J165" s="199">
        <v>153</v>
      </c>
      <c r="K165" s="200"/>
      <c r="L165" s="200" t="s">
        <v>562</v>
      </c>
      <c r="M165" s="201" t="s">
        <v>109</v>
      </c>
      <c r="N165" s="536"/>
      <c r="O165" s="202">
        <v>1</v>
      </c>
      <c r="P165" s="201" t="s">
        <v>93</v>
      </c>
      <c r="Q165" s="201" t="s">
        <v>100</v>
      </c>
      <c r="R165" s="201" t="s">
        <v>1843</v>
      </c>
      <c r="S165" s="201" t="s">
        <v>1844</v>
      </c>
      <c r="T165" s="201" t="s">
        <v>220</v>
      </c>
      <c r="U165" s="203">
        <v>58</v>
      </c>
      <c r="V165" s="203">
        <v>80.900000000000006</v>
      </c>
      <c r="W165" s="204"/>
      <c r="X165" s="205"/>
      <c r="Y165" s="203"/>
      <c r="Z165" s="206">
        <v>42041</v>
      </c>
      <c r="AA165" s="206" t="s">
        <v>79</v>
      </c>
      <c r="AB165" s="207">
        <v>1</v>
      </c>
      <c r="AC165" s="208" t="s">
        <v>80</v>
      </c>
      <c r="AD165" s="209">
        <v>134400000</v>
      </c>
      <c r="AE165" s="209">
        <v>134400000</v>
      </c>
      <c r="AF165" s="207"/>
      <c r="AG165" s="207"/>
      <c r="AH165" s="209"/>
      <c r="AI165" s="207"/>
      <c r="AJ165" s="208"/>
      <c r="AK165" s="209"/>
      <c r="AL165" s="209"/>
      <c r="AM165" s="206"/>
      <c r="AN165" s="207"/>
      <c r="AO165" s="208"/>
      <c r="AP165" s="209"/>
      <c r="AQ165" s="209"/>
      <c r="AR165" s="207"/>
      <c r="AS165" s="207"/>
      <c r="AT165" s="209"/>
      <c r="AU165" s="209"/>
      <c r="AV165" s="209"/>
      <c r="AW165" s="466" t="s">
        <v>1313</v>
      </c>
      <c r="AX165" s="466" t="s">
        <v>1313</v>
      </c>
      <c r="AY165" s="466" t="s">
        <v>1313</v>
      </c>
      <c r="AZ165" s="466" t="s">
        <v>1313</v>
      </c>
      <c r="BA165" s="466" t="s">
        <v>1313</v>
      </c>
      <c r="BB165" s="466" t="s">
        <v>1313</v>
      </c>
      <c r="BC165" s="207" t="s">
        <v>82</v>
      </c>
      <c r="BD165" s="210"/>
      <c r="BE165" s="210"/>
      <c r="BF165" s="207"/>
      <c r="BG165" s="207"/>
      <c r="BH165" s="207"/>
      <c r="BI165" s="207"/>
      <c r="BJ165" s="207"/>
      <c r="BK165" s="206"/>
      <c r="BL165" s="206"/>
      <c r="BM165" s="206"/>
      <c r="BN165" s="206"/>
      <c r="BO165" s="211"/>
      <c r="BP165" s="207"/>
      <c r="BQ165" s="207"/>
      <c r="BR165" s="206"/>
      <c r="BS165" s="206"/>
      <c r="BT165" s="212"/>
      <c r="BU165" s="212"/>
      <c r="BV165" s="206"/>
      <c r="BW165" s="212"/>
      <c r="BX165" s="206"/>
      <c r="BY165" s="212"/>
      <c r="BZ165" s="206"/>
      <c r="CA165" s="206">
        <v>42019</v>
      </c>
      <c r="CB165" s="213" t="s">
        <v>1845</v>
      </c>
      <c r="CC165" s="212"/>
      <c r="CD165" s="212">
        <v>160000000</v>
      </c>
      <c r="CE165" s="212"/>
      <c r="CF165" s="212"/>
      <c r="CG165" s="212">
        <v>160000000</v>
      </c>
      <c r="CH165" s="200"/>
      <c r="CI165" s="212"/>
      <c r="CJ165" s="255"/>
    </row>
    <row r="166" spans="1:88" s="503" customFormat="1" ht="14.1" hidden="1" customHeight="1">
      <c r="A166" s="483" t="s">
        <v>3424</v>
      </c>
      <c r="B166" s="478" t="s">
        <v>3344</v>
      </c>
      <c r="C166" s="521" t="s">
        <v>3435</v>
      </c>
      <c r="D166" s="521" t="s">
        <v>3435</v>
      </c>
      <c r="E166" s="500">
        <v>112515305</v>
      </c>
      <c r="F166" s="251" t="s">
        <v>3185</v>
      </c>
      <c r="G166" s="501"/>
      <c r="H166" s="502"/>
      <c r="J166" s="199">
        <v>154</v>
      </c>
      <c r="K166" s="200"/>
      <c r="L166" s="200" t="s">
        <v>563</v>
      </c>
      <c r="M166" s="201" t="s">
        <v>109</v>
      </c>
      <c r="N166" s="536"/>
      <c r="O166" s="202">
        <v>1</v>
      </c>
      <c r="P166" s="201" t="s">
        <v>125</v>
      </c>
      <c r="Q166" s="201" t="s">
        <v>1846</v>
      </c>
      <c r="R166" s="201" t="s">
        <v>1847</v>
      </c>
      <c r="S166" s="201" t="s">
        <v>1848</v>
      </c>
      <c r="T166" s="201" t="s">
        <v>1849</v>
      </c>
      <c r="U166" s="203">
        <v>17.309999999999999</v>
      </c>
      <c r="V166" s="203">
        <v>115.74</v>
      </c>
      <c r="W166" s="204"/>
      <c r="X166" s="205"/>
      <c r="Y166" s="203"/>
      <c r="Z166" s="206">
        <v>41149</v>
      </c>
      <c r="AA166" s="206" t="s">
        <v>79</v>
      </c>
      <c r="AB166" s="207">
        <v>1</v>
      </c>
      <c r="AC166" s="208" t="s">
        <v>80</v>
      </c>
      <c r="AD166" s="209">
        <v>166400000</v>
      </c>
      <c r="AE166" s="209">
        <v>166400000</v>
      </c>
      <c r="AF166" s="207"/>
      <c r="AG166" s="207"/>
      <c r="AH166" s="209"/>
      <c r="AI166" s="207"/>
      <c r="AJ166" s="208"/>
      <c r="AK166" s="209"/>
      <c r="AL166" s="209"/>
      <c r="AM166" s="206"/>
      <c r="AN166" s="207"/>
      <c r="AO166" s="208"/>
      <c r="AP166" s="209"/>
      <c r="AQ166" s="209"/>
      <c r="AR166" s="207"/>
      <c r="AS166" s="207"/>
      <c r="AT166" s="209"/>
      <c r="AU166" s="209"/>
      <c r="AV166" s="209"/>
      <c r="AW166" s="466" t="s">
        <v>1313</v>
      </c>
      <c r="AX166" s="466" t="s">
        <v>1313</v>
      </c>
      <c r="AY166" s="466" t="s">
        <v>1313</v>
      </c>
      <c r="AZ166" s="466" t="s">
        <v>1313</v>
      </c>
      <c r="BA166" s="466" t="s">
        <v>1313</v>
      </c>
      <c r="BB166" s="466" t="s">
        <v>1313</v>
      </c>
      <c r="BC166" s="207" t="s">
        <v>82</v>
      </c>
      <c r="BD166" s="210"/>
      <c r="BE166" s="210"/>
      <c r="BF166" s="207"/>
      <c r="BG166" s="207"/>
      <c r="BH166" s="207"/>
      <c r="BI166" s="207"/>
      <c r="BJ166" s="207"/>
      <c r="BK166" s="206"/>
      <c r="BL166" s="206"/>
      <c r="BM166" s="206"/>
      <c r="BN166" s="206"/>
      <c r="BO166" s="211"/>
      <c r="BP166" s="207"/>
      <c r="BQ166" s="207"/>
      <c r="BR166" s="206"/>
      <c r="BS166" s="206"/>
      <c r="BT166" s="212"/>
      <c r="BU166" s="212"/>
      <c r="BV166" s="206"/>
      <c r="BW166" s="212"/>
      <c r="BX166" s="206"/>
      <c r="BY166" s="212"/>
      <c r="BZ166" s="206"/>
      <c r="CA166" s="206">
        <v>41129</v>
      </c>
      <c r="CB166" s="213" t="s">
        <v>1850</v>
      </c>
      <c r="CC166" s="212"/>
      <c r="CD166" s="212">
        <v>190000000</v>
      </c>
      <c r="CE166" s="212"/>
      <c r="CF166" s="212"/>
      <c r="CG166" s="212">
        <v>190000000</v>
      </c>
      <c r="CH166" s="200"/>
      <c r="CI166" s="212"/>
      <c r="CJ166" s="255" t="s">
        <v>416</v>
      </c>
    </row>
    <row r="167" spans="1:88" s="503" customFormat="1" ht="14.1" hidden="1" customHeight="1">
      <c r="A167" s="483" t="s">
        <v>3424</v>
      </c>
      <c r="B167" s="478" t="s">
        <v>3345</v>
      </c>
      <c r="C167" s="251" t="s">
        <v>3423</v>
      </c>
      <c r="D167" s="517" t="s">
        <v>3423</v>
      </c>
      <c r="E167" s="500">
        <v>108496449</v>
      </c>
      <c r="F167" s="251" t="s">
        <v>3184</v>
      </c>
      <c r="G167" s="501"/>
      <c r="H167" s="502"/>
      <c r="J167" s="199">
        <v>155</v>
      </c>
      <c r="K167" s="200"/>
      <c r="L167" s="200" t="s">
        <v>564</v>
      </c>
      <c r="M167" s="201" t="s">
        <v>138</v>
      </c>
      <c r="N167" s="536"/>
      <c r="O167" s="202">
        <v>1</v>
      </c>
      <c r="P167" s="201" t="s">
        <v>164</v>
      </c>
      <c r="Q167" s="201" t="s">
        <v>1851</v>
      </c>
      <c r="R167" s="201" t="s">
        <v>1852</v>
      </c>
      <c r="S167" s="201" t="s">
        <v>1853</v>
      </c>
      <c r="T167" s="201" t="s">
        <v>106</v>
      </c>
      <c r="U167" s="203">
        <v>32.344999999999999</v>
      </c>
      <c r="V167" s="203">
        <v>59.76</v>
      </c>
      <c r="W167" s="204"/>
      <c r="X167" s="205"/>
      <c r="Y167" s="203"/>
      <c r="Z167" s="206">
        <v>41110</v>
      </c>
      <c r="AA167" s="206" t="s">
        <v>79</v>
      </c>
      <c r="AB167" s="207" t="s">
        <v>89</v>
      </c>
      <c r="AC167" s="208" t="s">
        <v>80</v>
      </c>
      <c r="AD167" s="209">
        <v>127200000</v>
      </c>
      <c r="AE167" s="209">
        <v>127200000</v>
      </c>
      <c r="AF167" s="207"/>
      <c r="AG167" s="207"/>
      <c r="AH167" s="209"/>
      <c r="AI167" s="207"/>
      <c r="AJ167" s="208"/>
      <c r="AK167" s="209"/>
      <c r="AL167" s="209"/>
      <c r="AM167" s="206"/>
      <c r="AN167" s="207"/>
      <c r="AO167" s="208"/>
      <c r="AP167" s="209"/>
      <c r="AQ167" s="209"/>
      <c r="AR167" s="207"/>
      <c r="AS167" s="207"/>
      <c r="AT167" s="209"/>
      <c r="AU167" s="209"/>
      <c r="AV167" s="209"/>
      <c r="AW167" s="466" t="s">
        <v>1313</v>
      </c>
      <c r="AX167" s="466" t="s">
        <v>1313</v>
      </c>
      <c r="AY167" s="466" t="s">
        <v>1313</v>
      </c>
      <c r="AZ167" s="466" t="s">
        <v>1313</v>
      </c>
      <c r="BA167" s="466" t="s">
        <v>1313</v>
      </c>
      <c r="BB167" s="466" t="s">
        <v>1313</v>
      </c>
      <c r="BC167" s="207" t="s">
        <v>82</v>
      </c>
      <c r="BD167" s="210"/>
      <c r="BE167" s="210"/>
      <c r="BF167" s="207"/>
      <c r="BG167" s="207"/>
      <c r="BH167" s="207"/>
      <c r="BI167" s="207"/>
      <c r="BJ167" s="207"/>
      <c r="BK167" s="206"/>
      <c r="BL167" s="206"/>
      <c r="BM167" s="206"/>
      <c r="BN167" s="206"/>
      <c r="BO167" s="211"/>
      <c r="BP167" s="207"/>
      <c r="BQ167" s="207"/>
      <c r="BR167" s="206"/>
      <c r="BS167" s="206"/>
      <c r="BT167" s="212"/>
      <c r="BU167" s="212"/>
      <c r="BV167" s="206"/>
      <c r="BW167" s="212"/>
      <c r="BX167" s="206"/>
      <c r="BY167" s="212"/>
      <c r="BZ167" s="206"/>
      <c r="CA167" s="206">
        <v>42482</v>
      </c>
      <c r="CB167" s="213" t="s">
        <v>134</v>
      </c>
      <c r="CC167" s="212"/>
      <c r="CD167" s="212">
        <v>149000000</v>
      </c>
      <c r="CE167" s="212"/>
      <c r="CF167" s="212"/>
      <c r="CG167" s="212">
        <v>149000000</v>
      </c>
      <c r="CH167" s="200"/>
      <c r="CI167" s="212"/>
      <c r="CJ167" s="255" t="s">
        <v>416</v>
      </c>
    </row>
    <row r="168" spans="1:88" s="503" customFormat="1" ht="14.1" hidden="1" customHeight="1">
      <c r="A168" s="483" t="s">
        <v>3424</v>
      </c>
      <c r="B168" s="478" t="s">
        <v>3346</v>
      </c>
      <c r="C168" s="521" t="s">
        <v>3435</v>
      </c>
      <c r="D168" s="521" t="s">
        <v>3435</v>
      </c>
      <c r="E168" s="500">
        <v>105701511</v>
      </c>
      <c r="F168" s="251" t="s">
        <v>3184</v>
      </c>
      <c r="G168" s="534" t="s">
        <v>3388</v>
      </c>
      <c r="H168" s="502"/>
      <c r="J168" s="199">
        <v>156</v>
      </c>
      <c r="K168" s="200"/>
      <c r="L168" s="200" t="s">
        <v>565</v>
      </c>
      <c r="M168" s="201" t="s">
        <v>109</v>
      </c>
      <c r="N168" s="536"/>
      <c r="O168" s="202">
        <v>1</v>
      </c>
      <c r="P168" s="201" t="s">
        <v>93</v>
      </c>
      <c r="Q168" s="201" t="s">
        <v>240</v>
      </c>
      <c r="R168" s="201" t="s">
        <v>1854</v>
      </c>
      <c r="S168" s="201" t="s">
        <v>1855</v>
      </c>
      <c r="T168" s="201" t="s">
        <v>220</v>
      </c>
      <c r="U168" s="203">
        <v>28.23</v>
      </c>
      <c r="V168" s="203">
        <v>42.87</v>
      </c>
      <c r="W168" s="204"/>
      <c r="X168" s="205"/>
      <c r="Y168" s="203"/>
      <c r="Z168" s="206">
        <v>42150</v>
      </c>
      <c r="AA168" s="206" t="s">
        <v>79</v>
      </c>
      <c r="AB168" s="207">
        <v>1</v>
      </c>
      <c r="AC168" s="208" t="s">
        <v>80</v>
      </c>
      <c r="AD168" s="209">
        <v>126000000</v>
      </c>
      <c r="AE168" s="209">
        <v>126000000</v>
      </c>
      <c r="AF168" s="207"/>
      <c r="AG168" s="207"/>
      <c r="AH168" s="209"/>
      <c r="AI168" s="207"/>
      <c r="AJ168" s="208"/>
      <c r="AK168" s="209"/>
      <c r="AL168" s="209"/>
      <c r="AM168" s="206"/>
      <c r="AN168" s="207"/>
      <c r="AO168" s="208"/>
      <c r="AP168" s="209"/>
      <c r="AQ168" s="209"/>
      <c r="AR168" s="207"/>
      <c r="AS168" s="207"/>
      <c r="AT168" s="209"/>
      <c r="AU168" s="209"/>
      <c r="AV168" s="209"/>
      <c r="AW168" s="466" t="s">
        <v>1313</v>
      </c>
      <c r="AX168" s="466" t="s">
        <v>1313</v>
      </c>
      <c r="AY168" s="466" t="s">
        <v>1313</v>
      </c>
      <c r="AZ168" s="466" t="s">
        <v>1313</v>
      </c>
      <c r="BA168" s="466" t="s">
        <v>1313</v>
      </c>
      <c r="BB168" s="466" t="s">
        <v>1313</v>
      </c>
      <c r="BC168" s="207" t="s">
        <v>1320</v>
      </c>
      <c r="BD168" s="210">
        <v>105384035</v>
      </c>
      <c r="BE168" s="210"/>
      <c r="BF168" s="207" t="s">
        <v>101</v>
      </c>
      <c r="BG168" s="207"/>
      <c r="BH168" s="207" t="s">
        <v>200</v>
      </c>
      <c r="BI168" s="207" t="s">
        <v>1856</v>
      </c>
      <c r="BJ168" s="207"/>
      <c r="BK168" s="206">
        <v>42460</v>
      </c>
      <c r="BL168" s="206">
        <v>42535</v>
      </c>
      <c r="BM168" s="206"/>
      <c r="BN168" s="206"/>
      <c r="BO168" s="211"/>
      <c r="BP168" s="207"/>
      <c r="BQ168" s="207"/>
      <c r="BR168" s="206"/>
      <c r="BS168" s="206"/>
      <c r="BT168" s="212"/>
      <c r="BU168" s="212"/>
      <c r="BV168" s="206"/>
      <c r="BW168" s="212"/>
      <c r="BX168" s="206"/>
      <c r="BY168" s="212"/>
      <c r="BZ168" s="206"/>
      <c r="CA168" s="206">
        <v>42144</v>
      </c>
      <c r="CB168" s="213" t="s">
        <v>1857</v>
      </c>
      <c r="CC168" s="212"/>
      <c r="CD168" s="212">
        <v>150000000</v>
      </c>
      <c r="CE168" s="212"/>
      <c r="CF168" s="212"/>
      <c r="CG168" s="212">
        <v>150000000</v>
      </c>
      <c r="CH168" s="200"/>
      <c r="CI168" s="212"/>
      <c r="CJ168" s="255" t="s">
        <v>1858</v>
      </c>
    </row>
    <row r="169" spans="1:88" s="503" customFormat="1" ht="14.1" hidden="1" customHeight="1">
      <c r="A169" s="483" t="s">
        <v>3424</v>
      </c>
      <c r="B169" s="478" t="s">
        <v>3347</v>
      </c>
      <c r="C169" s="521" t="s">
        <v>3435</v>
      </c>
      <c r="D169" s="521" t="s">
        <v>3435</v>
      </c>
      <c r="E169" s="500">
        <v>107592625</v>
      </c>
      <c r="F169" s="251" t="s">
        <v>3184</v>
      </c>
      <c r="G169" s="501"/>
      <c r="H169" s="502"/>
      <c r="J169" s="199">
        <v>157</v>
      </c>
      <c r="K169" s="200"/>
      <c r="L169" s="200" t="s">
        <v>566</v>
      </c>
      <c r="M169" s="201" t="s">
        <v>109</v>
      </c>
      <c r="N169" s="536"/>
      <c r="O169" s="202">
        <v>1</v>
      </c>
      <c r="P169" s="201" t="s">
        <v>164</v>
      </c>
      <c r="Q169" s="201" t="s">
        <v>165</v>
      </c>
      <c r="R169" s="201" t="s">
        <v>166</v>
      </c>
      <c r="S169" s="201" t="s">
        <v>1859</v>
      </c>
      <c r="T169" s="201" t="s">
        <v>78</v>
      </c>
      <c r="U169" s="203">
        <v>200.6</v>
      </c>
      <c r="V169" s="203">
        <v>373.74</v>
      </c>
      <c r="W169" s="204"/>
      <c r="X169" s="205"/>
      <c r="Y169" s="203"/>
      <c r="Z169" s="206">
        <v>41029</v>
      </c>
      <c r="AA169" s="206" t="s">
        <v>79</v>
      </c>
      <c r="AB169" s="207">
        <v>1</v>
      </c>
      <c r="AC169" s="208" t="s">
        <v>80</v>
      </c>
      <c r="AD169" s="209">
        <v>180000000</v>
      </c>
      <c r="AE169" s="209">
        <v>180000000</v>
      </c>
      <c r="AF169" s="207"/>
      <c r="AG169" s="207"/>
      <c r="AH169" s="209"/>
      <c r="AI169" s="207"/>
      <c r="AJ169" s="208"/>
      <c r="AK169" s="209"/>
      <c r="AL169" s="209"/>
      <c r="AM169" s="206"/>
      <c r="AN169" s="207"/>
      <c r="AO169" s="208"/>
      <c r="AP169" s="209"/>
      <c r="AQ169" s="209"/>
      <c r="AR169" s="207"/>
      <c r="AS169" s="207"/>
      <c r="AT169" s="209"/>
      <c r="AU169" s="209"/>
      <c r="AV169" s="209"/>
      <c r="AW169" s="466" t="s">
        <v>1313</v>
      </c>
      <c r="AX169" s="466" t="s">
        <v>1313</v>
      </c>
      <c r="AY169" s="466" t="s">
        <v>1313</v>
      </c>
      <c r="AZ169" s="466" t="s">
        <v>1313</v>
      </c>
      <c r="BA169" s="466" t="s">
        <v>1313</v>
      </c>
      <c r="BB169" s="466" t="s">
        <v>1313</v>
      </c>
      <c r="BC169" s="207" t="s">
        <v>1320</v>
      </c>
      <c r="BD169" s="210">
        <v>106321576</v>
      </c>
      <c r="BE169" s="210"/>
      <c r="BF169" s="207" t="s">
        <v>101</v>
      </c>
      <c r="BG169" s="207"/>
      <c r="BH169" s="207" t="s">
        <v>167</v>
      </c>
      <c r="BI169" s="207" t="s">
        <v>1860</v>
      </c>
      <c r="BJ169" s="207"/>
      <c r="BK169" s="206">
        <v>42482</v>
      </c>
      <c r="BL169" s="206" t="s">
        <v>1713</v>
      </c>
      <c r="BM169" s="206"/>
      <c r="BN169" s="206"/>
      <c r="BO169" s="211"/>
      <c r="BP169" s="207"/>
      <c r="BQ169" s="207"/>
      <c r="BR169" s="206"/>
      <c r="BS169" s="206"/>
      <c r="BT169" s="212"/>
      <c r="BU169" s="212"/>
      <c r="BV169" s="206"/>
      <c r="BW169" s="212"/>
      <c r="BX169" s="206"/>
      <c r="BY169" s="212"/>
      <c r="BZ169" s="206"/>
      <c r="CA169" s="206">
        <v>41033</v>
      </c>
      <c r="CB169" s="213" t="s">
        <v>1861</v>
      </c>
      <c r="CC169" s="212">
        <v>142000000</v>
      </c>
      <c r="CD169" s="212">
        <v>205000000</v>
      </c>
      <c r="CE169" s="212"/>
      <c r="CF169" s="212"/>
      <c r="CG169" s="212">
        <v>347000000</v>
      </c>
      <c r="CH169" s="200"/>
      <c r="CI169" s="212"/>
      <c r="CJ169" s="255" t="s">
        <v>416</v>
      </c>
    </row>
    <row r="170" spans="1:88" s="503" customFormat="1" ht="14.1" hidden="1" customHeight="1">
      <c r="A170" s="483" t="s">
        <v>3425</v>
      </c>
      <c r="B170" s="478" t="s">
        <v>3348</v>
      </c>
      <c r="C170" s="251" t="s">
        <v>3423</v>
      </c>
      <c r="D170" s="517" t="s">
        <v>3423</v>
      </c>
      <c r="E170" s="500">
        <v>105047708</v>
      </c>
      <c r="F170" s="251" t="s">
        <v>3187</v>
      </c>
      <c r="G170" s="501"/>
      <c r="H170" s="502"/>
      <c r="J170" s="199">
        <v>158</v>
      </c>
      <c r="K170" s="200"/>
      <c r="L170" s="200" t="s">
        <v>567</v>
      </c>
      <c r="M170" s="201" t="s">
        <v>234</v>
      </c>
      <c r="N170" s="536"/>
      <c r="O170" s="202">
        <v>1</v>
      </c>
      <c r="P170" s="201" t="s">
        <v>83</v>
      </c>
      <c r="Q170" s="201" t="s">
        <v>227</v>
      </c>
      <c r="R170" s="201" t="s">
        <v>238</v>
      </c>
      <c r="S170" s="201" t="s">
        <v>1862</v>
      </c>
      <c r="T170" s="201" t="s">
        <v>106</v>
      </c>
      <c r="U170" s="203">
        <v>9.23</v>
      </c>
      <c r="V170" s="203">
        <v>23.96</v>
      </c>
      <c r="W170" s="204"/>
      <c r="X170" s="205"/>
      <c r="Y170" s="203"/>
      <c r="Z170" s="206">
        <v>42013</v>
      </c>
      <c r="AA170" s="206" t="s">
        <v>79</v>
      </c>
      <c r="AB170" s="207">
        <v>1</v>
      </c>
      <c r="AC170" s="208" t="s">
        <v>80</v>
      </c>
      <c r="AD170" s="209">
        <v>57600000</v>
      </c>
      <c r="AE170" s="209">
        <v>57600000</v>
      </c>
      <c r="AF170" s="207"/>
      <c r="AG170" s="207"/>
      <c r="AH170" s="209"/>
      <c r="AI170" s="207"/>
      <c r="AJ170" s="208"/>
      <c r="AK170" s="209"/>
      <c r="AL170" s="209"/>
      <c r="AM170" s="206"/>
      <c r="AN170" s="207"/>
      <c r="AO170" s="208"/>
      <c r="AP170" s="209"/>
      <c r="AQ170" s="209"/>
      <c r="AR170" s="207"/>
      <c r="AS170" s="207"/>
      <c r="AT170" s="209"/>
      <c r="AU170" s="209"/>
      <c r="AV170" s="209"/>
      <c r="AW170" s="466" t="s">
        <v>1313</v>
      </c>
      <c r="AX170" s="466" t="s">
        <v>1313</v>
      </c>
      <c r="AY170" s="466" t="s">
        <v>1313</v>
      </c>
      <c r="AZ170" s="466" t="s">
        <v>1313</v>
      </c>
      <c r="BA170" s="466" t="s">
        <v>1313</v>
      </c>
      <c r="BB170" s="466" t="s">
        <v>1313</v>
      </c>
      <c r="BC170" s="207" t="s">
        <v>82</v>
      </c>
      <c r="BD170" s="210"/>
      <c r="BE170" s="210"/>
      <c r="BF170" s="207"/>
      <c r="BG170" s="207"/>
      <c r="BH170" s="207"/>
      <c r="BI170" s="207"/>
      <c r="BJ170" s="207"/>
      <c r="BK170" s="206"/>
      <c r="BL170" s="206"/>
      <c r="BM170" s="206"/>
      <c r="BN170" s="206"/>
      <c r="BO170" s="211"/>
      <c r="BP170" s="207"/>
      <c r="BQ170" s="207"/>
      <c r="BR170" s="206"/>
      <c r="BS170" s="206"/>
      <c r="BT170" s="212"/>
      <c r="BU170" s="212"/>
      <c r="BV170" s="206"/>
      <c r="BW170" s="212"/>
      <c r="BX170" s="206"/>
      <c r="BY170" s="212"/>
      <c r="BZ170" s="206"/>
      <c r="CA170" s="206">
        <v>41988</v>
      </c>
      <c r="CB170" s="213" t="s">
        <v>1863</v>
      </c>
      <c r="CC170" s="212"/>
      <c r="CD170" s="212">
        <v>75000000</v>
      </c>
      <c r="CE170" s="212"/>
      <c r="CF170" s="212"/>
      <c r="CG170" s="212">
        <v>75000000</v>
      </c>
      <c r="CH170" s="200"/>
      <c r="CI170" s="212"/>
      <c r="CJ170" s="255" t="s">
        <v>416</v>
      </c>
    </row>
    <row r="171" spans="1:88" s="503" customFormat="1" ht="14.1" hidden="1" customHeight="1">
      <c r="A171" s="483" t="s">
        <v>3426</v>
      </c>
      <c r="B171" s="478" t="s">
        <v>3349</v>
      </c>
      <c r="C171" s="251" t="s">
        <v>3423</v>
      </c>
      <c r="D171" s="517"/>
      <c r="E171" s="500"/>
      <c r="F171" s="251" t="s">
        <v>3187</v>
      </c>
      <c r="G171" s="501"/>
      <c r="H171" s="502"/>
      <c r="J171" s="199">
        <v>159</v>
      </c>
      <c r="K171" s="200"/>
      <c r="L171" s="200" t="s">
        <v>567</v>
      </c>
      <c r="M171" s="201" t="s">
        <v>234</v>
      </c>
      <c r="N171" s="536"/>
      <c r="O171" s="202">
        <v>2</v>
      </c>
      <c r="P171" s="201" t="s">
        <v>83</v>
      </c>
      <c r="Q171" s="201" t="s">
        <v>227</v>
      </c>
      <c r="R171" s="201" t="s">
        <v>238</v>
      </c>
      <c r="S171" s="201" t="s">
        <v>1864</v>
      </c>
      <c r="T171" s="201" t="s">
        <v>106</v>
      </c>
      <c r="U171" s="203">
        <v>11.35</v>
      </c>
      <c r="V171" s="203">
        <v>29.49</v>
      </c>
      <c r="W171" s="204"/>
      <c r="X171" s="205"/>
      <c r="Y171" s="203"/>
      <c r="Z171" s="206">
        <v>41941</v>
      </c>
      <c r="AA171" s="206" t="s">
        <v>79</v>
      </c>
      <c r="AB171" s="207">
        <v>1</v>
      </c>
      <c r="AC171" s="208" t="s">
        <v>80</v>
      </c>
      <c r="AD171" s="209">
        <v>72000000</v>
      </c>
      <c r="AE171" s="209">
        <v>72000000</v>
      </c>
      <c r="AF171" s="207"/>
      <c r="AG171" s="207"/>
      <c r="AH171" s="209"/>
      <c r="AI171" s="207"/>
      <c r="AJ171" s="208"/>
      <c r="AK171" s="209"/>
      <c r="AL171" s="209"/>
      <c r="AM171" s="206"/>
      <c r="AN171" s="207"/>
      <c r="AO171" s="208"/>
      <c r="AP171" s="209"/>
      <c r="AQ171" s="209"/>
      <c r="AR171" s="207"/>
      <c r="AS171" s="207"/>
      <c r="AT171" s="209"/>
      <c r="AU171" s="209"/>
      <c r="AV171" s="209"/>
      <c r="AW171" s="466" t="s">
        <v>1313</v>
      </c>
      <c r="AX171" s="466" t="s">
        <v>1313</v>
      </c>
      <c r="AY171" s="466" t="s">
        <v>1313</v>
      </c>
      <c r="AZ171" s="466" t="s">
        <v>1313</v>
      </c>
      <c r="BA171" s="466" t="s">
        <v>1313</v>
      </c>
      <c r="BB171" s="466" t="s">
        <v>1313</v>
      </c>
      <c r="BC171" s="207" t="s">
        <v>82</v>
      </c>
      <c r="BD171" s="210"/>
      <c r="BE171" s="210"/>
      <c r="BF171" s="207"/>
      <c r="BG171" s="207"/>
      <c r="BH171" s="207"/>
      <c r="BI171" s="207"/>
      <c r="BJ171" s="207"/>
      <c r="BK171" s="206"/>
      <c r="BL171" s="206"/>
      <c r="BM171" s="206"/>
      <c r="BN171" s="206"/>
      <c r="BO171" s="211"/>
      <c r="BP171" s="207"/>
      <c r="BQ171" s="207"/>
      <c r="BR171" s="206"/>
      <c r="BS171" s="206"/>
      <c r="BT171" s="212"/>
      <c r="BU171" s="212"/>
      <c r="BV171" s="206"/>
      <c r="BW171" s="212"/>
      <c r="BX171" s="206"/>
      <c r="BY171" s="212"/>
      <c r="BZ171" s="206"/>
      <c r="CA171" s="206">
        <v>41940</v>
      </c>
      <c r="CB171" s="213" t="s">
        <v>1863</v>
      </c>
      <c r="CC171" s="212"/>
      <c r="CD171" s="212">
        <v>93000000</v>
      </c>
      <c r="CE171" s="212"/>
      <c r="CF171" s="212"/>
      <c r="CG171" s="212">
        <v>93000000</v>
      </c>
      <c r="CH171" s="200"/>
      <c r="CI171" s="212"/>
      <c r="CJ171" s="255" t="s">
        <v>416</v>
      </c>
    </row>
    <row r="172" spans="1:88" s="503" customFormat="1" ht="14.1" hidden="1" customHeight="1">
      <c r="A172" s="483" t="s">
        <v>3424</v>
      </c>
      <c r="B172" s="478" t="s">
        <v>3350</v>
      </c>
      <c r="C172" s="251" t="s">
        <v>3423</v>
      </c>
      <c r="D172" s="517" t="s">
        <v>3423</v>
      </c>
      <c r="E172" s="500">
        <v>103578596</v>
      </c>
      <c r="F172" s="251" t="s">
        <v>3184</v>
      </c>
      <c r="G172" s="501"/>
      <c r="H172" s="502"/>
      <c r="J172" s="199">
        <v>160</v>
      </c>
      <c r="K172" s="200"/>
      <c r="L172" s="200" t="s">
        <v>568</v>
      </c>
      <c r="M172" s="201" t="s">
        <v>663</v>
      </c>
      <c r="N172" s="536"/>
      <c r="O172" s="202">
        <v>1</v>
      </c>
      <c r="P172" s="201" t="s">
        <v>164</v>
      </c>
      <c r="Q172" s="201" t="s">
        <v>215</v>
      </c>
      <c r="R172" s="201" t="s">
        <v>1865</v>
      </c>
      <c r="S172" s="201" t="s">
        <v>1866</v>
      </c>
      <c r="T172" s="201" t="s">
        <v>106</v>
      </c>
      <c r="U172" s="203">
        <v>86.11</v>
      </c>
      <c r="V172" s="203">
        <v>136.51</v>
      </c>
      <c r="W172" s="204"/>
      <c r="X172" s="205"/>
      <c r="Y172" s="203"/>
      <c r="Z172" s="206">
        <v>41264</v>
      </c>
      <c r="AA172" s="206" t="s">
        <v>79</v>
      </c>
      <c r="AB172" s="207">
        <v>1</v>
      </c>
      <c r="AC172" s="208" t="s">
        <v>80</v>
      </c>
      <c r="AD172" s="209">
        <v>126000000</v>
      </c>
      <c r="AE172" s="209">
        <v>126000000</v>
      </c>
      <c r="AF172" s="207"/>
      <c r="AG172" s="207"/>
      <c r="AH172" s="209"/>
      <c r="AI172" s="207"/>
      <c r="AJ172" s="208"/>
      <c r="AK172" s="209"/>
      <c r="AL172" s="209"/>
      <c r="AM172" s="206"/>
      <c r="AN172" s="207"/>
      <c r="AO172" s="208"/>
      <c r="AP172" s="209"/>
      <c r="AQ172" s="209"/>
      <c r="AR172" s="207"/>
      <c r="AS172" s="207"/>
      <c r="AT172" s="209"/>
      <c r="AU172" s="209"/>
      <c r="AV172" s="209"/>
      <c r="AW172" s="466" t="s">
        <v>1313</v>
      </c>
      <c r="AX172" s="466" t="s">
        <v>1313</v>
      </c>
      <c r="AY172" s="466" t="s">
        <v>1313</v>
      </c>
      <c r="AZ172" s="466" t="s">
        <v>1313</v>
      </c>
      <c r="BA172" s="466" t="s">
        <v>1313</v>
      </c>
      <c r="BB172" s="466" t="s">
        <v>1313</v>
      </c>
      <c r="BC172" s="207" t="s">
        <v>1320</v>
      </c>
      <c r="BD172" s="210">
        <v>104703233</v>
      </c>
      <c r="BE172" s="210"/>
      <c r="BF172" s="207" t="s">
        <v>101</v>
      </c>
      <c r="BG172" s="207"/>
      <c r="BH172" s="207" t="s">
        <v>167</v>
      </c>
      <c r="BI172" s="207" t="s">
        <v>1867</v>
      </c>
      <c r="BJ172" s="207"/>
      <c r="BK172" s="206">
        <v>42457</v>
      </c>
      <c r="BL172" s="206">
        <v>42523</v>
      </c>
      <c r="BM172" s="206"/>
      <c r="BN172" s="206"/>
      <c r="BO172" s="211"/>
      <c r="BP172" s="207"/>
      <c r="BQ172" s="207"/>
      <c r="BR172" s="206"/>
      <c r="BS172" s="206"/>
      <c r="BT172" s="212"/>
      <c r="BU172" s="212"/>
      <c r="BV172" s="206"/>
      <c r="BW172" s="212"/>
      <c r="BX172" s="206"/>
      <c r="BY172" s="212"/>
      <c r="BZ172" s="206"/>
      <c r="CA172" s="206">
        <v>42482</v>
      </c>
      <c r="CB172" s="213" t="s">
        <v>134</v>
      </c>
      <c r="CC172" s="212"/>
      <c r="CD172" s="212">
        <v>175000000</v>
      </c>
      <c r="CE172" s="212"/>
      <c r="CF172" s="212"/>
      <c r="CG172" s="212">
        <v>175000000</v>
      </c>
      <c r="CH172" s="200"/>
      <c r="CI172" s="212"/>
      <c r="CJ172" s="255" t="s">
        <v>416</v>
      </c>
    </row>
    <row r="173" spans="1:88" s="503" customFormat="1" ht="14.1" hidden="1" customHeight="1">
      <c r="A173" s="483" t="s">
        <v>3424</v>
      </c>
      <c r="B173" s="478" t="s">
        <v>3351</v>
      </c>
      <c r="C173" s="521" t="s">
        <v>3435</v>
      </c>
      <c r="D173" s="521" t="s">
        <v>3435</v>
      </c>
      <c r="E173" s="500">
        <v>103313145</v>
      </c>
      <c r="F173" s="251" t="s">
        <v>3186</v>
      </c>
      <c r="G173" s="501"/>
      <c r="H173" s="502"/>
      <c r="J173" s="199">
        <v>161</v>
      </c>
      <c r="K173" s="200"/>
      <c r="L173" s="200" t="s">
        <v>569</v>
      </c>
      <c r="M173" s="201" t="s">
        <v>109</v>
      </c>
      <c r="N173" s="536"/>
      <c r="O173" s="202">
        <v>1</v>
      </c>
      <c r="P173" s="201" t="s">
        <v>93</v>
      </c>
      <c r="Q173" s="201" t="s">
        <v>100</v>
      </c>
      <c r="R173" s="201" t="s">
        <v>1868</v>
      </c>
      <c r="S173" s="201" t="s">
        <v>1869</v>
      </c>
      <c r="T173" s="201" t="s">
        <v>220</v>
      </c>
      <c r="U173" s="203">
        <v>89.125</v>
      </c>
      <c r="V173" s="203">
        <v>63.95</v>
      </c>
      <c r="W173" s="204"/>
      <c r="X173" s="205"/>
      <c r="Y173" s="203"/>
      <c r="Z173" s="206">
        <v>42061</v>
      </c>
      <c r="AA173" s="206" t="s">
        <v>79</v>
      </c>
      <c r="AB173" s="207">
        <v>1</v>
      </c>
      <c r="AC173" s="208" t="s">
        <v>80</v>
      </c>
      <c r="AD173" s="209">
        <v>100800000</v>
      </c>
      <c r="AE173" s="209">
        <v>100800000</v>
      </c>
      <c r="AF173" s="207"/>
      <c r="AG173" s="207"/>
      <c r="AH173" s="209"/>
      <c r="AI173" s="207"/>
      <c r="AJ173" s="208"/>
      <c r="AK173" s="209"/>
      <c r="AL173" s="209"/>
      <c r="AM173" s="206"/>
      <c r="AN173" s="207"/>
      <c r="AO173" s="208"/>
      <c r="AP173" s="209"/>
      <c r="AQ173" s="209"/>
      <c r="AR173" s="207"/>
      <c r="AS173" s="207"/>
      <c r="AT173" s="209"/>
      <c r="AU173" s="209"/>
      <c r="AV173" s="209"/>
      <c r="AW173" s="466" t="s">
        <v>1313</v>
      </c>
      <c r="AX173" s="466" t="s">
        <v>1313</v>
      </c>
      <c r="AY173" s="466" t="s">
        <v>1313</v>
      </c>
      <c r="AZ173" s="466" t="s">
        <v>1313</v>
      </c>
      <c r="BA173" s="466" t="s">
        <v>1313</v>
      </c>
      <c r="BB173" s="466" t="s">
        <v>1313</v>
      </c>
      <c r="BC173" s="207" t="s">
        <v>1320</v>
      </c>
      <c r="BD173" s="210">
        <v>100800000</v>
      </c>
      <c r="BE173" s="210"/>
      <c r="BF173" s="207" t="s">
        <v>101</v>
      </c>
      <c r="BG173" s="207"/>
      <c r="BH173" s="207" t="s">
        <v>102</v>
      </c>
      <c r="BI173" s="207" t="s">
        <v>1870</v>
      </c>
      <c r="BJ173" s="207"/>
      <c r="BK173" s="206">
        <v>42415</v>
      </c>
      <c r="BL173" s="206">
        <v>42479</v>
      </c>
      <c r="BM173" s="206"/>
      <c r="BN173" s="206"/>
      <c r="BO173" s="211"/>
      <c r="BP173" s="207"/>
      <c r="BQ173" s="207"/>
      <c r="BR173" s="206"/>
      <c r="BS173" s="206"/>
      <c r="BT173" s="212"/>
      <c r="BU173" s="212"/>
      <c r="BV173" s="206"/>
      <c r="BW173" s="212"/>
      <c r="BX173" s="206"/>
      <c r="BY173" s="212"/>
      <c r="BZ173" s="206"/>
      <c r="CA173" s="206">
        <v>42034</v>
      </c>
      <c r="CB173" s="213" t="s">
        <v>116</v>
      </c>
      <c r="CC173" s="212"/>
      <c r="CD173" s="212">
        <v>120000000</v>
      </c>
      <c r="CE173" s="212"/>
      <c r="CF173" s="212"/>
      <c r="CG173" s="212">
        <v>120000000</v>
      </c>
      <c r="CH173" s="200"/>
      <c r="CI173" s="212"/>
      <c r="CJ173" s="255"/>
    </row>
    <row r="174" spans="1:88" s="503" customFormat="1" ht="14.1" hidden="1" customHeight="1">
      <c r="A174" s="483" t="s">
        <v>3424</v>
      </c>
      <c r="B174" s="478" t="s">
        <v>3352</v>
      </c>
      <c r="C174" s="521" t="s">
        <v>3435</v>
      </c>
      <c r="D174" s="521" t="s">
        <v>3435</v>
      </c>
      <c r="E174" s="500">
        <v>102053280</v>
      </c>
      <c r="F174" s="251" t="s">
        <v>3186</v>
      </c>
      <c r="G174" s="501"/>
      <c r="H174" s="502"/>
      <c r="J174" s="199">
        <v>162</v>
      </c>
      <c r="K174" s="200"/>
      <c r="L174" s="200" t="s">
        <v>570</v>
      </c>
      <c r="M174" s="201" t="s">
        <v>226</v>
      </c>
      <c r="N174" s="536"/>
      <c r="O174" s="202">
        <v>1</v>
      </c>
      <c r="P174" s="201" t="s">
        <v>103</v>
      </c>
      <c r="Q174" s="201" t="s">
        <v>195</v>
      </c>
      <c r="R174" s="201" t="s">
        <v>1871</v>
      </c>
      <c r="S174" s="201" t="s">
        <v>1872</v>
      </c>
      <c r="T174" s="201" t="s">
        <v>129</v>
      </c>
      <c r="U174" s="203">
        <v>53</v>
      </c>
      <c r="V174" s="203">
        <v>25.98</v>
      </c>
      <c r="W174" s="204"/>
      <c r="X174" s="205"/>
      <c r="Y174" s="203"/>
      <c r="Z174" s="206">
        <v>38901</v>
      </c>
      <c r="AA174" s="206" t="s">
        <v>79</v>
      </c>
      <c r="AB174" s="207">
        <v>1</v>
      </c>
      <c r="AC174" s="208" t="s">
        <v>80</v>
      </c>
      <c r="AD174" s="209">
        <v>120000000</v>
      </c>
      <c r="AE174" s="209">
        <v>120000000</v>
      </c>
      <c r="AF174" s="207"/>
      <c r="AG174" s="207"/>
      <c r="AH174" s="209"/>
      <c r="AI174" s="207"/>
      <c r="AJ174" s="208"/>
      <c r="AK174" s="209"/>
      <c r="AL174" s="209"/>
      <c r="AM174" s="206"/>
      <c r="AN174" s="207"/>
      <c r="AO174" s="208"/>
      <c r="AP174" s="209"/>
      <c r="AQ174" s="209"/>
      <c r="AR174" s="207"/>
      <c r="AS174" s="207"/>
      <c r="AT174" s="209"/>
      <c r="AU174" s="209"/>
      <c r="AV174" s="209"/>
      <c r="AW174" s="466" t="s">
        <v>1313</v>
      </c>
      <c r="AX174" s="466" t="s">
        <v>1313</v>
      </c>
      <c r="AY174" s="466" t="s">
        <v>1313</v>
      </c>
      <c r="AZ174" s="466" t="s">
        <v>1313</v>
      </c>
      <c r="BA174" s="466" t="s">
        <v>1313</v>
      </c>
      <c r="BB174" s="466" t="s">
        <v>1313</v>
      </c>
      <c r="BC174" s="207" t="s">
        <v>1320</v>
      </c>
      <c r="BD174" s="210">
        <v>102390603</v>
      </c>
      <c r="BE174" s="210"/>
      <c r="BF174" s="207" t="s">
        <v>101</v>
      </c>
      <c r="BG174" s="207"/>
      <c r="BH174" s="207" t="s">
        <v>196</v>
      </c>
      <c r="BI174" s="207" t="s">
        <v>1873</v>
      </c>
      <c r="BJ174" s="207"/>
      <c r="BK174" s="206">
        <v>42475</v>
      </c>
      <c r="BL174" s="206">
        <v>42556</v>
      </c>
      <c r="BM174" s="206"/>
      <c r="BN174" s="206"/>
      <c r="BO174" s="211"/>
      <c r="BP174" s="207"/>
      <c r="BQ174" s="207"/>
      <c r="BR174" s="206"/>
      <c r="BS174" s="206"/>
      <c r="BT174" s="212"/>
      <c r="BU174" s="212"/>
      <c r="BV174" s="206"/>
      <c r="BW174" s="212"/>
      <c r="BX174" s="206"/>
      <c r="BY174" s="212"/>
      <c r="BZ174" s="206"/>
      <c r="CA174" s="206">
        <v>38882</v>
      </c>
      <c r="CB174" s="213" t="s">
        <v>1874</v>
      </c>
      <c r="CC174" s="212">
        <v>344394000</v>
      </c>
      <c r="CD174" s="212">
        <v>13966560</v>
      </c>
      <c r="CE174" s="212"/>
      <c r="CF174" s="212"/>
      <c r="CG174" s="212">
        <v>358360560</v>
      </c>
      <c r="CH174" s="200"/>
      <c r="CI174" s="212"/>
      <c r="CJ174" s="255" t="s">
        <v>1875</v>
      </c>
    </row>
    <row r="175" spans="1:88" s="503" customFormat="1" ht="14.1" hidden="1" customHeight="1">
      <c r="A175" s="483" t="s">
        <v>3424</v>
      </c>
      <c r="B175" s="478" t="s">
        <v>3353</v>
      </c>
      <c r="C175" s="251" t="s">
        <v>3423</v>
      </c>
      <c r="D175" s="517" t="s">
        <v>3423</v>
      </c>
      <c r="E175" s="500">
        <v>100066814</v>
      </c>
      <c r="F175" s="251" t="s">
        <v>3187</v>
      </c>
      <c r="G175" s="501"/>
      <c r="H175" s="502"/>
      <c r="J175" s="199">
        <v>163</v>
      </c>
      <c r="K175" s="200"/>
      <c r="L175" s="200" t="s">
        <v>571</v>
      </c>
      <c r="M175" s="201" t="s">
        <v>671</v>
      </c>
      <c r="N175" s="536"/>
      <c r="O175" s="202">
        <v>1</v>
      </c>
      <c r="P175" s="201" t="s">
        <v>103</v>
      </c>
      <c r="Q175" s="201" t="s">
        <v>1762</v>
      </c>
      <c r="R175" s="201" t="s">
        <v>1876</v>
      </c>
      <c r="S175" s="201" t="s">
        <v>1877</v>
      </c>
      <c r="T175" s="201" t="s">
        <v>106</v>
      </c>
      <c r="U175" s="203">
        <v>46.52</v>
      </c>
      <c r="V175" s="203">
        <v>83.97</v>
      </c>
      <c r="W175" s="204"/>
      <c r="X175" s="205"/>
      <c r="Y175" s="203"/>
      <c r="Z175" s="206">
        <v>38978</v>
      </c>
      <c r="AA175" s="206" t="s">
        <v>79</v>
      </c>
      <c r="AB175" s="207" t="s">
        <v>98</v>
      </c>
      <c r="AC175" s="208" t="s">
        <v>80</v>
      </c>
      <c r="AD175" s="209">
        <v>144000000</v>
      </c>
      <c r="AE175" s="209">
        <v>144000000</v>
      </c>
      <c r="AF175" s="207"/>
      <c r="AG175" s="207"/>
      <c r="AH175" s="209"/>
      <c r="AI175" s="207"/>
      <c r="AJ175" s="208"/>
      <c r="AK175" s="209"/>
      <c r="AL175" s="209"/>
      <c r="AM175" s="206"/>
      <c r="AN175" s="207"/>
      <c r="AO175" s="208"/>
      <c r="AP175" s="209"/>
      <c r="AQ175" s="209"/>
      <c r="AR175" s="207"/>
      <c r="AS175" s="207"/>
      <c r="AT175" s="209"/>
      <c r="AU175" s="209"/>
      <c r="AV175" s="209"/>
      <c r="AW175" s="466" t="s">
        <v>1313</v>
      </c>
      <c r="AX175" s="466" t="s">
        <v>1313</v>
      </c>
      <c r="AY175" s="466" t="s">
        <v>1313</v>
      </c>
      <c r="AZ175" s="466" t="s">
        <v>1313</v>
      </c>
      <c r="BA175" s="466" t="s">
        <v>1313</v>
      </c>
      <c r="BB175" s="466" t="s">
        <v>1313</v>
      </c>
      <c r="BC175" s="207" t="s">
        <v>1320</v>
      </c>
      <c r="BD175" s="210"/>
      <c r="BE175" s="210">
        <v>140000000</v>
      </c>
      <c r="BF175" s="207" t="s">
        <v>1878</v>
      </c>
      <c r="BG175" s="207"/>
      <c r="BH175" s="207" t="s">
        <v>114</v>
      </c>
      <c r="BI175" s="207" t="s">
        <v>1879</v>
      </c>
      <c r="BJ175" s="207"/>
      <c r="BK175" s="206">
        <v>42380</v>
      </c>
      <c r="BL175" s="206">
        <v>42451</v>
      </c>
      <c r="BM175" s="206"/>
      <c r="BN175" s="206"/>
      <c r="BO175" s="211"/>
      <c r="BP175" s="207"/>
      <c r="BQ175" s="207"/>
      <c r="BR175" s="206"/>
      <c r="BS175" s="206"/>
      <c r="BT175" s="212"/>
      <c r="BU175" s="212"/>
      <c r="BV175" s="206"/>
      <c r="BW175" s="212"/>
      <c r="BX175" s="206"/>
      <c r="BY175" s="212"/>
      <c r="BZ175" s="206"/>
      <c r="CA175" s="206">
        <v>42482</v>
      </c>
      <c r="CB175" s="213" t="s">
        <v>134</v>
      </c>
      <c r="CC175" s="212"/>
      <c r="CD175" s="212">
        <v>285000000</v>
      </c>
      <c r="CE175" s="212"/>
      <c r="CF175" s="212"/>
      <c r="CG175" s="212">
        <v>285000000</v>
      </c>
      <c r="CH175" s="200"/>
      <c r="CI175" s="212"/>
      <c r="CJ175" s="255" t="s">
        <v>1880</v>
      </c>
    </row>
    <row r="176" spans="1:88" s="503" customFormat="1" ht="14.1" hidden="1" customHeight="1">
      <c r="A176" s="483" t="s">
        <v>3424</v>
      </c>
      <c r="B176" s="478" t="s">
        <v>3354</v>
      </c>
      <c r="C176" s="521" t="s">
        <v>3435</v>
      </c>
      <c r="D176" s="521" t="s">
        <v>3435</v>
      </c>
      <c r="E176" s="500">
        <v>98529588</v>
      </c>
      <c r="F176" s="251" t="s">
        <v>3184</v>
      </c>
      <c r="G176" s="501"/>
      <c r="H176" s="502"/>
      <c r="J176" s="199">
        <v>164</v>
      </c>
      <c r="K176" s="200"/>
      <c r="L176" s="200" t="s">
        <v>572</v>
      </c>
      <c r="M176" s="201" t="s">
        <v>179</v>
      </c>
      <c r="N176" s="536"/>
      <c r="O176" s="202">
        <v>1</v>
      </c>
      <c r="P176" s="201" t="s">
        <v>93</v>
      </c>
      <c r="Q176" s="201" t="s">
        <v>1881</v>
      </c>
      <c r="R176" s="201" t="s">
        <v>1882</v>
      </c>
      <c r="S176" s="201" t="s">
        <v>1883</v>
      </c>
      <c r="T176" s="201" t="s">
        <v>220</v>
      </c>
      <c r="U176" s="203">
        <v>31.78</v>
      </c>
      <c r="V176" s="203">
        <v>60.63</v>
      </c>
      <c r="W176" s="204"/>
      <c r="X176" s="205"/>
      <c r="Y176" s="203"/>
      <c r="Z176" s="206">
        <v>41940</v>
      </c>
      <c r="AA176" s="206" t="s">
        <v>79</v>
      </c>
      <c r="AB176" s="207">
        <v>1</v>
      </c>
      <c r="AC176" s="208" t="s">
        <v>80</v>
      </c>
      <c r="AD176" s="209">
        <v>138000000</v>
      </c>
      <c r="AE176" s="209">
        <v>138000000</v>
      </c>
      <c r="AF176" s="207"/>
      <c r="AG176" s="207"/>
      <c r="AH176" s="209"/>
      <c r="AI176" s="207"/>
      <c r="AJ176" s="208"/>
      <c r="AK176" s="209"/>
      <c r="AL176" s="209"/>
      <c r="AM176" s="206"/>
      <c r="AN176" s="207"/>
      <c r="AO176" s="208"/>
      <c r="AP176" s="209"/>
      <c r="AQ176" s="209"/>
      <c r="AR176" s="207"/>
      <c r="AS176" s="207"/>
      <c r="AT176" s="209"/>
      <c r="AU176" s="209"/>
      <c r="AV176" s="209"/>
      <c r="AW176" s="466" t="s">
        <v>1313</v>
      </c>
      <c r="AX176" s="466" t="s">
        <v>1313</v>
      </c>
      <c r="AY176" s="466" t="s">
        <v>1313</v>
      </c>
      <c r="AZ176" s="466" t="s">
        <v>1313</v>
      </c>
      <c r="BA176" s="466" t="s">
        <v>1313</v>
      </c>
      <c r="BB176" s="466" t="s">
        <v>1313</v>
      </c>
      <c r="BC176" s="207" t="s">
        <v>82</v>
      </c>
      <c r="BD176" s="210"/>
      <c r="BE176" s="210"/>
      <c r="BF176" s="207"/>
      <c r="BG176" s="207"/>
      <c r="BH176" s="207"/>
      <c r="BI176" s="207"/>
      <c r="BJ176" s="207"/>
      <c r="BK176" s="206"/>
      <c r="BL176" s="206"/>
      <c r="BM176" s="206"/>
      <c r="BN176" s="206"/>
      <c r="BO176" s="211"/>
      <c r="BP176" s="207"/>
      <c r="BQ176" s="207"/>
      <c r="BR176" s="206"/>
      <c r="BS176" s="206"/>
      <c r="BT176" s="212"/>
      <c r="BU176" s="212"/>
      <c r="BV176" s="206"/>
      <c r="BW176" s="212"/>
      <c r="BX176" s="206"/>
      <c r="BY176" s="212"/>
      <c r="BZ176" s="206"/>
      <c r="CA176" s="206">
        <v>41928</v>
      </c>
      <c r="CB176" s="213" t="s">
        <v>1779</v>
      </c>
      <c r="CC176" s="212"/>
      <c r="CD176" s="212">
        <v>165000000</v>
      </c>
      <c r="CE176" s="212"/>
      <c r="CF176" s="212"/>
      <c r="CG176" s="212">
        <v>165000000</v>
      </c>
      <c r="CH176" s="200"/>
      <c r="CI176" s="212"/>
      <c r="CJ176" s="255" t="s">
        <v>416</v>
      </c>
    </row>
    <row r="177" spans="1:88" s="503" customFormat="1" ht="14.1" hidden="1" customHeight="1">
      <c r="A177" s="483" t="s">
        <v>3424</v>
      </c>
      <c r="B177" s="478" t="s">
        <v>3355</v>
      </c>
      <c r="C177" s="521" t="s">
        <v>3435</v>
      </c>
      <c r="D177" s="521" t="s">
        <v>3435</v>
      </c>
      <c r="E177" s="500">
        <v>95989678</v>
      </c>
      <c r="F177" s="251" t="s">
        <v>3189</v>
      </c>
      <c r="G177" s="501"/>
      <c r="H177" s="502"/>
      <c r="J177" s="199">
        <v>165</v>
      </c>
      <c r="K177" s="200"/>
      <c r="L177" s="200" t="s">
        <v>573</v>
      </c>
      <c r="M177" s="201" t="s">
        <v>152</v>
      </c>
      <c r="N177" s="536"/>
      <c r="O177" s="202">
        <v>1</v>
      </c>
      <c r="P177" s="201" t="s">
        <v>93</v>
      </c>
      <c r="Q177" s="201" t="s">
        <v>222</v>
      </c>
      <c r="R177" s="201" t="s">
        <v>1884</v>
      </c>
      <c r="S177" s="201" t="s">
        <v>1885</v>
      </c>
      <c r="T177" s="201" t="s">
        <v>220</v>
      </c>
      <c r="U177" s="203">
        <v>60.53</v>
      </c>
      <c r="V177" s="203">
        <v>48.73</v>
      </c>
      <c r="W177" s="204"/>
      <c r="X177" s="205"/>
      <c r="Y177" s="203"/>
      <c r="Z177" s="206">
        <v>41849</v>
      </c>
      <c r="AA177" s="206" t="s">
        <v>79</v>
      </c>
      <c r="AB177" s="207">
        <v>1</v>
      </c>
      <c r="AC177" s="208" t="s">
        <v>80</v>
      </c>
      <c r="AD177" s="209">
        <v>115200000</v>
      </c>
      <c r="AE177" s="209">
        <v>115200000</v>
      </c>
      <c r="AF177" s="207"/>
      <c r="AG177" s="207"/>
      <c r="AH177" s="209"/>
      <c r="AI177" s="207"/>
      <c r="AJ177" s="208"/>
      <c r="AK177" s="209"/>
      <c r="AL177" s="209"/>
      <c r="AM177" s="206"/>
      <c r="AN177" s="207"/>
      <c r="AO177" s="208"/>
      <c r="AP177" s="209"/>
      <c r="AQ177" s="209"/>
      <c r="AR177" s="207"/>
      <c r="AS177" s="207"/>
      <c r="AT177" s="209"/>
      <c r="AU177" s="209"/>
      <c r="AV177" s="209"/>
      <c r="AW177" s="466" t="s">
        <v>1313</v>
      </c>
      <c r="AX177" s="466" t="s">
        <v>1313</v>
      </c>
      <c r="AY177" s="466" t="s">
        <v>1313</v>
      </c>
      <c r="AZ177" s="466" t="s">
        <v>1313</v>
      </c>
      <c r="BA177" s="466" t="s">
        <v>1313</v>
      </c>
      <c r="BB177" s="466" t="s">
        <v>1313</v>
      </c>
      <c r="BC177" s="207" t="s">
        <v>1320</v>
      </c>
      <c r="BD177" s="210">
        <v>95113242</v>
      </c>
      <c r="BE177" s="210"/>
      <c r="BF177" s="207" t="s">
        <v>101</v>
      </c>
      <c r="BG177" s="207"/>
      <c r="BH177" s="207" t="s">
        <v>144</v>
      </c>
      <c r="BI177" s="207" t="s">
        <v>1886</v>
      </c>
      <c r="BJ177" s="207"/>
      <c r="BK177" s="206">
        <v>42457</v>
      </c>
      <c r="BL177" s="206">
        <v>42545</v>
      </c>
      <c r="BM177" s="206"/>
      <c r="BN177" s="206"/>
      <c r="BO177" s="211"/>
      <c r="BP177" s="207"/>
      <c r="BQ177" s="207"/>
      <c r="BR177" s="206"/>
      <c r="BS177" s="206"/>
      <c r="BT177" s="212"/>
      <c r="BU177" s="212"/>
      <c r="BV177" s="206"/>
      <c r="BW177" s="212"/>
      <c r="BX177" s="206"/>
      <c r="BY177" s="212"/>
      <c r="BZ177" s="206"/>
      <c r="CA177" s="206">
        <v>41848</v>
      </c>
      <c r="CB177" s="213" t="s">
        <v>1779</v>
      </c>
      <c r="CC177" s="212"/>
      <c r="CD177" s="212">
        <v>160000000</v>
      </c>
      <c r="CE177" s="212"/>
      <c r="CF177" s="212"/>
      <c r="CG177" s="212">
        <v>160000000</v>
      </c>
      <c r="CH177" s="200"/>
      <c r="CI177" s="212"/>
      <c r="CJ177" s="255" t="s">
        <v>416</v>
      </c>
    </row>
    <row r="178" spans="1:88" s="503" customFormat="1" ht="14.1" hidden="1" customHeight="1">
      <c r="A178" s="483" t="s">
        <v>3424</v>
      </c>
      <c r="B178" s="478" t="s">
        <v>3356</v>
      </c>
      <c r="C178" s="521" t="s">
        <v>3435</v>
      </c>
      <c r="D178" s="521" t="s">
        <v>3435</v>
      </c>
      <c r="E178" s="500">
        <v>90729352</v>
      </c>
      <c r="F178" s="251" t="s">
        <v>3189</v>
      </c>
      <c r="G178" s="501"/>
      <c r="H178" s="502"/>
      <c r="J178" s="199">
        <v>166</v>
      </c>
      <c r="K178" s="200"/>
      <c r="L178" s="200" t="s">
        <v>574</v>
      </c>
      <c r="M178" s="201" t="s">
        <v>152</v>
      </c>
      <c r="N178" s="536"/>
      <c r="O178" s="202">
        <v>1</v>
      </c>
      <c r="P178" s="201" t="s">
        <v>93</v>
      </c>
      <c r="Q178" s="201" t="s">
        <v>222</v>
      </c>
      <c r="R178" s="201" t="s">
        <v>1884</v>
      </c>
      <c r="S178" s="201" t="s">
        <v>1887</v>
      </c>
      <c r="T178" s="201" t="s">
        <v>220</v>
      </c>
      <c r="U178" s="203">
        <v>50</v>
      </c>
      <c r="V178" s="203">
        <v>40.46</v>
      </c>
      <c r="W178" s="204"/>
      <c r="X178" s="205"/>
      <c r="Y178" s="203"/>
      <c r="Z178" s="206">
        <v>41817</v>
      </c>
      <c r="AA178" s="206" t="s">
        <v>79</v>
      </c>
      <c r="AB178" s="207">
        <v>1</v>
      </c>
      <c r="AC178" s="208" t="s">
        <v>80</v>
      </c>
      <c r="AD178" s="209">
        <v>111600000</v>
      </c>
      <c r="AE178" s="209">
        <v>111600000</v>
      </c>
      <c r="AF178" s="207"/>
      <c r="AG178" s="207"/>
      <c r="AH178" s="209"/>
      <c r="AI178" s="207"/>
      <c r="AJ178" s="208"/>
      <c r="AK178" s="209"/>
      <c r="AL178" s="209"/>
      <c r="AM178" s="206"/>
      <c r="AN178" s="207"/>
      <c r="AO178" s="208"/>
      <c r="AP178" s="209"/>
      <c r="AQ178" s="209"/>
      <c r="AR178" s="207"/>
      <c r="AS178" s="207"/>
      <c r="AT178" s="209"/>
      <c r="AU178" s="209"/>
      <c r="AV178" s="209"/>
      <c r="AW178" s="466" t="s">
        <v>1313</v>
      </c>
      <c r="AX178" s="466" t="s">
        <v>1313</v>
      </c>
      <c r="AY178" s="466" t="s">
        <v>1313</v>
      </c>
      <c r="AZ178" s="466" t="s">
        <v>1313</v>
      </c>
      <c r="BA178" s="466" t="s">
        <v>1313</v>
      </c>
      <c r="BB178" s="466" t="s">
        <v>1313</v>
      </c>
      <c r="BC178" s="207" t="s">
        <v>82</v>
      </c>
      <c r="BD178" s="210"/>
      <c r="BE178" s="210"/>
      <c r="BF178" s="207"/>
      <c r="BG178" s="207"/>
      <c r="BH178" s="207"/>
      <c r="BI178" s="207"/>
      <c r="BJ178" s="207"/>
      <c r="BK178" s="206"/>
      <c r="BL178" s="206"/>
      <c r="BM178" s="206"/>
      <c r="BN178" s="206"/>
      <c r="BO178" s="211"/>
      <c r="BP178" s="207"/>
      <c r="BQ178" s="207"/>
      <c r="BR178" s="206"/>
      <c r="BS178" s="206"/>
      <c r="BT178" s="212"/>
      <c r="BU178" s="212"/>
      <c r="BV178" s="206"/>
      <c r="BW178" s="212"/>
      <c r="BX178" s="206"/>
      <c r="BY178" s="212"/>
      <c r="BZ178" s="206"/>
      <c r="CA178" s="206">
        <v>41788</v>
      </c>
      <c r="CB178" s="213" t="s">
        <v>1779</v>
      </c>
      <c r="CC178" s="212"/>
      <c r="CD178" s="212">
        <v>155000000</v>
      </c>
      <c r="CE178" s="212"/>
      <c r="CF178" s="212"/>
      <c r="CG178" s="212">
        <v>155000000</v>
      </c>
      <c r="CH178" s="200"/>
      <c r="CI178" s="212"/>
      <c r="CJ178" s="255" t="s">
        <v>416</v>
      </c>
    </row>
    <row r="179" spans="1:88" s="503" customFormat="1" ht="14.1" hidden="1" customHeight="1">
      <c r="A179" s="483" t="s">
        <v>3424</v>
      </c>
      <c r="B179" s="478" t="s">
        <v>3357</v>
      </c>
      <c r="C179" s="521" t="s">
        <v>3435</v>
      </c>
      <c r="D179" s="521" t="s">
        <v>3435</v>
      </c>
      <c r="E179" s="500">
        <v>90652980</v>
      </c>
      <c r="F179" s="251" t="s">
        <v>3184</v>
      </c>
      <c r="G179" s="501"/>
      <c r="H179" s="502"/>
      <c r="J179" s="199">
        <v>167</v>
      </c>
      <c r="K179" s="200"/>
      <c r="L179" s="200" t="s">
        <v>575</v>
      </c>
      <c r="M179" s="201" t="s">
        <v>151</v>
      </c>
      <c r="N179" s="536"/>
      <c r="O179" s="202">
        <v>1</v>
      </c>
      <c r="P179" s="201" t="s">
        <v>103</v>
      </c>
      <c r="Q179" s="201" t="s">
        <v>104</v>
      </c>
      <c r="R179" s="201" t="s">
        <v>105</v>
      </c>
      <c r="S179" s="201" t="s">
        <v>1888</v>
      </c>
      <c r="T179" s="201" t="s">
        <v>220</v>
      </c>
      <c r="U179" s="203">
        <v>41.820999999999998</v>
      </c>
      <c r="V179" s="203">
        <v>41.76</v>
      </c>
      <c r="W179" s="204"/>
      <c r="X179" s="205"/>
      <c r="Y179" s="203"/>
      <c r="Z179" s="206">
        <v>41774</v>
      </c>
      <c r="AA179" s="206" t="s">
        <v>79</v>
      </c>
      <c r="AB179" s="207">
        <v>1</v>
      </c>
      <c r="AC179" s="208" t="s">
        <v>80</v>
      </c>
      <c r="AD179" s="209">
        <v>108000000</v>
      </c>
      <c r="AE179" s="209">
        <v>108000000</v>
      </c>
      <c r="AF179" s="207"/>
      <c r="AG179" s="207"/>
      <c r="AH179" s="209"/>
      <c r="AI179" s="207"/>
      <c r="AJ179" s="208"/>
      <c r="AK179" s="209"/>
      <c r="AL179" s="209"/>
      <c r="AM179" s="206"/>
      <c r="AN179" s="207"/>
      <c r="AO179" s="208"/>
      <c r="AP179" s="209"/>
      <c r="AQ179" s="209"/>
      <c r="AR179" s="207"/>
      <c r="AS179" s="207"/>
      <c r="AT179" s="209"/>
      <c r="AU179" s="209"/>
      <c r="AV179" s="209"/>
      <c r="AW179" s="466" t="s">
        <v>1313</v>
      </c>
      <c r="AX179" s="466" t="s">
        <v>1313</v>
      </c>
      <c r="AY179" s="466" t="s">
        <v>1313</v>
      </c>
      <c r="AZ179" s="466" t="s">
        <v>1313</v>
      </c>
      <c r="BA179" s="466" t="s">
        <v>1313</v>
      </c>
      <c r="BB179" s="466" t="s">
        <v>1313</v>
      </c>
      <c r="BC179" s="207" t="s">
        <v>1320</v>
      </c>
      <c r="BD179" s="210">
        <v>93206414</v>
      </c>
      <c r="BE179" s="210">
        <v>130000000</v>
      </c>
      <c r="BF179" s="207" t="s">
        <v>1889</v>
      </c>
      <c r="BG179" s="207" t="s">
        <v>101</v>
      </c>
      <c r="BH179" s="207" t="s">
        <v>107</v>
      </c>
      <c r="BI179" s="207" t="s">
        <v>1890</v>
      </c>
      <c r="BJ179" s="207" t="s">
        <v>1891</v>
      </c>
      <c r="BK179" s="206">
        <v>42367</v>
      </c>
      <c r="BL179" s="206">
        <v>42443</v>
      </c>
      <c r="BM179" s="206">
        <v>42487</v>
      </c>
      <c r="BN179" s="206"/>
      <c r="BO179" s="211"/>
      <c r="BP179" s="207"/>
      <c r="BQ179" s="207"/>
      <c r="BR179" s="206"/>
      <c r="BS179" s="206"/>
      <c r="BT179" s="212"/>
      <c r="BU179" s="212"/>
      <c r="BV179" s="206"/>
      <c r="BW179" s="212"/>
      <c r="BX179" s="206"/>
      <c r="BY179" s="212"/>
      <c r="BZ179" s="206"/>
      <c r="CA179" s="206">
        <v>41774</v>
      </c>
      <c r="CB179" s="213" t="s">
        <v>1779</v>
      </c>
      <c r="CC179" s="212"/>
      <c r="CD179" s="212">
        <v>400000000</v>
      </c>
      <c r="CE179" s="212"/>
      <c r="CF179" s="212"/>
      <c r="CG179" s="212">
        <v>400000000</v>
      </c>
      <c r="CH179" s="200"/>
      <c r="CI179" s="212"/>
      <c r="CJ179" s="255" t="s">
        <v>1892</v>
      </c>
    </row>
    <row r="180" spans="1:88" s="503" customFormat="1" ht="14.1" hidden="1" customHeight="1">
      <c r="A180" s="483" t="s">
        <v>3424</v>
      </c>
      <c r="B180" s="478" t="s">
        <v>3358</v>
      </c>
      <c r="C180" s="251" t="s">
        <v>3423</v>
      </c>
      <c r="D180" s="517" t="s">
        <v>3423</v>
      </c>
      <c r="E180" s="500">
        <v>89990000</v>
      </c>
      <c r="F180" s="251" t="s">
        <v>3187</v>
      </c>
      <c r="G180" s="501"/>
      <c r="H180" s="502"/>
      <c r="J180" s="199">
        <v>168</v>
      </c>
      <c r="K180" s="200"/>
      <c r="L180" s="200" t="s">
        <v>576</v>
      </c>
      <c r="M180" s="201" t="s">
        <v>672</v>
      </c>
      <c r="N180" s="536"/>
      <c r="O180" s="202">
        <v>1</v>
      </c>
      <c r="P180" s="201" t="s">
        <v>93</v>
      </c>
      <c r="Q180" s="201" t="s">
        <v>191</v>
      </c>
      <c r="R180" s="201" t="s">
        <v>1319</v>
      </c>
      <c r="S180" s="201" t="s">
        <v>1893</v>
      </c>
      <c r="T180" s="201" t="s">
        <v>106</v>
      </c>
      <c r="U180" s="203">
        <v>34.017200000000003</v>
      </c>
      <c r="V180" s="203">
        <v>59.793999999999997</v>
      </c>
      <c r="W180" s="204"/>
      <c r="X180" s="205"/>
      <c r="Y180" s="203"/>
      <c r="Z180" s="206">
        <v>40861</v>
      </c>
      <c r="AA180" s="206" t="s">
        <v>79</v>
      </c>
      <c r="AB180" s="207" t="s">
        <v>91</v>
      </c>
      <c r="AC180" s="208" t="s">
        <v>80</v>
      </c>
      <c r="AD180" s="209">
        <v>108000000</v>
      </c>
      <c r="AE180" s="209">
        <v>108000000</v>
      </c>
      <c r="AF180" s="207"/>
      <c r="AG180" s="207"/>
      <c r="AH180" s="209"/>
      <c r="AI180" s="207"/>
      <c r="AJ180" s="208"/>
      <c r="AK180" s="209"/>
      <c r="AL180" s="209"/>
      <c r="AM180" s="206"/>
      <c r="AN180" s="207"/>
      <c r="AO180" s="208"/>
      <c r="AP180" s="209"/>
      <c r="AQ180" s="209"/>
      <c r="AR180" s="207"/>
      <c r="AS180" s="207"/>
      <c r="AT180" s="209"/>
      <c r="AU180" s="209"/>
      <c r="AV180" s="209"/>
      <c r="AW180" s="466" t="s">
        <v>1313</v>
      </c>
      <c r="AX180" s="466" t="s">
        <v>1313</v>
      </c>
      <c r="AY180" s="466" t="s">
        <v>1313</v>
      </c>
      <c r="AZ180" s="466" t="s">
        <v>1313</v>
      </c>
      <c r="BA180" s="466" t="s">
        <v>1313</v>
      </c>
      <c r="BB180" s="466" t="s">
        <v>1313</v>
      </c>
      <c r="BC180" s="207" t="s">
        <v>82</v>
      </c>
      <c r="BD180" s="210"/>
      <c r="BE180" s="210"/>
      <c r="BF180" s="207"/>
      <c r="BG180" s="207"/>
      <c r="BH180" s="207"/>
      <c r="BI180" s="207"/>
      <c r="BJ180" s="207"/>
      <c r="BK180" s="206"/>
      <c r="BL180" s="206"/>
      <c r="BM180" s="206"/>
      <c r="BN180" s="206"/>
      <c r="BO180" s="211"/>
      <c r="BP180" s="207"/>
      <c r="BQ180" s="207"/>
      <c r="BR180" s="206"/>
      <c r="BS180" s="206"/>
      <c r="BT180" s="212"/>
      <c r="BU180" s="212"/>
      <c r="BV180" s="206"/>
      <c r="BW180" s="212"/>
      <c r="BX180" s="206"/>
      <c r="BY180" s="212"/>
      <c r="BZ180" s="206"/>
      <c r="CA180" s="206">
        <v>42482</v>
      </c>
      <c r="CB180" s="213" t="s">
        <v>134</v>
      </c>
      <c r="CC180" s="212"/>
      <c r="CD180" s="212">
        <v>182500000</v>
      </c>
      <c r="CE180" s="212"/>
      <c r="CF180" s="212"/>
      <c r="CG180" s="212">
        <v>182500000</v>
      </c>
      <c r="CH180" s="200"/>
      <c r="CI180" s="212"/>
      <c r="CJ180" s="255" t="s">
        <v>416</v>
      </c>
    </row>
    <row r="181" spans="1:88" s="503" customFormat="1" ht="14.1" hidden="1" customHeight="1">
      <c r="A181" s="483" t="s">
        <v>3424</v>
      </c>
      <c r="B181" s="478" t="s">
        <v>3359</v>
      </c>
      <c r="C181" s="251" t="s">
        <v>3423</v>
      </c>
      <c r="D181" s="517" t="s">
        <v>3423</v>
      </c>
      <c r="E181" s="500">
        <v>86761818</v>
      </c>
      <c r="F181" s="251" t="s">
        <v>3189</v>
      </c>
      <c r="G181" s="501"/>
      <c r="H181" s="502"/>
      <c r="J181" s="199">
        <v>169</v>
      </c>
      <c r="K181" s="200"/>
      <c r="L181" s="200" t="s">
        <v>577</v>
      </c>
      <c r="M181" s="201" t="s">
        <v>673</v>
      </c>
      <c r="N181" s="536"/>
      <c r="O181" s="202">
        <v>1</v>
      </c>
      <c r="P181" s="201" t="s">
        <v>93</v>
      </c>
      <c r="Q181" s="201" t="s">
        <v>218</v>
      </c>
      <c r="R181" s="201" t="s">
        <v>1894</v>
      </c>
      <c r="S181" s="201" t="s">
        <v>1895</v>
      </c>
      <c r="T181" s="201" t="s">
        <v>106</v>
      </c>
      <c r="U181" s="203">
        <v>19.326000000000001</v>
      </c>
      <c r="V181" s="203">
        <v>59.91</v>
      </c>
      <c r="W181" s="204"/>
      <c r="X181" s="205"/>
      <c r="Y181" s="203"/>
      <c r="Z181" s="206">
        <v>41816</v>
      </c>
      <c r="AA181" s="206" t="s">
        <v>79</v>
      </c>
      <c r="AB181" s="207" t="s">
        <v>89</v>
      </c>
      <c r="AC181" s="208" t="s">
        <v>80</v>
      </c>
      <c r="AD181" s="209">
        <v>118290000</v>
      </c>
      <c r="AE181" s="209">
        <v>118290000</v>
      </c>
      <c r="AF181" s="207"/>
      <c r="AG181" s="207"/>
      <c r="AH181" s="209"/>
      <c r="AI181" s="207"/>
      <c r="AJ181" s="208"/>
      <c r="AK181" s="209"/>
      <c r="AL181" s="209"/>
      <c r="AM181" s="206"/>
      <c r="AN181" s="207"/>
      <c r="AO181" s="208"/>
      <c r="AP181" s="209"/>
      <c r="AQ181" s="209"/>
      <c r="AR181" s="207"/>
      <c r="AS181" s="207"/>
      <c r="AT181" s="209"/>
      <c r="AU181" s="209"/>
      <c r="AV181" s="209"/>
      <c r="AW181" s="466" t="s">
        <v>1313</v>
      </c>
      <c r="AX181" s="466" t="s">
        <v>1313</v>
      </c>
      <c r="AY181" s="466" t="s">
        <v>1313</v>
      </c>
      <c r="AZ181" s="466" t="s">
        <v>1313</v>
      </c>
      <c r="BA181" s="466" t="s">
        <v>1313</v>
      </c>
      <c r="BB181" s="466" t="s">
        <v>1313</v>
      </c>
      <c r="BC181" s="207" t="s">
        <v>82</v>
      </c>
      <c r="BD181" s="210"/>
      <c r="BE181" s="210"/>
      <c r="BF181" s="207"/>
      <c r="BG181" s="207"/>
      <c r="BH181" s="207"/>
      <c r="BI181" s="207"/>
      <c r="BJ181" s="207"/>
      <c r="BK181" s="206"/>
      <c r="BL181" s="206"/>
      <c r="BM181" s="206"/>
      <c r="BN181" s="206"/>
      <c r="BO181" s="211"/>
      <c r="BP181" s="207"/>
      <c r="BQ181" s="207"/>
      <c r="BR181" s="206"/>
      <c r="BS181" s="206"/>
      <c r="BT181" s="212"/>
      <c r="BU181" s="212"/>
      <c r="BV181" s="206"/>
      <c r="BW181" s="212"/>
      <c r="BX181" s="206"/>
      <c r="BY181" s="212"/>
      <c r="BZ181" s="206"/>
      <c r="CA181" s="206">
        <v>42482</v>
      </c>
      <c r="CB181" s="213" t="s">
        <v>134</v>
      </c>
      <c r="CC181" s="212"/>
      <c r="CD181" s="212">
        <v>185000000</v>
      </c>
      <c r="CE181" s="212"/>
      <c r="CF181" s="212"/>
      <c r="CG181" s="212">
        <v>185000000</v>
      </c>
      <c r="CH181" s="200"/>
      <c r="CI181" s="212"/>
      <c r="CJ181" s="255" t="s">
        <v>416</v>
      </c>
    </row>
    <row r="182" spans="1:88" s="503" customFormat="1" ht="14.1" hidden="1" customHeight="1">
      <c r="A182" s="483" t="s">
        <v>3424</v>
      </c>
      <c r="B182" s="478" t="s">
        <v>3360</v>
      </c>
      <c r="C182" s="521" t="s">
        <v>3435</v>
      </c>
      <c r="D182" s="521" t="s">
        <v>3435</v>
      </c>
      <c r="E182" s="500">
        <v>81222184</v>
      </c>
      <c r="F182" s="251" t="s">
        <v>3187</v>
      </c>
      <c r="G182" s="501"/>
      <c r="H182" s="502"/>
      <c r="J182" s="199">
        <v>170</v>
      </c>
      <c r="K182" s="200"/>
      <c r="L182" s="200" t="s">
        <v>578</v>
      </c>
      <c r="M182" s="201" t="s">
        <v>148</v>
      </c>
      <c r="N182" s="536"/>
      <c r="O182" s="202">
        <v>1</v>
      </c>
      <c r="P182" s="201" t="s">
        <v>103</v>
      </c>
      <c r="Q182" s="201" t="s">
        <v>1762</v>
      </c>
      <c r="R182" s="201" t="s">
        <v>1876</v>
      </c>
      <c r="S182" s="201" t="s">
        <v>1896</v>
      </c>
      <c r="T182" s="201" t="s">
        <v>220</v>
      </c>
      <c r="U182" s="203">
        <v>32.466999999999999</v>
      </c>
      <c r="V182" s="203">
        <v>40.69</v>
      </c>
      <c r="W182" s="204"/>
      <c r="X182" s="205"/>
      <c r="Y182" s="203"/>
      <c r="Z182" s="206">
        <v>41936</v>
      </c>
      <c r="AA182" s="206" t="s">
        <v>79</v>
      </c>
      <c r="AB182" s="207">
        <v>1</v>
      </c>
      <c r="AC182" s="208" t="s">
        <v>80</v>
      </c>
      <c r="AD182" s="209">
        <v>102000000</v>
      </c>
      <c r="AE182" s="209">
        <v>102000000</v>
      </c>
      <c r="AF182" s="207"/>
      <c r="AG182" s="207"/>
      <c r="AH182" s="209"/>
      <c r="AI182" s="207"/>
      <c r="AJ182" s="208"/>
      <c r="AK182" s="209"/>
      <c r="AL182" s="209"/>
      <c r="AM182" s="206"/>
      <c r="AN182" s="207"/>
      <c r="AO182" s="208"/>
      <c r="AP182" s="209"/>
      <c r="AQ182" s="209"/>
      <c r="AR182" s="207"/>
      <c r="AS182" s="207"/>
      <c r="AT182" s="209"/>
      <c r="AU182" s="209"/>
      <c r="AV182" s="209"/>
      <c r="AW182" s="466" t="s">
        <v>1313</v>
      </c>
      <c r="AX182" s="466" t="s">
        <v>1313</v>
      </c>
      <c r="AY182" s="466" t="s">
        <v>1313</v>
      </c>
      <c r="AZ182" s="466" t="s">
        <v>1313</v>
      </c>
      <c r="BA182" s="466" t="s">
        <v>1313</v>
      </c>
      <c r="BB182" s="466" t="s">
        <v>1313</v>
      </c>
      <c r="BC182" s="207" t="s">
        <v>82</v>
      </c>
      <c r="BD182" s="210"/>
      <c r="BE182" s="210"/>
      <c r="BF182" s="207"/>
      <c r="BG182" s="207"/>
      <c r="BH182" s="207"/>
      <c r="BI182" s="207"/>
      <c r="BJ182" s="207"/>
      <c r="BK182" s="206"/>
      <c r="BL182" s="206"/>
      <c r="BM182" s="206"/>
      <c r="BN182" s="206"/>
      <c r="BO182" s="211"/>
      <c r="BP182" s="207"/>
      <c r="BQ182" s="207"/>
      <c r="BR182" s="206"/>
      <c r="BS182" s="206"/>
      <c r="BT182" s="212"/>
      <c r="BU182" s="212"/>
      <c r="BV182" s="206"/>
      <c r="BW182" s="212"/>
      <c r="BX182" s="206"/>
      <c r="BY182" s="212"/>
      <c r="BZ182" s="206"/>
      <c r="CA182" s="206">
        <v>41935</v>
      </c>
      <c r="CB182" s="213" t="s">
        <v>1779</v>
      </c>
      <c r="CC182" s="212"/>
      <c r="CD182" s="212">
        <v>130000000</v>
      </c>
      <c r="CE182" s="212"/>
      <c r="CF182" s="212"/>
      <c r="CG182" s="212">
        <v>130000000</v>
      </c>
      <c r="CH182" s="200"/>
      <c r="CI182" s="212"/>
      <c r="CJ182" s="255" t="s">
        <v>416</v>
      </c>
    </row>
    <row r="183" spans="1:88" s="503" customFormat="1" ht="14.1" hidden="1" customHeight="1">
      <c r="A183" s="483" t="s">
        <v>3424</v>
      </c>
      <c r="B183" s="478" t="s">
        <v>3361</v>
      </c>
      <c r="C183" s="251" t="s">
        <v>3423</v>
      </c>
      <c r="D183" s="517" t="s">
        <v>3423</v>
      </c>
      <c r="E183" s="500">
        <v>80619550</v>
      </c>
      <c r="F183" s="251" t="s">
        <v>3187</v>
      </c>
      <c r="G183" s="501"/>
      <c r="H183" s="502"/>
      <c r="J183" s="199">
        <v>171</v>
      </c>
      <c r="K183" s="200"/>
      <c r="L183" s="200" t="s">
        <v>579</v>
      </c>
      <c r="M183" s="201" t="s">
        <v>152</v>
      </c>
      <c r="N183" s="536"/>
      <c r="O183" s="202">
        <v>1</v>
      </c>
      <c r="P183" s="201" t="s">
        <v>210</v>
      </c>
      <c r="Q183" s="201" t="s">
        <v>1897</v>
      </c>
      <c r="R183" s="201" t="s">
        <v>1898</v>
      </c>
      <c r="S183" s="201" t="s">
        <v>1899</v>
      </c>
      <c r="T183" s="201" t="s">
        <v>106</v>
      </c>
      <c r="U183" s="203">
        <v>61.613999999999997</v>
      </c>
      <c r="V183" s="203">
        <v>57.76</v>
      </c>
      <c r="W183" s="204"/>
      <c r="X183" s="205"/>
      <c r="Y183" s="203"/>
      <c r="Z183" s="206">
        <v>42048</v>
      </c>
      <c r="AA183" s="206" t="s">
        <v>79</v>
      </c>
      <c r="AB183" s="207">
        <v>1</v>
      </c>
      <c r="AC183" s="208" t="s">
        <v>80</v>
      </c>
      <c r="AD183" s="209">
        <v>96000000</v>
      </c>
      <c r="AE183" s="209">
        <v>96000000</v>
      </c>
      <c r="AF183" s="207"/>
      <c r="AG183" s="207"/>
      <c r="AH183" s="209"/>
      <c r="AI183" s="207"/>
      <c r="AJ183" s="208"/>
      <c r="AK183" s="209"/>
      <c r="AL183" s="209"/>
      <c r="AM183" s="206"/>
      <c r="AN183" s="207"/>
      <c r="AO183" s="208"/>
      <c r="AP183" s="209"/>
      <c r="AQ183" s="209"/>
      <c r="AR183" s="207"/>
      <c r="AS183" s="207"/>
      <c r="AT183" s="209"/>
      <c r="AU183" s="209"/>
      <c r="AV183" s="209"/>
      <c r="AW183" s="466" t="s">
        <v>1313</v>
      </c>
      <c r="AX183" s="466" t="s">
        <v>1313</v>
      </c>
      <c r="AY183" s="466" t="s">
        <v>1313</v>
      </c>
      <c r="AZ183" s="466" t="s">
        <v>1313</v>
      </c>
      <c r="BA183" s="466" t="s">
        <v>1313</v>
      </c>
      <c r="BB183" s="466" t="s">
        <v>1313</v>
      </c>
      <c r="BC183" s="207" t="s">
        <v>1320</v>
      </c>
      <c r="BD183" s="210">
        <v>81084371</v>
      </c>
      <c r="BE183" s="210">
        <v>9764223</v>
      </c>
      <c r="BF183" s="207" t="s">
        <v>1900</v>
      </c>
      <c r="BG183" s="207" t="s">
        <v>101</v>
      </c>
      <c r="BH183" s="207" t="s">
        <v>1901</v>
      </c>
      <c r="BI183" s="207" t="s">
        <v>1902</v>
      </c>
      <c r="BJ183" s="207" t="s">
        <v>1903</v>
      </c>
      <c r="BK183" s="206">
        <v>42438</v>
      </c>
      <c r="BL183" s="206">
        <v>42514</v>
      </c>
      <c r="BM183" s="206">
        <v>42454</v>
      </c>
      <c r="BN183" s="206"/>
      <c r="BO183" s="211"/>
      <c r="BP183" s="207"/>
      <c r="BQ183" s="207"/>
      <c r="BR183" s="206"/>
      <c r="BS183" s="206"/>
      <c r="BT183" s="212"/>
      <c r="BU183" s="212"/>
      <c r="BV183" s="206"/>
      <c r="BW183" s="212"/>
      <c r="BX183" s="206"/>
      <c r="BY183" s="212"/>
      <c r="BZ183" s="206"/>
      <c r="CA183" s="206">
        <v>42482</v>
      </c>
      <c r="CB183" s="213" t="s">
        <v>134</v>
      </c>
      <c r="CC183" s="212"/>
      <c r="CD183" s="212">
        <v>120000000</v>
      </c>
      <c r="CE183" s="212"/>
      <c r="CF183" s="212"/>
      <c r="CG183" s="212">
        <v>120000000</v>
      </c>
      <c r="CH183" s="200"/>
      <c r="CI183" s="212"/>
      <c r="CJ183" s="255" t="s">
        <v>416</v>
      </c>
    </row>
    <row r="184" spans="1:88" s="503" customFormat="1" ht="14.1" hidden="1" customHeight="1">
      <c r="A184" s="483" t="s">
        <v>3424</v>
      </c>
      <c r="B184" s="478" t="s">
        <v>3362</v>
      </c>
      <c r="C184" s="521" t="s">
        <v>3435</v>
      </c>
      <c r="D184" s="521" t="s">
        <v>3435</v>
      </c>
      <c r="E184" s="500">
        <v>80462602</v>
      </c>
      <c r="F184" s="251" t="s">
        <v>3187</v>
      </c>
      <c r="G184" s="501"/>
      <c r="H184" s="502"/>
      <c r="J184" s="199">
        <v>172</v>
      </c>
      <c r="K184" s="200"/>
      <c r="L184" s="200" t="s">
        <v>580</v>
      </c>
      <c r="M184" s="201" t="s">
        <v>214</v>
      </c>
      <c r="N184" s="536"/>
      <c r="O184" s="202">
        <v>1</v>
      </c>
      <c r="P184" s="201" t="s">
        <v>83</v>
      </c>
      <c r="Q184" s="201" t="s">
        <v>155</v>
      </c>
      <c r="R184" s="201" t="s">
        <v>1904</v>
      </c>
      <c r="S184" s="201" t="s">
        <v>1905</v>
      </c>
      <c r="T184" s="201" t="s">
        <v>220</v>
      </c>
      <c r="U184" s="203">
        <v>18.09</v>
      </c>
      <c r="V184" s="203">
        <v>47.65</v>
      </c>
      <c r="W184" s="204"/>
      <c r="X184" s="205"/>
      <c r="Y184" s="203"/>
      <c r="Z184" s="206">
        <v>41908</v>
      </c>
      <c r="AA184" s="206" t="s">
        <v>79</v>
      </c>
      <c r="AB184" s="207">
        <v>1</v>
      </c>
      <c r="AC184" s="208" t="s">
        <v>80</v>
      </c>
      <c r="AD184" s="209">
        <v>96000000</v>
      </c>
      <c r="AE184" s="209">
        <v>96000000</v>
      </c>
      <c r="AF184" s="207"/>
      <c r="AG184" s="207"/>
      <c r="AH184" s="209"/>
      <c r="AI184" s="207"/>
      <c r="AJ184" s="208"/>
      <c r="AK184" s="209"/>
      <c r="AL184" s="209"/>
      <c r="AM184" s="206"/>
      <c r="AN184" s="207"/>
      <c r="AO184" s="208"/>
      <c r="AP184" s="209"/>
      <c r="AQ184" s="209"/>
      <c r="AR184" s="207"/>
      <c r="AS184" s="207"/>
      <c r="AT184" s="209"/>
      <c r="AU184" s="209"/>
      <c r="AV184" s="209"/>
      <c r="AW184" s="466" t="s">
        <v>1313</v>
      </c>
      <c r="AX184" s="466" t="s">
        <v>1313</v>
      </c>
      <c r="AY184" s="466" t="s">
        <v>1313</v>
      </c>
      <c r="AZ184" s="466" t="s">
        <v>1313</v>
      </c>
      <c r="BA184" s="466" t="s">
        <v>1313</v>
      </c>
      <c r="BB184" s="466" t="s">
        <v>1313</v>
      </c>
      <c r="BC184" s="207" t="s">
        <v>1320</v>
      </c>
      <c r="BD184" s="210">
        <v>80332021</v>
      </c>
      <c r="BE184" s="210"/>
      <c r="BF184" s="207" t="s">
        <v>101</v>
      </c>
      <c r="BG184" s="207"/>
      <c r="BH184" s="207" t="s">
        <v>87</v>
      </c>
      <c r="BI184" s="207" t="s">
        <v>1906</v>
      </c>
      <c r="BJ184" s="207"/>
      <c r="BK184" s="206">
        <v>42475</v>
      </c>
      <c r="BL184" s="206">
        <v>42555</v>
      </c>
      <c r="BM184" s="206"/>
      <c r="BN184" s="206"/>
      <c r="BO184" s="211"/>
      <c r="BP184" s="207"/>
      <c r="BQ184" s="207"/>
      <c r="BR184" s="206"/>
      <c r="BS184" s="206"/>
      <c r="BT184" s="212"/>
      <c r="BU184" s="212"/>
      <c r="BV184" s="206"/>
      <c r="BW184" s="212"/>
      <c r="BX184" s="206"/>
      <c r="BY184" s="212"/>
      <c r="BZ184" s="206"/>
      <c r="CA184" s="206">
        <v>41904</v>
      </c>
      <c r="CB184" s="213" t="s">
        <v>1907</v>
      </c>
      <c r="CC184" s="212"/>
      <c r="CD184" s="212">
        <v>124000000</v>
      </c>
      <c r="CE184" s="212"/>
      <c r="CF184" s="212"/>
      <c r="CG184" s="212">
        <v>124000000</v>
      </c>
      <c r="CH184" s="200"/>
      <c r="CI184" s="212"/>
      <c r="CJ184" s="255" t="s">
        <v>416</v>
      </c>
    </row>
    <row r="185" spans="1:88" s="503" customFormat="1" ht="14.1" hidden="1" customHeight="1">
      <c r="A185" s="483" t="s">
        <v>3424</v>
      </c>
      <c r="B185" s="478" t="s">
        <v>3363</v>
      </c>
      <c r="C185" s="521" t="s">
        <v>3435</v>
      </c>
      <c r="D185" s="521" t="s">
        <v>3435</v>
      </c>
      <c r="E185" s="500">
        <v>80000000</v>
      </c>
      <c r="F185" s="251" t="s">
        <v>3189</v>
      </c>
      <c r="G185" s="501"/>
      <c r="H185" s="502"/>
      <c r="J185" s="199">
        <v>173</v>
      </c>
      <c r="K185" s="200"/>
      <c r="L185" s="200" t="s">
        <v>581</v>
      </c>
      <c r="M185" s="201" t="s">
        <v>674</v>
      </c>
      <c r="N185" s="536"/>
      <c r="O185" s="202">
        <v>1</v>
      </c>
      <c r="P185" s="201" t="s">
        <v>103</v>
      </c>
      <c r="Q185" s="201" t="s">
        <v>193</v>
      </c>
      <c r="R185" s="201" t="s">
        <v>1517</v>
      </c>
      <c r="S185" s="201" t="s">
        <v>1908</v>
      </c>
      <c r="T185" s="201" t="s">
        <v>220</v>
      </c>
      <c r="U185" s="203">
        <v>37</v>
      </c>
      <c r="V185" s="203">
        <v>61.63</v>
      </c>
      <c r="W185" s="204"/>
      <c r="X185" s="205"/>
      <c r="Y185" s="203"/>
      <c r="Z185" s="206">
        <v>40115</v>
      </c>
      <c r="AA185" s="206" t="s">
        <v>79</v>
      </c>
      <c r="AB185" s="207" t="s">
        <v>91</v>
      </c>
      <c r="AC185" s="208" t="s">
        <v>80</v>
      </c>
      <c r="AD185" s="209">
        <v>96000000</v>
      </c>
      <c r="AE185" s="209">
        <v>96000000</v>
      </c>
      <c r="AF185" s="207"/>
      <c r="AG185" s="207"/>
      <c r="AH185" s="209"/>
      <c r="AI185" s="207"/>
      <c r="AJ185" s="208"/>
      <c r="AK185" s="209"/>
      <c r="AL185" s="209"/>
      <c r="AM185" s="206"/>
      <c r="AN185" s="207"/>
      <c r="AO185" s="208"/>
      <c r="AP185" s="209"/>
      <c r="AQ185" s="209"/>
      <c r="AR185" s="207"/>
      <c r="AS185" s="207"/>
      <c r="AT185" s="209"/>
      <c r="AU185" s="209"/>
      <c r="AV185" s="209"/>
      <c r="AW185" s="466" t="s">
        <v>1313</v>
      </c>
      <c r="AX185" s="466" t="s">
        <v>1313</v>
      </c>
      <c r="AY185" s="466" t="s">
        <v>1313</v>
      </c>
      <c r="AZ185" s="466" t="s">
        <v>1313</v>
      </c>
      <c r="BA185" s="466" t="s">
        <v>1313</v>
      </c>
      <c r="BB185" s="466" t="s">
        <v>1313</v>
      </c>
      <c r="BC185" s="207" t="s">
        <v>82</v>
      </c>
      <c r="BD185" s="210"/>
      <c r="BE185" s="210"/>
      <c r="BF185" s="207"/>
      <c r="BG185" s="207"/>
      <c r="BH185" s="207"/>
      <c r="BI185" s="207"/>
      <c r="BJ185" s="207"/>
      <c r="BK185" s="206"/>
      <c r="BL185" s="206"/>
      <c r="BM185" s="206"/>
      <c r="BN185" s="206"/>
      <c r="BO185" s="211"/>
      <c r="BP185" s="207"/>
      <c r="BQ185" s="207"/>
      <c r="BR185" s="206"/>
      <c r="BS185" s="206"/>
      <c r="BT185" s="212"/>
      <c r="BU185" s="212"/>
      <c r="BV185" s="206"/>
      <c r="BW185" s="212"/>
      <c r="BX185" s="206"/>
      <c r="BY185" s="212"/>
      <c r="BZ185" s="206"/>
      <c r="CA185" s="206">
        <v>40494</v>
      </c>
      <c r="CB185" s="213" t="s">
        <v>1779</v>
      </c>
      <c r="CC185" s="212"/>
      <c r="CD185" s="212">
        <v>135000000</v>
      </c>
      <c r="CE185" s="212"/>
      <c r="CF185" s="212"/>
      <c r="CG185" s="212">
        <v>135000000</v>
      </c>
      <c r="CH185" s="200"/>
      <c r="CI185" s="212"/>
      <c r="CJ185" s="255" t="s">
        <v>416</v>
      </c>
    </row>
    <row r="186" spans="1:88" s="503" customFormat="1" ht="14.1" hidden="1" customHeight="1">
      <c r="A186" s="483" t="s">
        <v>3424</v>
      </c>
      <c r="B186" s="478" t="s">
        <v>3364</v>
      </c>
      <c r="C186" s="251" t="s">
        <v>3423</v>
      </c>
      <c r="D186" s="517" t="s">
        <v>3423</v>
      </c>
      <c r="E186" s="500">
        <v>79168166</v>
      </c>
      <c r="F186" s="251" t="s">
        <v>3186</v>
      </c>
      <c r="G186" s="501"/>
      <c r="H186" s="502"/>
      <c r="J186" s="199">
        <v>174</v>
      </c>
      <c r="K186" s="200"/>
      <c r="L186" s="200" t="s">
        <v>582</v>
      </c>
      <c r="M186" s="201" t="s">
        <v>175</v>
      </c>
      <c r="N186" s="536"/>
      <c r="O186" s="202">
        <v>1</v>
      </c>
      <c r="P186" s="201" t="s">
        <v>93</v>
      </c>
      <c r="Q186" s="201" t="s">
        <v>100</v>
      </c>
      <c r="R186" s="201" t="s">
        <v>224</v>
      </c>
      <c r="S186" s="201" t="s">
        <v>1909</v>
      </c>
      <c r="T186" s="201" t="s">
        <v>106</v>
      </c>
      <c r="U186" s="203">
        <v>66.835999999999999</v>
      </c>
      <c r="V186" s="203">
        <v>84.801000000000002</v>
      </c>
      <c r="W186" s="204"/>
      <c r="X186" s="205"/>
      <c r="Y186" s="203"/>
      <c r="Z186" s="206">
        <v>38497</v>
      </c>
      <c r="AA186" s="206" t="s">
        <v>79</v>
      </c>
      <c r="AB186" s="207">
        <v>1</v>
      </c>
      <c r="AC186" s="208" t="s">
        <v>80</v>
      </c>
      <c r="AD186" s="209">
        <v>102000000</v>
      </c>
      <c r="AE186" s="209">
        <v>102000000</v>
      </c>
      <c r="AF186" s="207"/>
      <c r="AG186" s="207"/>
      <c r="AH186" s="209"/>
      <c r="AI186" s="207"/>
      <c r="AJ186" s="208"/>
      <c r="AK186" s="209"/>
      <c r="AL186" s="209"/>
      <c r="AM186" s="206"/>
      <c r="AN186" s="207"/>
      <c r="AO186" s="208"/>
      <c r="AP186" s="209"/>
      <c r="AQ186" s="209"/>
      <c r="AR186" s="207"/>
      <c r="AS186" s="207"/>
      <c r="AT186" s="209"/>
      <c r="AU186" s="209"/>
      <c r="AV186" s="209"/>
      <c r="AW186" s="466" t="s">
        <v>1313</v>
      </c>
      <c r="AX186" s="466" t="s">
        <v>1313</v>
      </c>
      <c r="AY186" s="466" t="s">
        <v>1313</v>
      </c>
      <c r="AZ186" s="466" t="s">
        <v>1313</v>
      </c>
      <c r="BA186" s="466" t="s">
        <v>1313</v>
      </c>
      <c r="BB186" s="466" t="s">
        <v>1313</v>
      </c>
      <c r="BC186" s="207" t="s">
        <v>1320</v>
      </c>
      <c r="BD186" s="210">
        <v>80602002</v>
      </c>
      <c r="BE186" s="210">
        <v>41271805</v>
      </c>
      <c r="BF186" s="207" t="s">
        <v>1910</v>
      </c>
      <c r="BG186" s="207" t="s">
        <v>101</v>
      </c>
      <c r="BH186" s="207" t="s">
        <v>102</v>
      </c>
      <c r="BI186" s="207" t="s">
        <v>1911</v>
      </c>
      <c r="BJ186" s="207" t="s">
        <v>1912</v>
      </c>
      <c r="BK186" s="206">
        <v>42458</v>
      </c>
      <c r="BL186" s="206">
        <v>42529</v>
      </c>
      <c r="BM186" s="206">
        <v>42482</v>
      </c>
      <c r="BN186" s="206"/>
      <c r="BO186" s="211"/>
      <c r="BP186" s="207"/>
      <c r="BQ186" s="207"/>
      <c r="BR186" s="206"/>
      <c r="BS186" s="206"/>
      <c r="BT186" s="212"/>
      <c r="BU186" s="212"/>
      <c r="BV186" s="206"/>
      <c r="BW186" s="212"/>
      <c r="BX186" s="206"/>
      <c r="BY186" s="212"/>
      <c r="BZ186" s="206"/>
      <c r="CA186" s="206">
        <v>42482</v>
      </c>
      <c r="CB186" s="213" t="s">
        <v>134</v>
      </c>
      <c r="CC186" s="212"/>
      <c r="CD186" s="212">
        <v>192500000</v>
      </c>
      <c r="CE186" s="212"/>
      <c r="CF186" s="212"/>
      <c r="CG186" s="212">
        <v>192500000</v>
      </c>
      <c r="CH186" s="200"/>
      <c r="CI186" s="212"/>
      <c r="CJ186" s="255" t="s">
        <v>416</v>
      </c>
    </row>
    <row r="187" spans="1:88" s="503" customFormat="1" ht="14.1" hidden="1" customHeight="1">
      <c r="A187" s="483" t="s">
        <v>3424</v>
      </c>
      <c r="B187" s="478" t="s">
        <v>3365</v>
      </c>
      <c r="C187" s="251" t="s">
        <v>3423</v>
      </c>
      <c r="D187" s="517" t="s">
        <v>3423</v>
      </c>
      <c r="E187" s="500">
        <v>75000000</v>
      </c>
      <c r="F187" s="251" t="s">
        <v>3187</v>
      </c>
      <c r="G187" s="501"/>
      <c r="H187" s="502"/>
      <c r="J187" s="199">
        <v>175</v>
      </c>
      <c r="K187" s="200"/>
      <c r="L187" s="200" t="s">
        <v>583</v>
      </c>
      <c r="M187" s="201" t="s">
        <v>152</v>
      </c>
      <c r="N187" s="536"/>
      <c r="O187" s="202">
        <v>1</v>
      </c>
      <c r="P187" s="201" t="s">
        <v>103</v>
      </c>
      <c r="Q187" s="201" t="s">
        <v>242</v>
      </c>
      <c r="R187" s="201" t="s">
        <v>1913</v>
      </c>
      <c r="S187" s="201" t="s">
        <v>1914</v>
      </c>
      <c r="T187" s="201" t="s">
        <v>106</v>
      </c>
      <c r="U187" s="203">
        <v>43.44</v>
      </c>
      <c r="V187" s="203">
        <v>84.89</v>
      </c>
      <c r="W187" s="204"/>
      <c r="X187" s="205"/>
      <c r="Y187" s="203"/>
      <c r="Z187" s="206">
        <v>36362</v>
      </c>
      <c r="AA187" s="206" t="s">
        <v>79</v>
      </c>
      <c r="AB187" s="207">
        <v>1</v>
      </c>
      <c r="AC187" s="208" t="s">
        <v>80</v>
      </c>
      <c r="AD187" s="209">
        <v>91000000</v>
      </c>
      <c r="AE187" s="209">
        <v>91000000</v>
      </c>
      <c r="AF187" s="207"/>
      <c r="AG187" s="207"/>
      <c r="AH187" s="209"/>
      <c r="AI187" s="207"/>
      <c r="AJ187" s="208"/>
      <c r="AK187" s="209"/>
      <c r="AL187" s="209"/>
      <c r="AM187" s="206"/>
      <c r="AN187" s="207"/>
      <c r="AO187" s="208"/>
      <c r="AP187" s="209"/>
      <c r="AQ187" s="209"/>
      <c r="AR187" s="207"/>
      <c r="AS187" s="207"/>
      <c r="AT187" s="209"/>
      <c r="AU187" s="209"/>
      <c r="AV187" s="209"/>
      <c r="AW187" s="466" t="s">
        <v>1313</v>
      </c>
      <c r="AX187" s="466" t="s">
        <v>1313</v>
      </c>
      <c r="AY187" s="466" t="s">
        <v>1313</v>
      </c>
      <c r="AZ187" s="466" t="s">
        <v>1313</v>
      </c>
      <c r="BA187" s="466" t="s">
        <v>1313</v>
      </c>
      <c r="BB187" s="466" t="s">
        <v>1313</v>
      </c>
      <c r="BC187" s="207" t="s">
        <v>1320</v>
      </c>
      <c r="BD187" s="210"/>
      <c r="BE187" s="210">
        <v>458514308</v>
      </c>
      <c r="BF187" s="207" t="s">
        <v>424</v>
      </c>
      <c r="BG187" s="207"/>
      <c r="BH187" s="207" t="s">
        <v>114</v>
      </c>
      <c r="BI187" s="207" t="s">
        <v>1915</v>
      </c>
      <c r="BJ187" s="207"/>
      <c r="BK187" s="206">
        <v>42248</v>
      </c>
      <c r="BL187" s="206">
        <v>42320</v>
      </c>
      <c r="BM187" s="206"/>
      <c r="BN187" s="206"/>
      <c r="BO187" s="211"/>
      <c r="BP187" s="207"/>
      <c r="BQ187" s="207"/>
      <c r="BR187" s="206"/>
      <c r="BS187" s="206"/>
      <c r="BT187" s="212"/>
      <c r="BU187" s="212"/>
      <c r="BV187" s="206"/>
      <c r="BW187" s="212"/>
      <c r="BX187" s="206"/>
      <c r="BY187" s="212"/>
      <c r="BZ187" s="206"/>
      <c r="CA187" s="206">
        <v>42482</v>
      </c>
      <c r="CB187" s="213" t="s">
        <v>134</v>
      </c>
      <c r="CC187" s="212"/>
      <c r="CD187" s="212">
        <v>300000000</v>
      </c>
      <c r="CE187" s="212"/>
      <c r="CF187" s="212"/>
      <c r="CG187" s="212">
        <v>300000000</v>
      </c>
      <c r="CH187" s="200"/>
      <c r="CI187" s="212"/>
      <c r="CJ187" s="255" t="s">
        <v>108</v>
      </c>
    </row>
    <row r="188" spans="1:88" s="503" customFormat="1" ht="14.1" hidden="1" customHeight="1">
      <c r="A188" s="483" t="s">
        <v>3424</v>
      </c>
      <c r="B188" s="478" t="s">
        <v>3366</v>
      </c>
      <c r="C188" s="251" t="s">
        <v>3423</v>
      </c>
      <c r="D188" s="517" t="s">
        <v>3423</v>
      </c>
      <c r="E188" s="500">
        <v>75000000</v>
      </c>
      <c r="F188" s="251" t="s">
        <v>3187</v>
      </c>
      <c r="G188" s="501"/>
      <c r="H188" s="502"/>
      <c r="J188" s="199">
        <v>176</v>
      </c>
      <c r="K188" s="200"/>
      <c r="L188" s="200" t="s">
        <v>584</v>
      </c>
      <c r="M188" s="201" t="s">
        <v>214</v>
      </c>
      <c r="N188" s="536"/>
      <c r="O188" s="202">
        <v>1</v>
      </c>
      <c r="P188" s="201" t="s">
        <v>83</v>
      </c>
      <c r="Q188" s="201" t="s">
        <v>155</v>
      </c>
      <c r="R188" s="201" t="s">
        <v>1797</v>
      </c>
      <c r="S188" s="201" t="s">
        <v>1916</v>
      </c>
      <c r="T188" s="201" t="s">
        <v>106</v>
      </c>
      <c r="U188" s="203">
        <v>36.81</v>
      </c>
      <c r="V188" s="203">
        <v>59.7</v>
      </c>
      <c r="W188" s="204"/>
      <c r="X188" s="205"/>
      <c r="Y188" s="203"/>
      <c r="Z188" s="206">
        <v>37406</v>
      </c>
      <c r="AA188" s="206" t="s">
        <v>79</v>
      </c>
      <c r="AB188" s="207" t="s">
        <v>91</v>
      </c>
      <c r="AC188" s="208" t="s">
        <v>80</v>
      </c>
      <c r="AD188" s="209">
        <v>90000000</v>
      </c>
      <c r="AE188" s="209">
        <v>90000000</v>
      </c>
      <c r="AF188" s="207"/>
      <c r="AG188" s="207"/>
      <c r="AH188" s="209"/>
      <c r="AI188" s="207"/>
      <c r="AJ188" s="208"/>
      <c r="AK188" s="209"/>
      <c r="AL188" s="209"/>
      <c r="AM188" s="206"/>
      <c r="AN188" s="207"/>
      <c r="AO188" s="208"/>
      <c r="AP188" s="209"/>
      <c r="AQ188" s="209"/>
      <c r="AR188" s="207"/>
      <c r="AS188" s="207"/>
      <c r="AT188" s="209"/>
      <c r="AU188" s="209"/>
      <c r="AV188" s="209"/>
      <c r="AW188" s="466" t="s">
        <v>1313</v>
      </c>
      <c r="AX188" s="466" t="s">
        <v>1313</v>
      </c>
      <c r="AY188" s="466" t="s">
        <v>1313</v>
      </c>
      <c r="AZ188" s="466" t="s">
        <v>1313</v>
      </c>
      <c r="BA188" s="466" t="s">
        <v>1313</v>
      </c>
      <c r="BB188" s="466" t="s">
        <v>1313</v>
      </c>
      <c r="BC188" s="207" t="s">
        <v>82</v>
      </c>
      <c r="BD188" s="210"/>
      <c r="BE188" s="210"/>
      <c r="BF188" s="207"/>
      <c r="BG188" s="207"/>
      <c r="BH188" s="207"/>
      <c r="BI188" s="207"/>
      <c r="BJ188" s="207"/>
      <c r="BK188" s="206"/>
      <c r="BL188" s="206"/>
      <c r="BM188" s="206"/>
      <c r="BN188" s="206"/>
      <c r="BO188" s="211"/>
      <c r="BP188" s="207"/>
      <c r="BQ188" s="207"/>
      <c r="BR188" s="206"/>
      <c r="BS188" s="206"/>
      <c r="BT188" s="212"/>
      <c r="BU188" s="212"/>
      <c r="BV188" s="206"/>
      <c r="BW188" s="212"/>
      <c r="BX188" s="206"/>
      <c r="BY188" s="212"/>
      <c r="BZ188" s="206"/>
      <c r="CA188" s="206">
        <v>42482</v>
      </c>
      <c r="CB188" s="213" t="s">
        <v>134</v>
      </c>
      <c r="CC188" s="212"/>
      <c r="CD188" s="212">
        <v>126000000</v>
      </c>
      <c r="CE188" s="212"/>
      <c r="CF188" s="212"/>
      <c r="CG188" s="212">
        <v>126000000</v>
      </c>
      <c r="CH188" s="200"/>
      <c r="CI188" s="212"/>
      <c r="CJ188" s="255" t="s">
        <v>1917</v>
      </c>
    </row>
    <row r="189" spans="1:88" s="503" customFormat="1" ht="14.1" hidden="1" customHeight="1">
      <c r="A189" s="483" t="s">
        <v>3424</v>
      </c>
      <c r="B189" s="478" t="s">
        <v>3367</v>
      </c>
      <c r="C189" s="251" t="s">
        <v>3423</v>
      </c>
      <c r="D189" s="517" t="s">
        <v>3423</v>
      </c>
      <c r="E189" s="500">
        <v>74270312</v>
      </c>
      <c r="F189" s="251" t="s">
        <v>3187</v>
      </c>
      <c r="G189" s="501"/>
      <c r="H189" s="502"/>
      <c r="J189" s="199">
        <v>177</v>
      </c>
      <c r="K189" s="200"/>
      <c r="L189" s="200" t="s">
        <v>585</v>
      </c>
      <c r="M189" s="201" t="s">
        <v>221</v>
      </c>
      <c r="N189" s="536"/>
      <c r="O189" s="202">
        <v>1</v>
      </c>
      <c r="P189" s="201" t="s">
        <v>83</v>
      </c>
      <c r="Q189" s="201" t="s">
        <v>155</v>
      </c>
      <c r="R189" s="201" t="s">
        <v>156</v>
      </c>
      <c r="S189" s="201" t="s">
        <v>1918</v>
      </c>
      <c r="T189" s="201" t="s">
        <v>106</v>
      </c>
      <c r="U189" s="203">
        <v>33.89</v>
      </c>
      <c r="V189" s="203">
        <v>56.73</v>
      </c>
      <c r="W189" s="204"/>
      <c r="X189" s="205"/>
      <c r="Y189" s="203"/>
      <c r="Z189" s="206">
        <v>37130</v>
      </c>
      <c r="AA189" s="206" t="s">
        <v>79</v>
      </c>
      <c r="AB189" s="207" t="s">
        <v>1316</v>
      </c>
      <c r="AC189" s="208" t="s">
        <v>80</v>
      </c>
      <c r="AD189" s="209">
        <v>92400000</v>
      </c>
      <c r="AE189" s="209">
        <v>92400000</v>
      </c>
      <c r="AF189" s="207"/>
      <c r="AG189" s="207"/>
      <c r="AH189" s="209"/>
      <c r="AI189" s="207"/>
      <c r="AJ189" s="208"/>
      <c r="AK189" s="209"/>
      <c r="AL189" s="209"/>
      <c r="AM189" s="206"/>
      <c r="AN189" s="207"/>
      <c r="AO189" s="208"/>
      <c r="AP189" s="209"/>
      <c r="AQ189" s="209"/>
      <c r="AR189" s="207"/>
      <c r="AS189" s="207"/>
      <c r="AT189" s="209"/>
      <c r="AU189" s="209"/>
      <c r="AV189" s="209"/>
      <c r="AW189" s="466" t="s">
        <v>1313</v>
      </c>
      <c r="AX189" s="466" t="s">
        <v>1313</v>
      </c>
      <c r="AY189" s="466" t="s">
        <v>1313</v>
      </c>
      <c r="AZ189" s="466" t="s">
        <v>1313</v>
      </c>
      <c r="BA189" s="466" t="s">
        <v>1313</v>
      </c>
      <c r="BB189" s="466" t="s">
        <v>1313</v>
      </c>
      <c r="BC189" s="207" t="s">
        <v>1320</v>
      </c>
      <c r="BD189" s="210"/>
      <c r="BE189" s="210">
        <v>19811453</v>
      </c>
      <c r="BF189" s="207" t="s">
        <v>1919</v>
      </c>
      <c r="BG189" s="207"/>
      <c r="BH189" s="207" t="s">
        <v>87</v>
      </c>
      <c r="BI189" s="207" t="s">
        <v>1920</v>
      </c>
      <c r="BJ189" s="207"/>
      <c r="BK189" s="206">
        <v>42457</v>
      </c>
      <c r="BL189" s="206">
        <v>42530</v>
      </c>
      <c r="BM189" s="206"/>
      <c r="BN189" s="206"/>
      <c r="BO189" s="211"/>
      <c r="BP189" s="207"/>
      <c r="BQ189" s="207"/>
      <c r="BR189" s="206"/>
      <c r="BS189" s="206"/>
      <c r="BT189" s="212"/>
      <c r="BU189" s="212"/>
      <c r="BV189" s="206"/>
      <c r="BW189" s="212"/>
      <c r="BX189" s="206"/>
      <c r="BY189" s="212"/>
      <c r="BZ189" s="206"/>
      <c r="CA189" s="206">
        <v>42482</v>
      </c>
      <c r="CB189" s="213" t="s">
        <v>134</v>
      </c>
      <c r="CC189" s="212"/>
      <c r="CD189" s="212">
        <v>115000000</v>
      </c>
      <c r="CE189" s="212"/>
      <c r="CF189" s="212"/>
      <c r="CG189" s="212">
        <v>115000000</v>
      </c>
      <c r="CH189" s="200"/>
      <c r="CI189" s="212"/>
      <c r="CJ189" s="255"/>
    </row>
    <row r="190" spans="1:88" s="503" customFormat="1" ht="14.1" hidden="1" customHeight="1">
      <c r="A190" s="483" t="s">
        <v>3424</v>
      </c>
      <c r="B190" s="478" t="s">
        <v>3368</v>
      </c>
      <c r="C190" s="251" t="s">
        <v>3423</v>
      </c>
      <c r="D190" s="517" t="s">
        <v>3423</v>
      </c>
      <c r="E190" s="500">
        <v>72082059</v>
      </c>
      <c r="F190" s="251" t="s">
        <v>3187</v>
      </c>
      <c r="G190" s="501"/>
      <c r="H190" s="502"/>
      <c r="J190" s="199">
        <v>178</v>
      </c>
      <c r="K190" s="200"/>
      <c r="L190" s="200" t="s">
        <v>586</v>
      </c>
      <c r="M190" s="201" t="s">
        <v>92</v>
      </c>
      <c r="N190" s="536"/>
      <c r="O190" s="202">
        <v>1</v>
      </c>
      <c r="P190" s="201" t="s">
        <v>93</v>
      </c>
      <c r="Q190" s="201" t="s">
        <v>197</v>
      </c>
      <c r="R190" s="201" t="s">
        <v>1601</v>
      </c>
      <c r="S190" s="201" t="s">
        <v>1921</v>
      </c>
      <c r="T190" s="201" t="s">
        <v>106</v>
      </c>
      <c r="U190" s="203">
        <v>49.506799999999998</v>
      </c>
      <c r="V190" s="203">
        <v>101.7</v>
      </c>
      <c r="W190" s="204"/>
      <c r="X190" s="205"/>
      <c r="Y190" s="203"/>
      <c r="Z190" s="206">
        <v>37468</v>
      </c>
      <c r="AA190" s="206" t="s">
        <v>79</v>
      </c>
      <c r="AB190" s="207" t="s">
        <v>91</v>
      </c>
      <c r="AC190" s="208" t="s">
        <v>80</v>
      </c>
      <c r="AD190" s="209">
        <v>84000000</v>
      </c>
      <c r="AE190" s="209">
        <v>84000000</v>
      </c>
      <c r="AF190" s="207"/>
      <c r="AG190" s="207"/>
      <c r="AH190" s="209"/>
      <c r="AI190" s="207"/>
      <c r="AJ190" s="208"/>
      <c r="AK190" s="209"/>
      <c r="AL190" s="209"/>
      <c r="AM190" s="206"/>
      <c r="AN190" s="207"/>
      <c r="AO190" s="208"/>
      <c r="AP190" s="209"/>
      <c r="AQ190" s="209"/>
      <c r="AR190" s="207"/>
      <c r="AS190" s="207"/>
      <c r="AT190" s="209"/>
      <c r="AU190" s="209"/>
      <c r="AV190" s="209"/>
      <c r="AW190" s="466" t="s">
        <v>1313</v>
      </c>
      <c r="AX190" s="466" t="s">
        <v>1313</v>
      </c>
      <c r="AY190" s="466" t="s">
        <v>1313</v>
      </c>
      <c r="AZ190" s="466" t="s">
        <v>1313</v>
      </c>
      <c r="BA190" s="466" t="s">
        <v>1313</v>
      </c>
      <c r="BB190" s="466" t="s">
        <v>1313</v>
      </c>
      <c r="BC190" s="207" t="s">
        <v>1320</v>
      </c>
      <c r="BD190" s="210">
        <v>71149914</v>
      </c>
      <c r="BE190" s="210"/>
      <c r="BF190" s="207" t="s">
        <v>101</v>
      </c>
      <c r="BG190" s="207"/>
      <c r="BH190" s="207" t="s">
        <v>172</v>
      </c>
      <c r="BI190" s="207" t="s">
        <v>1922</v>
      </c>
      <c r="BJ190" s="207"/>
      <c r="BK190" s="206">
        <v>42467</v>
      </c>
      <c r="BL190" s="206">
        <v>42548</v>
      </c>
      <c r="BM190" s="206"/>
      <c r="BN190" s="206"/>
      <c r="BO190" s="211"/>
      <c r="BP190" s="207"/>
      <c r="BQ190" s="207"/>
      <c r="BR190" s="206"/>
      <c r="BS190" s="206"/>
      <c r="BT190" s="212"/>
      <c r="BU190" s="212"/>
      <c r="BV190" s="206"/>
      <c r="BW190" s="212"/>
      <c r="BX190" s="206"/>
      <c r="BY190" s="212"/>
      <c r="BZ190" s="206"/>
      <c r="CA190" s="206">
        <v>42482</v>
      </c>
      <c r="CB190" s="213" t="s">
        <v>134</v>
      </c>
      <c r="CC190" s="212"/>
      <c r="CD190" s="212">
        <v>392500000</v>
      </c>
      <c r="CE190" s="212"/>
      <c r="CF190" s="212"/>
      <c r="CG190" s="212">
        <v>392500000</v>
      </c>
      <c r="CH190" s="200"/>
      <c r="CI190" s="212"/>
      <c r="CJ190" s="255" t="s">
        <v>1923</v>
      </c>
    </row>
    <row r="191" spans="1:88" s="503" customFormat="1" ht="14.1" hidden="1" customHeight="1">
      <c r="A191" s="483" t="s">
        <v>3424</v>
      </c>
      <c r="B191" s="478" t="s">
        <v>3369</v>
      </c>
      <c r="C191" s="251" t="s">
        <v>3423</v>
      </c>
      <c r="D191" s="517" t="s">
        <v>3423</v>
      </c>
      <c r="E191" s="500">
        <v>70578790</v>
      </c>
      <c r="F191" s="251" t="s">
        <v>3184</v>
      </c>
      <c r="G191" s="501"/>
      <c r="H191" s="502"/>
      <c r="J191" s="199">
        <v>179</v>
      </c>
      <c r="K191" s="200"/>
      <c r="L191" s="200" t="s">
        <v>587</v>
      </c>
      <c r="M191" s="201" t="s">
        <v>152</v>
      </c>
      <c r="N191" s="536"/>
      <c r="O191" s="202">
        <v>1</v>
      </c>
      <c r="P191" s="201" t="s">
        <v>232</v>
      </c>
      <c r="Q191" s="201" t="s">
        <v>188</v>
      </c>
      <c r="R191" s="201" t="s">
        <v>1924</v>
      </c>
      <c r="S191" s="201" t="s">
        <v>1925</v>
      </c>
      <c r="T191" s="201" t="s">
        <v>106</v>
      </c>
      <c r="U191" s="203">
        <v>28.31</v>
      </c>
      <c r="V191" s="203">
        <v>68.31</v>
      </c>
      <c r="W191" s="204"/>
      <c r="X191" s="205"/>
      <c r="Y191" s="203"/>
      <c r="Z191" s="206">
        <v>41306</v>
      </c>
      <c r="AA191" s="206" t="s">
        <v>79</v>
      </c>
      <c r="AB191" s="207" t="s">
        <v>89</v>
      </c>
      <c r="AC191" s="208" t="s">
        <v>80</v>
      </c>
      <c r="AD191" s="209">
        <v>84000000</v>
      </c>
      <c r="AE191" s="209">
        <v>84000000</v>
      </c>
      <c r="AF191" s="207"/>
      <c r="AG191" s="207"/>
      <c r="AH191" s="209"/>
      <c r="AI191" s="207"/>
      <c r="AJ191" s="208"/>
      <c r="AK191" s="209"/>
      <c r="AL191" s="209"/>
      <c r="AM191" s="206"/>
      <c r="AN191" s="207"/>
      <c r="AO191" s="208"/>
      <c r="AP191" s="209"/>
      <c r="AQ191" s="209"/>
      <c r="AR191" s="207"/>
      <c r="AS191" s="207"/>
      <c r="AT191" s="209"/>
      <c r="AU191" s="209"/>
      <c r="AV191" s="209"/>
      <c r="AW191" s="466" t="s">
        <v>1313</v>
      </c>
      <c r="AX191" s="466" t="s">
        <v>1313</v>
      </c>
      <c r="AY191" s="466" t="s">
        <v>1313</v>
      </c>
      <c r="AZ191" s="466" t="s">
        <v>1313</v>
      </c>
      <c r="BA191" s="466" t="s">
        <v>1313</v>
      </c>
      <c r="BB191" s="466" t="s">
        <v>1313</v>
      </c>
      <c r="BC191" s="207" t="s">
        <v>1320</v>
      </c>
      <c r="BD191" s="210"/>
      <c r="BE191" s="210">
        <v>22000000</v>
      </c>
      <c r="BF191" s="207" t="s">
        <v>1361</v>
      </c>
      <c r="BG191" s="207"/>
      <c r="BH191" s="207" t="s">
        <v>237</v>
      </c>
      <c r="BI191" s="207" t="s">
        <v>1926</v>
      </c>
      <c r="BJ191" s="207"/>
      <c r="BK191" s="206">
        <v>42429</v>
      </c>
      <c r="BL191" s="206">
        <v>42507</v>
      </c>
      <c r="BM191" s="206"/>
      <c r="BN191" s="206"/>
      <c r="BO191" s="211"/>
      <c r="BP191" s="207"/>
      <c r="BQ191" s="207"/>
      <c r="BR191" s="206"/>
      <c r="BS191" s="206"/>
      <c r="BT191" s="212"/>
      <c r="BU191" s="212"/>
      <c r="BV191" s="206"/>
      <c r="BW191" s="212"/>
      <c r="BX191" s="206"/>
      <c r="BY191" s="212"/>
      <c r="BZ191" s="206"/>
      <c r="CA191" s="206">
        <v>42482</v>
      </c>
      <c r="CB191" s="213" t="s">
        <v>134</v>
      </c>
      <c r="CC191" s="212"/>
      <c r="CD191" s="212">
        <v>116500000</v>
      </c>
      <c r="CE191" s="212"/>
      <c r="CF191" s="212"/>
      <c r="CG191" s="212">
        <v>116500000</v>
      </c>
      <c r="CH191" s="200"/>
      <c r="CI191" s="212"/>
      <c r="CJ191" s="255" t="s">
        <v>416</v>
      </c>
    </row>
    <row r="192" spans="1:88" s="503" customFormat="1" ht="14.1" hidden="1" customHeight="1">
      <c r="A192" s="483" t="s">
        <v>3425</v>
      </c>
      <c r="B192" s="478" t="s">
        <v>3370</v>
      </c>
      <c r="C192" s="521" t="s">
        <v>3435</v>
      </c>
      <c r="D192" s="521" t="s">
        <v>3435</v>
      </c>
      <c r="E192" s="500">
        <v>69192318</v>
      </c>
      <c r="F192" s="251" t="s">
        <v>3187</v>
      </c>
      <c r="G192" s="501"/>
      <c r="H192" s="502"/>
      <c r="J192" s="199">
        <v>180</v>
      </c>
      <c r="K192" s="200"/>
      <c r="L192" s="200" t="s">
        <v>588</v>
      </c>
      <c r="M192" s="201" t="s">
        <v>152</v>
      </c>
      <c r="N192" s="536"/>
      <c r="O192" s="202">
        <v>1</v>
      </c>
      <c r="P192" s="201" t="s">
        <v>83</v>
      </c>
      <c r="Q192" s="201" t="s">
        <v>184</v>
      </c>
      <c r="R192" s="201" t="s">
        <v>233</v>
      </c>
      <c r="S192" s="201" t="s">
        <v>1927</v>
      </c>
      <c r="T192" s="201" t="s">
        <v>220</v>
      </c>
      <c r="U192" s="203">
        <v>10.6</v>
      </c>
      <c r="V192" s="203">
        <v>28.07</v>
      </c>
      <c r="W192" s="204"/>
      <c r="X192" s="205"/>
      <c r="Y192" s="203"/>
      <c r="Z192" s="206">
        <v>41856</v>
      </c>
      <c r="AA192" s="206" t="s">
        <v>79</v>
      </c>
      <c r="AB192" s="207">
        <v>1</v>
      </c>
      <c r="AC192" s="208" t="s">
        <v>80</v>
      </c>
      <c r="AD192" s="209">
        <v>33840000</v>
      </c>
      <c r="AE192" s="209">
        <v>33840000</v>
      </c>
      <c r="AF192" s="207"/>
      <c r="AG192" s="207"/>
      <c r="AH192" s="209"/>
      <c r="AI192" s="207"/>
      <c r="AJ192" s="208"/>
      <c r="AK192" s="209"/>
      <c r="AL192" s="209"/>
      <c r="AM192" s="206"/>
      <c r="AN192" s="207"/>
      <c r="AO192" s="208"/>
      <c r="AP192" s="209"/>
      <c r="AQ192" s="209"/>
      <c r="AR192" s="207"/>
      <c r="AS192" s="207"/>
      <c r="AT192" s="209"/>
      <c r="AU192" s="209"/>
      <c r="AV192" s="209"/>
      <c r="AW192" s="466" t="s">
        <v>1313</v>
      </c>
      <c r="AX192" s="466" t="s">
        <v>1313</v>
      </c>
      <c r="AY192" s="466" t="s">
        <v>1313</v>
      </c>
      <c r="AZ192" s="466" t="s">
        <v>1313</v>
      </c>
      <c r="BA192" s="466" t="s">
        <v>1313</v>
      </c>
      <c r="BB192" s="466" t="s">
        <v>1313</v>
      </c>
      <c r="BC192" s="207" t="s">
        <v>1320</v>
      </c>
      <c r="BD192" s="210">
        <v>68298694</v>
      </c>
      <c r="BE192" s="210"/>
      <c r="BF192" s="207" t="s">
        <v>101</v>
      </c>
      <c r="BG192" s="207"/>
      <c r="BH192" s="207" t="s">
        <v>87</v>
      </c>
      <c r="BI192" s="207" t="s">
        <v>1928</v>
      </c>
      <c r="BJ192" s="207"/>
      <c r="BK192" s="206">
        <v>42445</v>
      </c>
      <c r="BL192" s="206">
        <v>42528</v>
      </c>
      <c r="BM192" s="206"/>
      <c r="BN192" s="206"/>
      <c r="BO192" s="211"/>
      <c r="BP192" s="207"/>
      <c r="BQ192" s="207"/>
      <c r="BR192" s="206"/>
      <c r="BS192" s="206"/>
      <c r="BT192" s="212"/>
      <c r="BU192" s="212"/>
      <c r="BV192" s="206"/>
      <c r="BW192" s="212"/>
      <c r="BX192" s="206"/>
      <c r="BY192" s="212"/>
      <c r="BZ192" s="206"/>
      <c r="CA192" s="206">
        <v>41849</v>
      </c>
      <c r="CB192" s="213" t="s">
        <v>1857</v>
      </c>
      <c r="CC192" s="212"/>
      <c r="CD192" s="212">
        <v>47000000</v>
      </c>
      <c r="CE192" s="212"/>
      <c r="CF192" s="212"/>
      <c r="CG192" s="212">
        <v>47000000</v>
      </c>
      <c r="CH192" s="200"/>
      <c r="CI192" s="212"/>
      <c r="CJ192" s="255"/>
    </row>
    <row r="193" spans="1:88" s="503" customFormat="1" ht="14.1" hidden="1" customHeight="1">
      <c r="A193" s="483" t="s">
        <v>3426</v>
      </c>
      <c r="B193" s="478" t="s">
        <v>3371</v>
      </c>
      <c r="C193" s="521" t="s">
        <v>3435</v>
      </c>
      <c r="D193" s="517"/>
      <c r="E193" s="500"/>
      <c r="F193" s="251" t="s">
        <v>3187</v>
      </c>
      <c r="G193" s="501"/>
      <c r="H193" s="502"/>
      <c r="J193" s="199">
        <v>181</v>
      </c>
      <c r="K193" s="200"/>
      <c r="L193" s="200" t="s">
        <v>588</v>
      </c>
      <c r="M193" s="201" t="s">
        <v>152</v>
      </c>
      <c r="N193" s="536"/>
      <c r="O193" s="202">
        <v>2</v>
      </c>
      <c r="P193" s="201" t="s">
        <v>83</v>
      </c>
      <c r="Q193" s="201" t="s">
        <v>184</v>
      </c>
      <c r="R193" s="201" t="s">
        <v>219</v>
      </c>
      <c r="S193" s="201" t="s">
        <v>1929</v>
      </c>
      <c r="T193" s="201" t="s">
        <v>220</v>
      </c>
      <c r="U193" s="203">
        <v>13</v>
      </c>
      <c r="V193" s="203">
        <v>40.130000000000003</v>
      </c>
      <c r="W193" s="204"/>
      <c r="X193" s="205"/>
      <c r="Y193" s="203"/>
      <c r="Z193" s="206">
        <v>41899</v>
      </c>
      <c r="AA193" s="206" t="s">
        <v>79</v>
      </c>
      <c r="AB193" s="207">
        <v>1</v>
      </c>
      <c r="AC193" s="208" t="s">
        <v>80</v>
      </c>
      <c r="AD193" s="209">
        <v>46800000</v>
      </c>
      <c r="AE193" s="209">
        <v>46800000</v>
      </c>
      <c r="AF193" s="207"/>
      <c r="AG193" s="207"/>
      <c r="AH193" s="209"/>
      <c r="AI193" s="207"/>
      <c r="AJ193" s="208"/>
      <c r="AK193" s="209"/>
      <c r="AL193" s="209"/>
      <c r="AM193" s="206"/>
      <c r="AN193" s="207"/>
      <c r="AO193" s="208"/>
      <c r="AP193" s="209"/>
      <c r="AQ193" s="209"/>
      <c r="AR193" s="207"/>
      <c r="AS193" s="207"/>
      <c r="AT193" s="209"/>
      <c r="AU193" s="209"/>
      <c r="AV193" s="209"/>
      <c r="AW193" s="466" t="s">
        <v>1313</v>
      </c>
      <c r="AX193" s="466" t="s">
        <v>1313</v>
      </c>
      <c r="AY193" s="466" t="s">
        <v>1313</v>
      </c>
      <c r="AZ193" s="466" t="s">
        <v>1313</v>
      </c>
      <c r="BA193" s="466" t="s">
        <v>1313</v>
      </c>
      <c r="BB193" s="466" t="s">
        <v>1313</v>
      </c>
      <c r="BC193" s="207" t="s">
        <v>1320</v>
      </c>
      <c r="BD193" s="210">
        <v>68298694</v>
      </c>
      <c r="BE193" s="210"/>
      <c r="BF193" s="207" t="s">
        <v>101</v>
      </c>
      <c r="BG193" s="207"/>
      <c r="BH193" s="207" t="s">
        <v>87</v>
      </c>
      <c r="BI193" s="207" t="s">
        <v>1928</v>
      </c>
      <c r="BJ193" s="207"/>
      <c r="BK193" s="206">
        <v>42445</v>
      </c>
      <c r="BL193" s="206">
        <v>42528</v>
      </c>
      <c r="BM193" s="206"/>
      <c r="BN193" s="206"/>
      <c r="BO193" s="211"/>
      <c r="BP193" s="207"/>
      <c r="BQ193" s="207"/>
      <c r="BR193" s="206"/>
      <c r="BS193" s="206"/>
      <c r="BT193" s="212"/>
      <c r="BU193" s="212"/>
      <c r="BV193" s="206"/>
      <c r="BW193" s="212"/>
      <c r="BX193" s="206"/>
      <c r="BY193" s="212"/>
      <c r="BZ193" s="206"/>
      <c r="CA193" s="206">
        <v>41898</v>
      </c>
      <c r="CB193" s="213" t="s">
        <v>1930</v>
      </c>
      <c r="CC193" s="212"/>
      <c r="CD193" s="212">
        <v>60000000</v>
      </c>
      <c r="CE193" s="212"/>
      <c r="CF193" s="212"/>
      <c r="CG193" s="212">
        <v>60000000</v>
      </c>
      <c r="CH193" s="200"/>
      <c r="CI193" s="212"/>
      <c r="CJ193" s="255" t="s">
        <v>416</v>
      </c>
    </row>
    <row r="194" spans="1:88" s="503" customFormat="1" ht="14.1" hidden="1" customHeight="1">
      <c r="A194" s="483" t="s">
        <v>3424</v>
      </c>
      <c r="B194" s="478" t="s">
        <v>3372</v>
      </c>
      <c r="C194" s="251" t="s">
        <v>3423</v>
      </c>
      <c r="D194" s="517" t="s">
        <v>3423</v>
      </c>
      <c r="E194" s="500">
        <v>69060529</v>
      </c>
      <c r="F194" s="251" t="s">
        <v>3187</v>
      </c>
      <c r="G194" s="501"/>
      <c r="H194" s="502"/>
      <c r="J194" s="199">
        <v>182</v>
      </c>
      <c r="K194" s="200"/>
      <c r="L194" s="200" t="s">
        <v>589</v>
      </c>
      <c r="M194" s="201" t="s">
        <v>130</v>
      </c>
      <c r="N194" s="536"/>
      <c r="O194" s="202">
        <v>1</v>
      </c>
      <c r="P194" s="201" t="s">
        <v>145</v>
      </c>
      <c r="Q194" s="201" t="s">
        <v>1931</v>
      </c>
      <c r="R194" s="201" t="s">
        <v>1932</v>
      </c>
      <c r="S194" s="201" t="s">
        <v>1933</v>
      </c>
      <c r="T194" s="201" t="s">
        <v>106</v>
      </c>
      <c r="U194" s="203">
        <v>26.963799999999999</v>
      </c>
      <c r="V194" s="203">
        <v>84.94</v>
      </c>
      <c r="W194" s="204"/>
      <c r="X194" s="205"/>
      <c r="Y194" s="203"/>
      <c r="Z194" s="206">
        <v>38967</v>
      </c>
      <c r="AA194" s="206" t="s">
        <v>79</v>
      </c>
      <c r="AB194" s="207">
        <v>1</v>
      </c>
      <c r="AC194" s="208" t="s">
        <v>80</v>
      </c>
      <c r="AD194" s="209">
        <v>111600000</v>
      </c>
      <c r="AE194" s="209">
        <v>111600000</v>
      </c>
      <c r="AF194" s="207"/>
      <c r="AG194" s="207"/>
      <c r="AH194" s="209"/>
      <c r="AI194" s="207"/>
      <c r="AJ194" s="208"/>
      <c r="AK194" s="209"/>
      <c r="AL194" s="209"/>
      <c r="AM194" s="206"/>
      <c r="AN194" s="207"/>
      <c r="AO194" s="208"/>
      <c r="AP194" s="209"/>
      <c r="AQ194" s="209"/>
      <c r="AR194" s="207"/>
      <c r="AS194" s="207"/>
      <c r="AT194" s="209"/>
      <c r="AU194" s="209"/>
      <c r="AV194" s="209"/>
      <c r="AW194" s="466" t="s">
        <v>1313</v>
      </c>
      <c r="AX194" s="466" t="s">
        <v>1313</v>
      </c>
      <c r="AY194" s="466" t="s">
        <v>1313</v>
      </c>
      <c r="AZ194" s="466" t="s">
        <v>1313</v>
      </c>
      <c r="BA194" s="466" t="s">
        <v>1313</v>
      </c>
      <c r="BB194" s="466" t="s">
        <v>1313</v>
      </c>
      <c r="BC194" s="207" t="s">
        <v>82</v>
      </c>
      <c r="BD194" s="210"/>
      <c r="BE194" s="210"/>
      <c r="BF194" s="207"/>
      <c r="BG194" s="207"/>
      <c r="BH194" s="207"/>
      <c r="BI194" s="207"/>
      <c r="BJ194" s="207"/>
      <c r="BK194" s="206"/>
      <c r="BL194" s="206"/>
      <c r="BM194" s="206"/>
      <c r="BN194" s="206"/>
      <c r="BO194" s="211"/>
      <c r="BP194" s="207"/>
      <c r="BQ194" s="207"/>
      <c r="BR194" s="206"/>
      <c r="BS194" s="206"/>
      <c r="BT194" s="212"/>
      <c r="BU194" s="212"/>
      <c r="BV194" s="206"/>
      <c r="BW194" s="212"/>
      <c r="BX194" s="206"/>
      <c r="BY194" s="212"/>
      <c r="BZ194" s="206"/>
      <c r="CA194" s="206">
        <v>42482</v>
      </c>
      <c r="CB194" s="213" t="s">
        <v>134</v>
      </c>
      <c r="CC194" s="212"/>
      <c r="CD194" s="212">
        <v>290000000</v>
      </c>
      <c r="CE194" s="212"/>
      <c r="CF194" s="212"/>
      <c r="CG194" s="212">
        <v>290000000</v>
      </c>
      <c r="CH194" s="200"/>
      <c r="CI194" s="212"/>
      <c r="CJ194" s="255" t="s">
        <v>416</v>
      </c>
    </row>
    <row r="195" spans="1:88" s="503" customFormat="1" ht="14.1" hidden="1" customHeight="1">
      <c r="A195" s="483" t="s">
        <v>3424</v>
      </c>
      <c r="B195" s="478" t="s">
        <v>3373</v>
      </c>
      <c r="C195" s="521" t="s">
        <v>3435</v>
      </c>
      <c r="D195" s="521" t="s">
        <v>3435</v>
      </c>
      <c r="E195" s="500">
        <v>66000000</v>
      </c>
      <c r="F195" s="251" t="s">
        <v>3184</v>
      </c>
      <c r="G195" s="501"/>
      <c r="H195" s="502"/>
      <c r="J195" s="199">
        <v>183</v>
      </c>
      <c r="K195" s="200"/>
      <c r="L195" s="200" t="s">
        <v>590</v>
      </c>
      <c r="M195" s="201" t="s">
        <v>672</v>
      </c>
      <c r="N195" s="536"/>
      <c r="O195" s="202">
        <v>1</v>
      </c>
      <c r="P195" s="201" t="s">
        <v>164</v>
      </c>
      <c r="Q195" s="201" t="s">
        <v>1934</v>
      </c>
      <c r="R195" s="201" t="s">
        <v>1935</v>
      </c>
      <c r="S195" s="201" t="s">
        <v>1936</v>
      </c>
      <c r="T195" s="201" t="s">
        <v>220</v>
      </c>
      <c r="U195" s="203">
        <v>45.92</v>
      </c>
      <c r="V195" s="203">
        <v>64.23</v>
      </c>
      <c r="W195" s="204"/>
      <c r="X195" s="205"/>
      <c r="Y195" s="203"/>
      <c r="Z195" s="206">
        <v>41341</v>
      </c>
      <c r="AA195" s="206" t="s">
        <v>79</v>
      </c>
      <c r="AB195" s="207">
        <v>1</v>
      </c>
      <c r="AC195" s="208" t="s">
        <v>80</v>
      </c>
      <c r="AD195" s="209">
        <v>79200000</v>
      </c>
      <c r="AE195" s="209">
        <v>79200000</v>
      </c>
      <c r="AF195" s="207"/>
      <c r="AG195" s="207"/>
      <c r="AH195" s="209"/>
      <c r="AI195" s="207"/>
      <c r="AJ195" s="208"/>
      <c r="AK195" s="209"/>
      <c r="AL195" s="209"/>
      <c r="AM195" s="206"/>
      <c r="AN195" s="207"/>
      <c r="AO195" s="208"/>
      <c r="AP195" s="209"/>
      <c r="AQ195" s="209"/>
      <c r="AR195" s="207"/>
      <c r="AS195" s="207"/>
      <c r="AT195" s="209"/>
      <c r="AU195" s="209"/>
      <c r="AV195" s="209"/>
      <c r="AW195" s="466" t="s">
        <v>1313</v>
      </c>
      <c r="AX195" s="466" t="s">
        <v>1313</v>
      </c>
      <c r="AY195" s="466" t="s">
        <v>1313</v>
      </c>
      <c r="AZ195" s="466" t="s">
        <v>1313</v>
      </c>
      <c r="BA195" s="466" t="s">
        <v>1313</v>
      </c>
      <c r="BB195" s="466" t="s">
        <v>1313</v>
      </c>
      <c r="BC195" s="207" t="s">
        <v>82</v>
      </c>
      <c r="BD195" s="210"/>
      <c r="BE195" s="210"/>
      <c r="BF195" s="207"/>
      <c r="BG195" s="207"/>
      <c r="BH195" s="207"/>
      <c r="BI195" s="207"/>
      <c r="BJ195" s="207"/>
      <c r="BK195" s="206"/>
      <c r="BL195" s="206"/>
      <c r="BM195" s="206"/>
      <c r="BN195" s="206"/>
      <c r="BO195" s="211"/>
      <c r="BP195" s="207"/>
      <c r="BQ195" s="207"/>
      <c r="BR195" s="206"/>
      <c r="BS195" s="206"/>
      <c r="BT195" s="212"/>
      <c r="BU195" s="212"/>
      <c r="BV195" s="206"/>
      <c r="BW195" s="212"/>
      <c r="BX195" s="206"/>
      <c r="BY195" s="212"/>
      <c r="BZ195" s="206"/>
      <c r="CA195" s="206">
        <v>41330</v>
      </c>
      <c r="CB195" s="213" t="s">
        <v>1500</v>
      </c>
      <c r="CC195" s="212"/>
      <c r="CD195" s="212">
        <v>134000000</v>
      </c>
      <c r="CE195" s="212"/>
      <c r="CF195" s="212"/>
      <c r="CG195" s="212">
        <v>134000000</v>
      </c>
      <c r="CH195" s="200"/>
      <c r="CI195" s="212"/>
      <c r="CJ195" s="255" t="s">
        <v>416</v>
      </c>
    </row>
    <row r="196" spans="1:88" s="503" customFormat="1" ht="14.1" hidden="1" customHeight="1">
      <c r="A196" s="483" t="s">
        <v>3424</v>
      </c>
      <c r="B196" s="478" t="s">
        <v>3374</v>
      </c>
      <c r="C196" s="521" t="s">
        <v>3435</v>
      </c>
      <c r="D196" s="521" t="s">
        <v>3435</v>
      </c>
      <c r="E196" s="500">
        <v>65374967</v>
      </c>
      <c r="F196" s="251" t="s">
        <v>3187</v>
      </c>
      <c r="G196" s="501"/>
      <c r="H196" s="502"/>
      <c r="J196" s="199">
        <v>184</v>
      </c>
      <c r="K196" s="200"/>
      <c r="L196" s="200" t="s">
        <v>591</v>
      </c>
      <c r="M196" s="201" t="s">
        <v>675</v>
      </c>
      <c r="N196" s="536"/>
      <c r="O196" s="202">
        <v>1</v>
      </c>
      <c r="P196" s="201" t="s">
        <v>145</v>
      </c>
      <c r="Q196" s="201" t="s">
        <v>1937</v>
      </c>
      <c r="R196" s="201" t="s">
        <v>160</v>
      </c>
      <c r="S196" s="201" t="s">
        <v>1938</v>
      </c>
      <c r="T196" s="201" t="s">
        <v>220</v>
      </c>
      <c r="U196" s="203">
        <v>26.656600000000001</v>
      </c>
      <c r="V196" s="203">
        <v>33.74</v>
      </c>
      <c r="W196" s="204"/>
      <c r="X196" s="205"/>
      <c r="Y196" s="203"/>
      <c r="Z196" s="206">
        <v>42135</v>
      </c>
      <c r="AA196" s="206" t="s">
        <v>79</v>
      </c>
      <c r="AB196" s="207">
        <v>1</v>
      </c>
      <c r="AC196" s="208" t="s">
        <v>80</v>
      </c>
      <c r="AD196" s="209">
        <v>76800000</v>
      </c>
      <c r="AE196" s="209">
        <v>76800000</v>
      </c>
      <c r="AF196" s="207"/>
      <c r="AG196" s="207"/>
      <c r="AH196" s="209"/>
      <c r="AI196" s="207"/>
      <c r="AJ196" s="208"/>
      <c r="AK196" s="209"/>
      <c r="AL196" s="209"/>
      <c r="AM196" s="206"/>
      <c r="AN196" s="207"/>
      <c r="AO196" s="208"/>
      <c r="AP196" s="209"/>
      <c r="AQ196" s="209"/>
      <c r="AR196" s="207"/>
      <c r="AS196" s="207"/>
      <c r="AT196" s="209"/>
      <c r="AU196" s="209"/>
      <c r="AV196" s="209"/>
      <c r="AW196" s="466" t="s">
        <v>1313</v>
      </c>
      <c r="AX196" s="466" t="s">
        <v>1313</v>
      </c>
      <c r="AY196" s="466" t="s">
        <v>1313</v>
      </c>
      <c r="AZ196" s="466" t="s">
        <v>1313</v>
      </c>
      <c r="BA196" s="466" t="s">
        <v>1313</v>
      </c>
      <c r="BB196" s="466" t="s">
        <v>1313</v>
      </c>
      <c r="BC196" s="207" t="s">
        <v>82</v>
      </c>
      <c r="BD196" s="210"/>
      <c r="BE196" s="210"/>
      <c r="BF196" s="207"/>
      <c r="BG196" s="207"/>
      <c r="BH196" s="207"/>
      <c r="BI196" s="207"/>
      <c r="BJ196" s="207"/>
      <c r="BK196" s="206"/>
      <c r="BL196" s="206"/>
      <c r="BM196" s="206"/>
      <c r="BN196" s="206"/>
      <c r="BO196" s="211"/>
      <c r="BP196" s="207"/>
      <c r="BQ196" s="207"/>
      <c r="BR196" s="206"/>
      <c r="BS196" s="206"/>
      <c r="BT196" s="212"/>
      <c r="BU196" s="212"/>
      <c r="BV196" s="206"/>
      <c r="BW196" s="212"/>
      <c r="BX196" s="206"/>
      <c r="BY196" s="212"/>
      <c r="BZ196" s="206"/>
      <c r="CA196" s="206">
        <v>42130</v>
      </c>
      <c r="CB196" s="213" t="s">
        <v>223</v>
      </c>
      <c r="CC196" s="212"/>
      <c r="CD196" s="212">
        <v>120000000</v>
      </c>
      <c r="CE196" s="212"/>
      <c r="CF196" s="212"/>
      <c r="CG196" s="212">
        <v>120000000</v>
      </c>
      <c r="CH196" s="200"/>
      <c r="CI196" s="212"/>
      <c r="CJ196" s="255"/>
    </row>
    <row r="197" spans="1:88" s="503" customFormat="1" ht="14.1" hidden="1" customHeight="1">
      <c r="A197" s="483" t="s">
        <v>3424</v>
      </c>
      <c r="B197" s="478" t="s">
        <v>3375</v>
      </c>
      <c r="C197" s="251" t="s">
        <v>3423</v>
      </c>
      <c r="D197" s="517" t="s">
        <v>3423</v>
      </c>
      <c r="E197" s="500">
        <v>65000000</v>
      </c>
      <c r="F197" s="251" t="s">
        <v>3189</v>
      </c>
      <c r="G197" s="501"/>
      <c r="H197" s="502"/>
      <c r="J197" s="199">
        <v>185</v>
      </c>
      <c r="K197" s="200"/>
      <c r="L197" s="200" t="s">
        <v>592</v>
      </c>
      <c r="M197" s="201" t="s">
        <v>208</v>
      </c>
      <c r="N197" s="536"/>
      <c r="O197" s="202">
        <v>1</v>
      </c>
      <c r="P197" s="201" t="s">
        <v>93</v>
      </c>
      <c r="Q197" s="201" t="s">
        <v>128</v>
      </c>
      <c r="R197" s="201" t="s">
        <v>1582</v>
      </c>
      <c r="S197" s="201" t="s">
        <v>1939</v>
      </c>
      <c r="T197" s="201" t="s">
        <v>106</v>
      </c>
      <c r="U197" s="203">
        <v>58.863999999999997</v>
      </c>
      <c r="V197" s="203">
        <v>64.92</v>
      </c>
      <c r="W197" s="204"/>
      <c r="X197" s="205"/>
      <c r="Y197" s="203"/>
      <c r="Z197" s="206">
        <v>41325</v>
      </c>
      <c r="AA197" s="206" t="s">
        <v>79</v>
      </c>
      <c r="AB197" s="207" t="s">
        <v>98</v>
      </c>
      <c r="AC197" s="208" t="s">
        <v>80</v>
      </c>
      <c r="AD197" s="209">
        <v>78000000</v>
      </c>
      <c r="AE197" s="209">
        <v>78000000</v>
      </c>
      <c r="AF197" s="207"/>
      <c r="AG197" s="207"/>
      <c r="AH197" s="209"/>
      <c r="AI197" s="207"/>
      <c r="AJ197" s="208"/>
      <c r="AK197" s="209"/>
      <c r="AL197" s="209"/>
      <c r="AM197" s="206"/>
      <c r="AN197" s="207"/>
      <c r="AO197" s="208"/>
      <c r="AP197" s="209"/>
      <c r="AQ197" s="209"/>
      <c r="AR197" s="207"/>
      <c r="AS197" s="207"/>
      <c r="AT197" s="209"/>
      <c r="AU197" s="209"/>
      <c r="AV197" s="209"/>
      <c r="AW197" s="466" t="s">
        <v>1313</v>
      </c>
      <c r="AX197" s="466" t="s">
        <v>1313</v>
      </c>
      <c r="AY197" s="466" t="s">
        <v>1313</v>
      </c>
      <c r="AZ197" s="466" t="s">
        <v>1313</v>
      </c>
      <c r="BA197" s="466" t="s">
        <v>1313</v>
      </c>
      <c r="BB197" s="466" t="s">
        <v>1313</v>
      </c>
      <c r="BC197" s="207" t="s">
        <v>82</v>
      </c>
      <c r="BD197" s="210"/>
      <c r="BE197" s="210"/>
      <c r="BF197" s="207"/>
      <c r="BG197" s="207"/>
      <c r="BH197" s="207"/>
      <c r="BI197" s="207"/>
      <c r="BJ197" s="207"/>
      <c r="BK197" s="206"/>
      <c r="BL197" s="206"/>
      <c r="BM197" s="206"/>
      <c r="BN197" s="206"/>
      <c r="BO197" s="211"/>
      <c r="BP197" s="207"/>
      <c r="BQ197" s="207"/>
      <c r="BR197" s="206"/>
      <c r="BS197" s="206"/>
      <c r="BT197" s="212"/>
      <c r="BU197" s="212"/>
      <c r="BV197" s="206"/>
      <c r="BW197" s="212"/>
      <c r="BX197" s="206"/>
      <c r="BY197" s="212"/>
      <c r="BZ197" s="206"/>
      <c r="CA197" s="206">
        <v>42482</v>
      </c>
      <c r="CB197" s="213" t="s">
        <v>134</v>
      </c>
      <c r="CC197" s="212"/>
      <c r="CD197" s="212">
        <v>125000000</v>
      </c>
      <c r="CE197" s="212"/>
      <c r="CF197" s="212"/>
      <c r="CG197" s="212">
        <v>125000000</v>
      </c>
      <c r="CH197" s="200"/>
      <c r="CI197" s="212"/>
      <c r="CJ197" s="255" t="s">
        <v>416</v>
      </c>
    </row>
    <row r="198" spans="1:88" s="503" customFormat="1" ht="14.1" hidden="1" customHeight="1">
      <c r="A198" s="483" t="s">
        <v>3424</v>
      </c>
      <c r="B198" s="478" t="s">
        <v>3376</v>
      </c>
      <c r="C198" s="521" t="s">
        <v>3435</v>
      </c>
      <c r="D198" s="521" t="s">
        <v>3435</v>
      </c>
      <c r="E198" s="500">
        <v>64630771</v>
      </c>
      <c r="F198" s="251" t="s">
        <v>3187</v>
      </c>
      <c r="G198" s="501"/>
      <c r="H198" s="502"/>
      <c r="J198" s="199">
        <v>186</v>
      </c>
      <c r="K198" s="200"/>
      <c r="L198" s="200" t="s">
        <v>593</v>
      </c>
      <c r="M198" s="201" t="s">
        <v>175</v>
      </c>
      <c r="N198" s="536"/>
      <c r="O198" s="202">
        <v>1</v>
      </c>
      <c r="P198" s="201" t="s">
        <v>103</v>
      </c>
      <c r="Q198" s="201" t="s">
        <v>136</v>
      </c>
      <c r="R198" s="201" t="s">
        <v>1940</v>
      </c>
      <c r="S198" s="201" t="s">
        <v>1941</v>
      </c>
      <c r="T198" s="201" t="s">
        <v>112</v>
      </c>
      <c r="U198" s="203">
        <v>19.559999999999999</v>
      </c>
      <c r="V198" s="203">
        <v>39.65</v>
      </c>
      <c r="W198" s="204"/>
      <c r="X198" s="205"/>
      <c r="Y198" s="203"/>
      <c r="Z198" s="206">
        <v>41430</v>
      </c>
      <c r="AA198" s="206" t="s">
        <v>79</v>
      </c>
      <c r="AB198" s="207" t="s">
        <v>89</v>
      </c>
      <c r="AC198" s="208" t="s">
        <v>80</v>
      </c>
      <c r="AD198" s="209">
        <v>79200000</v>
      </c>
      <c r="AE198" s="209">
        <v>79200000</v>
      </c>
      <c r="AF198" s="207"/>
      <c r="AG198" s="207"/>
      <c r="AH198" s="209"/>
      <c r="AI198" s="207"/>
      <c r="AJ198" s="208"/>
      <c r="AK198" s="209"/>
      <c r="AL198" s="209"/>
      <c r="AM198" s="206"/>
      <c r="AN198" s="207"/>
      <c r="AO198" s="208"/>
      <c r="AP198" s="209"/>
      <c r="AQ198" s="209"/>
      <c r="AR198" s="207"/>
      <c r="AS198" s="207"/>
      <c r="AT198" s="209"/>
      <c r="AU198" s="209"/>
      <c r="AV198" s="209"/>
      <c r="AW198" s="466" t="s">
        <v>1313</v>
      </c>
      <c r="AX198" s="466" t="s">
        <v>1313</v>
      </c>
      <c r="AY198" s="466" t="s">
        <v>1313</v>
      </c>
      <c r="AZ198" s="466" t="s">
        <v>1313</v>
      </c>
      <c r="BA198" s="466" t="s">
        <v>1313</v>
      </c>
      <c r="BB198" s="466" t="s">
        <v>1313</v>
      </c>
      <c r="BC198" s="207" t="s">
        <v>1320</v>
      </c>
      <c r="BD198" s="210">
        <v>63851114</v>
      </c>
      <c r="BE198" s="210"/>
      <c r="BF198" s="207" t="s">
        <v>101</v>
      </c>
      <c r="BG198" s="207"/>
      <c r="BH198" s="207" t="s">
        <v>114</v>
      </c>
      <c r="BI198" s="207" t="s">
        <v>1942</v>
      </c>
      <c r="BJ198" s="207"/>
      <c r="BK198" s="206">
        <v>42479</v>
      </c>
      <c r="BL198" s="206">
        <v>42552</v>
      </c>
      <c r="BM198" s="206"/>
      <c r="BN198" s="206"/>
      <c r="BO198" s="211"/>
      <c r="BP198" s="207"/>
      <c r="BQ198" s="207"/>
      <c r="BR198" s="206"/>
      <c r="BS198" s="206"/>
      <c r="BT198" s="212"/>
      <c r="BU198" s="212"/>
      <c r="BV198" s="206"/>
      <c r="BW198" s="212"/>
      <c r="BX198" s="206"/>
      <c r="BY198" s="212"/>
      <c r="BZ198" s="206"/>
      <c r="CA198" s="206">
        <v>41415</v>
      </c>
      <c r="CB198" s="213" t="s">
        <v>223</v>
      </c>
      <c r="CC198" s="212"/>
      <c r="CD198" s="212">
        <v>110000000</v>
      </c>
      <c r="CE198" s="212"/>
      <c r="CF198" s="212"/>
      <c r="CG198" s="212">
        <v>110000000</v>
      </c>
      <c r="CH198" s="200"/>
      <c r="CI198" s="212"/>
      <c r="CJ198" s="255" t="s">
        <v>416</v>
      </c>
    </row>
    <row r="199" spans="1:88" s="503" customFormat="1" ht="14.1" hidden="1" customHeight="1">
      <c r="A199" s="483" t="s">
        <v>3424</v>
      </c>
      <c r="B199" s="478" t="s">
        <v>3377</v>
      </c>
      <c r="C199" s="521" t="s">
        <v>3435</v>
      </c>
      <c r="D199" s="521" t="s">
        <v>3435</v>
      </c>
      <c r="E199" s="500">
        <v>63640510</v>
      </c>
      <c r="F199" s="251" t="s">
        <v>3184</v>
      </c>
      <c r="G199" s="501"/>
      <c r="H199" s="502"/>
      <c r="J199" s="199">
        <v>187</v>
      </c>
      <c r="K199" s="200"/>
      <c r="L199" s="200" t="s">
        <v>594</v>
      </c>
      <c r="M199" s="201" t="s">
        <v>173</v>
      </c>
      <c r="N199" s="536"/>
      <c r="O199" s="202">
        <v>1</v>
      </c>
      <c r="P199" s="201" t="s">
        <v>93</v>
      </c>
      <c r="Q199" s="201" t="s">
        <v>94</v>
      </c>
      <c r="R199" s="201" t="s">
        <v>1328</v>
      </c>
      <c r="S199" s="201" t="s">
        <v>1943</v>
      </c>
      <c r="T199" s="201" t="s">
        <v>220</v>
      </c>
      <c r="U199" s="203">
        <v>29.33</v>
      </c>
      <c r="V199" s="203">
        <v>59.92</v>
      </c>
      <c r="W199" s="204"/>
      <c r="X199" s="205"/>
      <c r="Y199" s="203"/>
      <c r="Z199" s="206">
        <v>42152</v>
      </c>
      <c r="AA199" s="206" t="s">
        <v>79</v>
      </c>
      <c r="AB199" s="207">
        <v>1</v>
      </c>
      <c r="AC199" s="208" t="s">
        <v>80</v>
      </c>
      <c r="AD199" s="209">
        <v>78000000</v>
      </c>
      <c r="AE199" s="209">
        <v>78000000</v>
      </c>
      <c r="AF199" s="207"/>
      <c r="AG199" s="207"/>
      <c r="AH199" s="209"/>
      <c r="AI199" s="207"/>
      <c r="AJ199" s="208"/>
      <c r="AK199" s="209"/>
      <c r="AL199" s="209"/>
      <c r="AM199" s="206"/>
      <c r="AN199" s="207"/>
      <c r="AO199" s="208"/>
      <c r="AP199" s="209"/>
      <c r="AQ199" s="209"/>
      <c r="AR199" s="207"/>
      <c r="AS199" s="207"/>
      <c r="AT199" s="209"/>
      <c r="AU199" s="209"/>
      <c r="AV199" s="209"/>
      <c r="AW199" s="466" t="s">
        <v>1313</v>
      </c>
      <c r="AX199" s="466" t="s">
        <v>1313</v>
      </c>
      <c r="AY199" s="466" t="s">
        <v>1313</v>
      </c>
      <c r="AZ199" s="466" t="s">
        <v>1313</v>
      </c>
      <c r="BA199" s="466" t="s">
        <v>1313</v>
      </c>
      <c r="BB199" s="466" t="s">
        <v>1313</v>
      </c>
      <c r="BC199" s="207" t="s">
        <v>82</v>
      </c>
      <c r="BD199" s="210"/>
      <c r="BE199" s="210"/>
      <c r="BF199" s="207"/>
      <c r="BG199" s="207"/>
      <c r="BH199" s="207"/>
      <c r="BI199" s="207"/>
      <c r="BJ199" s="207"/>
      <c r="BK199" s="206"/>
      <c r="BL199" s="206"/>
      <c r="BM199" s="206"/>
      <c r="BN199" s="206"/>
      <c r="BO199" s="211"/>
      <c r="BP199" s="207"/>
      <c r="BQ199" s="207"/>
      <c r="BR199" s="206"/>
      <c r="BS199" s="206"/>
      <c r="BT199" s="212"/>
      <c r="BU199" s="212"/>
      <c r="BV199" s="206"/>
      <c r="BW199" s="212"/>
      <c r="BX199" s="206"/>
      <c r="BY199" s="212"/>
      <c r="BZ199" s="206"/>
      <c r="CA199" s="206">
        <v>42146</v>
      </c>
      <c r="CB199" s="213" t="s">
        <v>1348</v>
      </c>
      <c r="CC199" s="212"/>
      <c r="CD199" s="212">
        <v>100000000</v>
      </c>
      <c r="CE199" s="212"/>
      <c r="CF199" s="212"/>
      <c r="CG199" s="212">
        <v>100000000</v>
      </c>
      <c r="CH199" s="200"/>
      <c r="CI199" s="212"/>
      <c r="CJ199" s="255" t="s">
        <v>416</v>
      </c>
    </row>
    <row r="200" spans="1:88" s="503" customFormat="1" ht="14.1" hidden="1" customHeight="1">
      <c r="A200" s="483" t="s">
        <v>3424</v>
      </c>
      <c r="B200" s="478" t="s">
        <v>3378</v>
      </c>
      <c r="C200" s="521" t="s">
        <v>3435</v>
      </c>
      <c r="D200" s="521" t="s">
        <v>3435</v>
      </c>
      <c r="E200" s="500">
        <v>61869310</v>
      </c>
      <c r="F200" s="251" t="s">
        <v>3189</v>
      </c>
      <c r="G200" s="501"/>
      <c r="H200" s="502"/>
      <c r="J200" s="199">
        <v>188</v>
      </c>
      <c r="K200" s="200"/>
      <c r="L200" s="200" t="s">
        <v>595</v>
      </c>
      <c r="M200" s="201" t="s">
        <v>676</v>
      </c>
      <c r="N200" s="536"/>
      <c r="O200" s="202">
        <v>1</v>
      </c>
      <c r="P200" s="201" t="s">
        <v>139</v>
      </c>
      <c r="Q200" s="201" t="s">
        <v>1944</v>
      </c>
      <c r="R200" s="201" t="s">
        <v>1945</v>
      </c>
      <c r="S200" s="201" t="s">
        <v>1946</v>
      </c>
      <c r="T200" s="201" t="s">
        <v>187</v>
      </c>
      <c r="U200" s="203">
        <v>568</v>
      </c>
      <c r="V200" s="203">
        <v>0</v>
      </c>
      <c r="W200" s="204"/>
      <c r="X200" s="205"/>
      <c r="Y200" s="203"/>
      <c r="Z200" s="206">
        <v>40560</v>
      </c>
      <c r="AA200" s="206" t="s">
        <v>79</v>
      </c>
      <c r="AB200" s="207">
        <v>1</v>
      </c>
      <c r="AC200" s="208" t="s">
        <v>80</v>
      </c>
      <c r="AD200" s="209">
        <v>78000000</v>
      </c>
      <c r="AE200" s="209">
        <v>78000000</v>
      </c>
      <c r="AF200" s="207"/>
      <c r="AG200" s="207"/>
      <c r="AH200" s="209"/>
      <c r="AI200" s="207"/>
      <c r="AJ200" s="208"/>
      <c r="AK200" s="209"/>
      <c r="AL200" s="209"/>
      <c r="AM200" s="206"/>
      <c r="AN200" s="207"/>
      <c r="AO200" s="208"/>
      <c r="AP200" s="209"/>
      <c r="AQ200" s="209"/>
      <c r="AR200" s="207"/>
      <c r="AS200" s="207"/>
      <c r="AT200" s="209"/>
      <c r="AU200" s="209"/>
      <c r="AV200" s="209"/>
      <c r="AW200" s="466" t="s">
        <v>1313</v>
      </c>
      <c r="AX200" s="466" t="s">
        <v>1313</v>
      </c>
      <c r="AY200" s="466" t="s">
        <v>1313</v>
      </c>
      <c r="AZ200" s="466" t="s">
        <v>1313</v>
      </c>
      <c r="BA200" s="466" t="s">
        <v>1313</v>
      </c>
      <c r="BB200" s="466" t="s">
        <v>1313</v>
      </c>
      <c r="BC200" s="207" t="s">
        <v>1320</v>
      </c>
      <c r="BD200" s="210">
        <v>60519048</v>
      </c>
      <c r="BE200" s="210"/>
      <c r="BF200" s="207" t="s">
        <v>101</v>
      </c>
      <c r="BG200" s="207"/>
      <c r="BH200" s="207" t="s">
        <v>1947</v>
      </c>
      <c r="BI200" s="207" t="s">
        <v>1948</v>
      </c>
      <c r="BJ200" s="207"/>
      <c r="BK200" s="206">
        <v>42447</v>
      </c>
      <c r="BL200" s="206">
        <v>42541</v>
      </c>
      <c r="BM200" s="206"/>
      <c r="BN200" s="206"/>
      <c r="BO200" s="211"/>
      <c r="BP200" s="207"/>
      <c r="BQ200" s="207"/>
      <c r="BR200" s="206"/>
      <c r="BS200" s="206"/>
      <c r="BT200" s="212"/>
      <c r="BU200" s="212"/>
      <c r="BV200" s="206"/>
      <c r="BW200" s="212"/>
      <c r="BX200" s="206"/>
      <c r="BY200" s="212"/>
      <c r="BZ200" s="206"/>
      <c r="CA200" s="206">
        <v>40561</v>
      </c>
      <c r="CB200" s="213" t="s">
        <v>223</v>
      </c>
      <c r="CC200" s="212">
        <v>102240000</v>
      </c>
      <c r="CD200" s="212"/>
      <c r="CE200" s="212"/>
      <c r="CF200" s="212"/>
      <c r="CG200" s="212">
        <v>102240000</v>
      </c>
      <c r="CH200" s="200"/>
      <c r="CI200" s="212"/>
      <c r="CJ200" s="255" t="s">
        <v>1949</v>
      </c>
    </row>
    <row r="201" spans="1:88" s="503" customFormat="1" ht="14.1" hidden="1" customHeight="1">
      <c r="A201" s="483" t="s">
        <v>3424</v>
      </c>
      <c r="B201" s="478" t="s">
        <v>3379</v>
      </c>
      <c r="C201" s="521" t="s">
        <v>3435</v>
      </c>
      <c r="D201" s="521" t="s">
        <v>3435</v>
      </c>
      <c r="E201" s="500">
        <v>60937902</v>
      </c>
      <c r="F201" s="251" t="s">
        <v>3184</v>
      </c>
      <c r="G201" s="501"/>
      <c r="H201" s="502"/>
      <c r="J201" s="199">
        <v>189</v>
      </c>
      <c r="K201" s="200"/>
      <c r="L201" s="200" t="s">
        <v>596</v>
      </c>
      <c r="M201" s="201" t="s">
        <v>130</v>
      </c>
      <c r="N201" s="536"/>
      <c r="O201" s="202">
        <v>1</v>
      </c>
      <c r="P201" s="201" t="s">
        <v>93</v>
      </c>
      <c r="Q201" s="201" t="s">
        <v>240</v>
      </c>
      <c r="R201" s="201" t="s">
        <v>241</v>
      </c>
      <c r="S201" s="201" t="s">
        <v>1950</v>
      </c>
      <c r="T201" s="201" t="s">
        <v>220</v>
      </c>
      <c r="U201" s="203">
        <v>27.675000000000001</v>
      </c>
      <c r="V201" s="203">
        <v>36.43</v>
      </c>
      <c r="W201" s="204"/>
      <c r="X201" s="205"/>
      <c r="Y201" s="203"/>
      <c r="Z201" s="206">
        <v>41793</v>
      </c>
      <c r="AA201" s="206" t="s">
        <v>79</v>
      </c>
      <c r="AB201" s="207">
        <v>1</v>
      </c>
      <c r="AC201" s="208" t="s">
        <v>80</v>
      </c>
      <c r="AD201" s="209">
        <v>82800000</v>
      </c>
      <c r="AE201" s="209">
        <v>82800000</v>
      </c>
      <c r="AF201" s="207"/>
      <c r="AG201" s="207"/>
      <c r="AH201" s="209"/>
      <c r="AI201" s="207"/>
      <c r="AJ201" s="208"/>
      <c r="AK201" s="209"/>
      <c r="AL201" s="209"/>
      <c r="AM201" s="206"/>
      <c r="AN201" s="207"/>
      <c r="AO201" s="208"/>
      <c r="AP201" s="209"/>
      <c r="AQ201" s="209"/>
      <c r="AR201" s="207"/>
      <c r="AS201" s="207"/>
      <c r="AT201" s="209"/>
      <c r="AU201" s="209"/>
      <c r="AV201" s="209"/>
      <c r="AW201" s="466" t="s">
        <v>1313</v>
      </c>
      <c r="AX201" s="466" t="s">
        <v>1313</v>
      </c>
      <c r="AY201" s="466" t="s">
        <v>1313</v>
      </c>
      <c r="AZ201" s="466" t="s">
        <v>1313</v>
      </c>
      <c r="BA201" s="466" t="s">
        <v>1313</v>
      </c>
      <c r="BB201" s="466" t="s">
        <v>1313</v>
      </c>
      <c r="BC201" s="207" t="s">
        <v>1320</v>
      </c>
      <c r="BD201" s="210"/>
      <c r="BE201" s="210">
        <v>54069070</v>
      </c>
      <c r="BF201" s="207" t="s">
        <v>1951</v>
      </c>
      <c r="BG201" s="207"/>
      <c r="BH201" s="207" t="s">
        <v>1711</v>
      </c>
      <c r="BI201" s="207" t="s">
        <v>1952</v>
      </c>
      <c r="BJ201" s="207"/>
      <c r="BK201" s="206">
        <v>42298</v>
      </c>
      <c r="BL201" s="206">
        <v>42324</v>
      </c>
      <c r="BM201" s="206"/>
      <c r="BN201" s="206"/>
      <c r="BO201" s="211">
        <v>131000000</v>
      </c>
      <c r="BP201" s="207">
        <v>1</v>
      </c>
      <c r="BQ201" s="207" t="s">
        <v>1953</v>
      </c>
      <c r="BR201" s="206">
        <v>42341</v>
      </c>
      <c r="BS201" s="206">
        <v>42341</v>
      </c>
      <c r="BT201" s="212">
        <v>131000000</v>
      </c>
      <c r="BU201" s="212">
        <v>131000000</v>
      </c>
      <c r="BV201" s="206"/>
      <c r="BW201" s="212"/>
      <c r="BX201" s="206"/>
      <c r="BY201" s="212"/>
      <c r="BZ201" s="206"/>
      <c r="CA201" s="206">
        <v>42282</v>
      </c>
      <c r="CB201" s="213" t="s">
        <v>1954</v>
      </c>
      <c r="CC201" s="212"/>
      <c r="CD201" s="212">
        <v>131000000</v>
      </c>
      <c r="CE201" s="212"/>
      <c r="CF201" s="212"/>
      <c r="CG201" s="212">
        <v>131000000</v>
      </c>
      <c r="CH201" s="200"/>
      <c r="CI201" s="212"/>
      <c r="CJ201" s="255" t="s">
        <v>1955</v>
      </c>
    </row>
    <row r="202" spans="1:88" s="503" customFormat="1" ht="14.1" hidden="1" customHeight="1">
      <c r="A202" s="483" t="s">
        <v>3424</v>
      </c>
      <c r="B202" s="478" t="s">
        <v>3380</v>
      </c>
      <c r="C202" s="251" t="s">
        <v>3423</v>
      </c>
      <c r="D202" s="517" t="s">
        <v>3423</v>
      </c>
      <c r="E202" s="500">
        <v>53681174</v>
      </c>
      <c r="F202" s="251" t="s">
        <v>3187</v>
      </c>
      <c r="G202" s="501"/>
      <c r="H202" s="502"/>
      <c r="J202" s="199">
        <v>190</v>
      </c>
      <c r="K202" s="200"/>
      <c r="L202" s="200" t="s">
        <v>597</v>
      </c>
      <c r="M202" s="201" t="s">
        <v>208</v>
      </c>
      <c r="N202" s="536"/>
      <c r="O202" s="202">
        <v>1</v>
      </c>
      <c r="P202" s="201" t="s">
        <v>83</v>
      </c>
      <c r="Q202" s="201" t="s">
        <v>206</v>
      </c>
      <c r="R202" s="201" t="s">
        <v>207</v>
      </c>
      <c r="S202" s="201" t="s">
        <v>1956</v>
      </c>
      <c r="T202" s="201" t="s">
        <v>106</v>
      </c>
      <c r="U202" s="203">
        <v>44.18</v>
      </c>
      <c r="V202" s="203">
        <v>84.97</v>
      </c>
      <c r="W202" s="204"/>
      <c r="X202" s="205"/>
      <c r="Y202" s="203"/>
      <c r="Z202" s="206">
        <v>39598</v>
      </c>
      <c r="AA202" s="206" t="s">
        <v>79</v>
      </c>
      <c r="AB202" s="207" t="s">
        <v>89</v>
      </c>
      <c r="AC202" s="208" t="s">
        <v>80</v>
      </c>
      <c r="AD202" s="209">
        <v>96000000</v>
      </c>
      <c r="AE202" s="209">
        <v>96000000</v>
      </c>
      <c r="AF202" s="207"/>
      <c r="AG202" s="207"/>
      <c r="AH202" s="209"/>
      <c r="AI202" s="207"/>
      <c r="AJ202" s="208"/>
      <c r="AK202" s="209"/>
      <c r="AL202" s="209"/>
      <c r="AM202" s="206"/>
      <c r="AN202" s="207"/>
      <c r="AO202" s="208"/>
      <c r="AP202" s="209"/>
      <c r="AQ202" s="209"/>
      <c r="AR202" s="207"/>
      <c r="AS202" s="207"/>
      <c r="AT202" s="209"/>
      <c r="AU202" s="209"/>
      <c r="AV202" s="209"/>
      <c r="AW202" s="466" t="s">
        <v>1313</v>
      </c>
      <c r="AX202" s="466" t="s">
        <v>1313</v>
      </c>
      <c r="AY202" s="466" t="s">
        <v>1313</v>
      </c>
      <c r="AZ202" s="466" t="s">
        <v>1313</v>
      </c>
      <c r="BA202" s="466" t="s">
        <v>1313</v>
      </c>
      <c r="BB202" s="466" t="s">
        <v>1313</v>
      </c>
      <c r="BC202" s="207" t="s">
        <v>82</v>
      </c>
      <c r="BD202" s="210"/>
      <c r="BE202" s="210"/>
      <c r="BF202" s="207"/>
      <c r="BG202" s="207"/>
      <c r="BH202" s="207"/>
      <c r="BI202" s="207"/>
      <c r="BJ202" s="207"/>
      <c r="BK202" s="206"/>
      <c r="BL202" s="206"/>
      <c r="BM202" s="206"/>
      <c r="BN202" s="206"/>
      <c r="BO202" s="211"/>
      <c r="BP202" s="207"/>
      <c r="BQ202" s="207"/>
      <c r="BR202" s="206"/>
      <c r="BS202" s="206"/>
      <c r="BT202" s="212"/>
      <c r="BU202" s="212"/>
      <c r="BV202" s="206"/>
      <c r="BW202" s="212"/>
      <c r="BX202" s="206"/>
      <c r="BY202" s="212"/>
      <c r="BZ202" s="206"/>
      <c r="CA202" s="206">
        <v>42482</v>
      </c>
      <c r="CB202" s="213" t="s">
        <v>134</v>
      </c>
      <c r="CC202" s="212"/>
      <c r="CD202" s="212">
        <v>210000000</v>
      </c>
      <c r="CE202" s="212"/>
      <c r="CF202" s="212"/>
      <c r="CG202" s="212">
        <v>210000000</v>
      </c>
      <c r="CH202" s="200"/>
      <c r="CI202" s="212"/>
      <c r="CJ202" s="255" t="s">
        <v>416</v>
      </c>
    </row>
    <row r="203" spans="1:88" s="503" customFormat="1" ht="14.1" hidden="1" customHeight="1">
      <c r="A203" s="483" t="s">
        <v>3424</v>
      </c>
      <c r="B203" s="478" t="s">
        <v>3381</v>
      </c>
      <c r="C203" s="521" t="s">
        <v>3435</v>
      </c>
      <c r="D203" s="521" t="s">
        <v>3435</v>
      </c>
      <c r="E203" s="500">
        <v>53624727</v>
      </c>
      <c r="F203" s="251" t="s">
        <v>3187</v>
      </c>
      <c r="G203" s="501"/>
      <c r="H203" s="502"/>
      <c r="J203" s="199">
        <v>191</v>
      </c>
      <c r="K203" s="200"/>
      <c r="L203" s="200" t="s">
        <v>598</v>
      </c>
      <c r="M203" s="201" t="s">
        <v>676</v>
      </c>
      <c r="N203" s="536"/>
      <c r="O203" s="202">
        <v>1</v>
      </c>
      <c r="P203" s="201" t="s">
        <v>83</v>
      </c>
      <c r="Q203" s="201" t="s">
        <v>188</v>
      </c>
      <c r="R203" s="201" t="s">
        <v>230</v>
      </c>
      <c r="S203" s="201" t="s">
        <v>1957</v>
      </c>
      <c r="T203" s="201" t="s">
        <v>220</v>
      </c>
      <c r="U203" s="203">
        <v>42.91</v>
      </c>
      <c r="V203" s="203">
        <v>50.4</v>
      </c>
      <c r="W203" s="204"/>
      <c r="X203" s="205"/>
      <c r="Y203" s="203"/>
      <c r="Z203" s="206">
        <v>41950</v>
      </c>
      <c r="AA203" s="206" t="s">
        <v>79</v>
      </c>
      <c r="AB203" s="207">
        <v>1</v>
      </c>
      <c r="AC203" s="208" t="s">
        <v>80</v>
      </c>
      <c r="AD203" s="209">
        <v>66000000</v>
      </c>
      <c r="AE203" s="209">
        <v>66000000</v>
      </c>
      <c r="AF203" s="207"/>
      <c r="AG203" s="207"/>
      <c r="AH203" s="209"/>
      <c r="AI203" s="207"/>
      <c r="AJ203" s="208"/>
      <c r="AK203" s="209"/>
      <c r="AL203" s="209"/>
      <c r="AM203" s="206"/>
      <c r="AN203" s="207"/>
      <c r="AO203" s="208"/>
      <c r="AP203" s="209"/>
      <c r="AQ203" s="209"/>
      <c r="AR203" s="207"/>
      <c r="AS203" s="207"/>
      <c r="AT203" s="209"/>
      <c r="AU203" s="209"/>
      <c r="AV203" s="209"/>
      <c r="AW203" s="466" t="s">
        <v>1313</v>
      </c>
      <c r="AX203" s="466" t="s">
        <v>1313</v>
      </c>
      <c r="AY203" s="466" t="s">
        <v>1313</v>
      </c>
      <c r="AZ203" s="466" t="s">
        <v>1313</v>
      </c>
      <c r="BA203" s="466" t="s">
        <v>1313</v>
      </c>
      <c r="BB203" s="466" t="s">
        <v>1313</v>
      </c>
      <c r="BC203" s="207" t="s">
        <v>1320</v>
      </c>
      <c r="BD203" s="210"/>
      <c r="BE203" s="210">
        <v>10000000</v>
      </c>
      <c r="BF203" s="207" t="s">
        <v>1958</v>
      </c>
      <c r="BG203" s="207"/>
      <c r="BH203" s="207" t="s">
        <v>87</v>
      </c>
      <c r="BI203" s="207" t="s">
        <v>1959</v>
      </c>
      <c r="BJ203" s="207"/>
      <c r="BK203" s="206">
        <v>42284</v>
      </c>
      <c r="BL203" s="206">
        <v>42361</v>
      </c>
      <c r="BM203" s="206"/>
      <c r="BN203" s="206"/>
      <c r="BO203" s="211"/>
      <c r="BP203" s="207"/>
      <c r="BQ203" s="207"/>
      <c r="BR203" s="206"/>
      <c r="BS203" s="206"/>
      <c r="BT203" s="212"/>
      <c r="BU203" s="212"/>
      <c r="BV203" s="206"/>
      <c r="BW203" s="212"/>
      <c r="BX203" s="206"/>
      <c r="BY203" s="212"/>
      <c r="BZ203" s="206"/>
      <c r="CA203" s="206">
        <v>41933</v>
      </c>
      <c r="CB203" s="213" t="s">
        <v>1353</v>
      </c>
      <c r="CC203" s="212"/>
      <c r="CD203" s="212">
        <v>85000000</v>
      </c>
      <c r="CE203" s="212"/>
      <c r="CF203" s="212"/>
      <c r="CG203" s="212">
        <v>85000000</v>
      </c>
      <c r="CH203" s="200"/>
      <c r="CI203" s="212"/>
      <c r="CJ203" s="255" t="s">
        <v>416</v>
      </c>
    </row>
    <row r="204" spans="1:88" s="503" customFormat="1" ht="14.1" hidden="1" customHeight="1">
      <c r="A204" s="483" t="s">
        <v>3424</v>
      </c>
      <c r="B204" s="478" t="s">
        <v>3382</v>
      </c>
      <c r="C204" s="251" t="s">
        <v>3423</v>
      </c>
      <c r="D204" s="517" t="s">
        <v>3423</v>
      </c>
      <c r="E204" s="500">
        <v>53011601</v>
      </c>
      <c r="F204" s="251" t="s">
        <v>3187</v>
      </c>
      <c r="G204" s="501"/>
      <c r="H204" s="502"/>
      <c r="J204" s="199">
        <v>192</v>
      </c>
      <c r="K204" s="200"/>
      <c r="L204" s="200" t="s">
        <v>599</v>
      </c>
      <c r="M204" s="201" t="s">
        <v>677</v>
      </c>
      <c r="N204" s="536"/>
      <c r="O204" s="202">
        <v>1</v>
      </c>
      <c r="P204" s="201" t="s">
        <v>210</v>
      </c>
      <c r="Q204" s="201" t="s">
        <v>1960</v>
      </c>
      <c r="R204" s="201" t="s">
        <v>1961</v>
      </c>
      <c r="S204" s="201" t="s">
        <v>1962</v>
      </c>
      <c r="T204" s="201" t="s">
        <v>106</v>
      </c>
      <c r="U204" s="203">
        <v>21.391999999999999</v>
      </c>
      <c r="V204" s="203">
        <v>49.8</v>
      </c>
      <c r="W204" s="204"/>
      <c r="X204" s="205"/>
      <c r="Y204" s="203"/>
      <c r="Z204" s="206">
        <v>41213</v>
      </c>
      <c r="AA204" s="206" t="s">
        <v>79</v>
      </c>
      <c r="AB204" s="207">
        <v>1</v>
      </c>
      <c r="AC204" s="208" t="s">
        <v>80</v>
      </c>
      <c r="AD204" s="209">
        <v>54000000</v>
      </c>
      <c r="AE204" s="209">
        <v>54000000</v>
      </c>
      <c r="AF204" s="207"/>
      <c r="AG204" s="207"/>
      <c r="AH204" s="209"/>
      <c r="AI204" s="207"/>
      <c r="AJ204" s="208"/>
      <c r="AK204" s="209"/>
      <c r="AL204" s="209"/>
      <c r="AM204" s="206"/>
      <c r="AN204" s="207"/>
      <c r="AO204" s="208"/>
      <c r="AP204" s="209"/>
      <c r="AQ204" s="209"/>
      <c r="AR204" s="207"/>
      <c r="AS204" s="207"/>
      <c r="AT204" s="209"/>
      <c r="AU204" s="209"/>
      <c r="AV204" s="209"/>
      <c r="AW204" s="466" t="s">
        <v>1313</v>
      </c>
      <c r="AX204" s="466" t="s">
        <v>1313</v>
      </c>
      <c r="AY204" s="466" t="s">
        <v>1313</v>
      </c>
      <c r="AZ204" s="466" t="s">
        <v>1313</v>
      </c>
      <c r="BA204" s="466" t="s">
        <v>1313</v>
      </c>
      <c r="BB204" s="466" t="s">
        <v>1313</v>
      </c>
      <c r="BC204" s="207" t="s">
        <v>82</v>
      </c>
      <c r="BD204" s="210"/>
      <c r="BE204" s="210"/>
      <c r="BF204" s="207"/>
      <c r="BG204" s="207"/>
      <c r="BH204" s="207"/>
      <c r="BI204" s="207"/>
      <c r="BJ204" s="207"/>
      <c r="BK204" s="206"/>
      <c r="BL204" s="206"/>
      <c r="BM204" s="206"/>
      <c r="BN204" s="206"/>
      <c r="BO204" s="211"/>
      <c r="BP204" s="207"/>
      <c r="BQ204" s="207"/>
      <c r="BR204" s="206"/>
      <c r="BS204" s="206"/>
      <c r="BT204" s="212"/>
      <c r="BU204" s="212"/>
      <c r="BV204" s="206"/>
      <c r="BW204" s="212"/>
      <c r="BX204" s="206"/>
      <c r="BY204" s="212"/>
      <c r="BZ204" s="206"/>
      <c r="CA204" s="206">
        <v>42482</v>
      </c>
      <c r="CB204" s="213" t="s">
        <v>134</v>
      </c>
      <c r="CC204" s="212"/>
      <c r="CD204" s="212">
        <v>73500000</v>
      </c>
      <c r="CE204" s="212"/>
      <c r="CF204" s="212"/>
      <c r="CG204" s="212">
        <v>73500000</v>
      </c>
      <c r="CH204" s="200"/>
      <c r="CI204" s="212"/>
      <c r="CJ204" s="255" t="s">
        <v>1963</v>
      </c>
    </row>
    <row r="205" spans="1:88" s="503" customFormat="1" ht="14.1" hidden="1" customHeight="1">
      <c r="A205" s="483" t="s">
        <v>3424</v>
      </c>
      <c r="B205" s="478" t="s">
        <v>3383</v>
      </c>
      <c r="C205" s="521" t="s">
        <v>3435</v>
      </c>
      <c r="D205" s="521" t="s">
        <v>3435</v>
      </c>
      <c r="E205" s="500">
        <v>51537709</v>
      </c>
      <c r="F205" s="251" t="s">
        <v>3187</v>
      </c>
      <c r="G205" s="501"/>
      <c r="H205" s="502"/>
      <c r="J205" s="199">
        <v>193</v>
      </c>
      <c r="K205" s="200"/>
      <c r="L205" s="200" t="s">
        <v>600</v>
      </c>
      <c r="M205" s="201" t="s">
        <v>141</v>
      </c>
      <c r="N205" s="536"/>
      <c r="O205" s="202">
        <v>1</v>
      </c>
      <c r="P205" s="201" t="s">
        <v>83</v>
      </c>
      <c r="Q205" s="201" t="s">
        <v>1822</v>
      </c>
      <c r="R205" s="201" t="s">
        <v>1964</v>
      </c>
      <c r="S205" s="201" t="s">
        <v>1965</v>
      </c>
      <c r="T205" s="201" t="s">
        <v>129</v>
      </c>
      <c r="U205" s="203">
        <v>595</v>
      </c>
      <c r="V205" s="203">
        <v>120.05</v>
      </c>
      <c r="W205" s="204"/>
      <c r="X205" s="205"/>
      <c r="Y205" s="203"/>
      <c r="Z205" s="206">
        <v>38947</v>
      </c>
      <c r="AA205" s="206" t="s">
        <v>79</v>
      </c>
      <c r="AB205" s="207">
        <v>1</v>
      </c>
      <c r="AC205" s="208" t="s">
        <v>80</v>
      </c>
      <c r="AD205" s="209">
        <v>72000000</v>
      </c>
      <c r="AE205" s="209">
        <v>72000000</v>
      </c>
      <c r="AF205" s="207"/>
      <c r="AG205" s="207"/>
      <c r="AH205" s="209"/>
      <c r="AI205" s="207"/>
      <c r="AJ205" s="208"/>
      <c r="AK205" s="209"/>
      <c r="AL205" s="209"/>
      <c r="AM205" s="206"/>
      <c r="AN205" s="207"/>
      <c r="AO205" s="208"/>
      <c r="AP205" s="209"/>
      <c r="AQ205" s="209"/>
      <c r="AR205" s="207"/>
      <c r="AS205" s="207"/>
      <c r="AT205" s="209"/>
      <c r="AU205" s="209"/>
      <c r="AV205" s="209"/>
      <c r="AW205" s="466" t="s">
        <v>1313</v>
      </c>
      <c r="AX205" s="466" t="s">
        <v>1313</v>
      </c>
      <c r="AY205" s="466" t="s">
        <v>1313</v>
      </c>
      <c r="AZ205" s="466" t="s">
        <v>1313</v>
      </c>
      <c r="BA205" s="466" t="s">
        <v>1313</v>
      </c>
      <c r="BB205" s="466" t="s">
        <v>1313</v>
      </c>
      <c r="BC205" s="207" t="s">
        <v>82</v>
      </c>
      <c r="BD205" s="210"/>
      <c r="BE205" s="210"/>
      <c r="BF205" s="207"/>
      <c r="BG205" s="207"/>
      <c r="BH205" s="207"/>
      <c r="BI205" s="207"/>
      <c r="BJ205" s="207"/>
      <c r="BK205" s="206"/>
      <c r="BL205" s="206"/>
      <c r="BM205" s="206"/>
      <c r="BN205" s="206"/>
      <c r="BO205" s="211"/>
      <c r="BP205" s="207"/>
      <c r="BQ205" s="207"/>
      <c r="BR205" s="206"/>
      <c r="BS205" s="206"/>
      <c r="BT205" s="212"/>
      <c r="BU205" s="212"/>
      <c r="BV205" s="206"/>
      <c r="BW205" s="212"/>
      <c r="BX205" s="206"/>
      <c r="BY205" s="212"/>
      <c r="BZ205" s="206"/>
      <c r="CA205" s="206">
        <v>38918</v>
      </c>
      <c r="CB205" s="213" t="s">
        <v>1966</v>
      </c>
      <c r="CC205" s="212">
        <v>50575000</v>
      </c>
      <c r="CD205" s="212">
        <v>84000000</v>
      </c>
      <c r="CE205" s="212"/>
      <c r="CF205" s="212"/>
      <c r="CG205" s="212">
        <v>134575000</v>
      </c>
      <c r="CH205" s="200"/>
      <c r="CI205" s="212"/>
      <c r="CJ205" s="255" t="s">
        <v>416</v>
      </c>
    </row>
    <row r="206" spans="1:88" s="503" customFormat="1" ht="14.1" hidden="1" customHeight="1">
      <c r="A206" s="483" t="s">
        <v>3424</v>
      </c>
      <c r="B206" s="478" t="s">
        <v>3384</v>
      </c>
      <c r="C206" s="251" t="s">
        <v>3423</v>
      </c>
      <c r="D206" s="517" t="s">
        <v>3423</v>
      </c>
      <c r="E206" s="500">
        <v>51400000</v>
      </c>
      <c r="F206" s="251" t="s">
        <v>3184</v>
      </c>
      <c r="G206" s="501"/>
      <c r="H206" s="502"/>
      <c r="J206" s="199">
        <v>194</v>
      </c>
      <c r="K206" s="200"/>
      <c r="L206" s="200" t="s">
        <v>601</v>
      </c>
      <c r="M206" s="201" t="s">
        <v>152</v>
      </c>
      <c r="N206" s="536"/>
      <c r="O206" s="202">
        <v>1</v>
      </c>
      <c r="P206" s="201" t="s">
        <v>164</v>
      </c>
      <c r="Q206" s="201" t="s">
        <v>1851</v>
      </c>
      <c r="R206" s="201" t="s">
        <v>1852</v>
      </c>
      <c r="S206" s="201" t="s">
        <v>1967</v>
      </c>
      <c r="T206" s="201" t="s">
        <v>106</v>
      </c>
      <c r="U206" s="203">
        <v>39.128799999999998</v>
      </c>
      <c r="V206" s="203">
        <v>41.3</v>
      </c>
      <c r="W206" s="204"/>
      <c r="X206" s="205"/>
      <c r="Y206" s="203"/>
      <c r="Z206" s="206">
        <v>41984</v>
      </c>
      <c r="AA206" s="206" t="s">
        <v>79</v>
      </c>
      <c r="AB206" s="207">
        <v>1</v>
      </c>
      <c r="AC206" s="208" t="s">
        <v>80</v>
      </c>
      <c r="AD206" s="209">
        <v>61680000</v>
      </c>
      <c r="AE206" s="209">
        <v>61680000</v>
      </c>
      <c r="AF206" s="207"/>
      <c r="AG206" s="207"/>
      <c r="AH206" s="209"/>
      <c r="AI206" s="207"/>
      <c r="AJ206" s="208"/>
      <c r="AK206" s="209"/>
      <c r="AL206" s="209"/>
      <c r="AM206" s="206"/>
      <c r="AN206" s="207"/>
      <c r="AO206" s="208"/>
      <c r="AP206" s="209"/>
      <c r="AQ206" s="209"/>
      <c r="AR206" s="207"/>
      <c r="AS206" s="207"/>
      <c r="AT206" s="209"/>
      <c r="AU206" s="209"/>
      <c r="AV206" s="209"/>
      <c r="AW206" s="466" t="s">
        <v>1313</v>
      </c>
      <c r="AX206" s="466" t="s">
        <v>1313</v>
      </c>
      <c r="AY206" s="466" t="s">
        <v>1313</v>
      </c>
      <c r="AZ206" s="466" t="s">
        <v>1313</v>
      </c>
      <c r="BA206" s="466" t="s">
        <v>1313</v>
      </c>
      <c r="BB206" s="466" t="s">
        <v>1313</v>
      </c>
      <c r="BC206" s="207" t="s">
        <v>82</v>
      </c>
      <c r="BD206" s="210"/>
      <c r="BE206" s="210"/>
      <c r="BF206" s="207"/>
      <c r="BG206" s="207"/>
      <c r="BH206" s="207"/>
      <c r="BI206" s="207"/>
      <c r="BJ206" s="207"/>
      <c r="BK206" s="206"/>
      <c r="BL206" s="206"/>
      <c r="BM206" s="206"/>
      <c r="BN206" s="206"/>
      <c r="BO206" s="211"/>
      <c r="BP206" s="207"/>
      <c r="BQ206" s="207"/>
      <c r="BR206" s="206"/>
      <c r="BS206" s="206"/>
      <c r="BT206" s="212"/>
      <c r="BU206" s="212"/>
      <c r="BV206" s="206"/>
      <c r="BW206" s="212"/>
      <c r="BX206" s="206"/>
      <c r="BY206" s="212"/>
      <c r="BZ206" s="206"/>
      <c r="CA206" s="206">
        <v>42482</v>
      </c>
      <c r="CB206" s="213" t="s">
        <v>134</v>
      </c>
      <c r="CC206" s="212"/>
      <c r="CD206" s="212">
        <v>80000000</v>
      </c>
      <c r="CE206" s="212"/>
      <c r="CF206" s="212"/>
      <c r="CG206" s="212">
        <v>80000000</v>
      </c>
      <c r="CH206" s="200"/>
      <c r="CI206" s="212"/>
      <c r="CJ206" s="255" t="s">
        <v>416</v>
      </c>
    </row>
    <row r="207" spans="1:88" s="503" customFormat="1" ht="14.1" hidden="1" customHeight="1">
      <c r="A207" s="483" t="s">
        <v>3425</v>
      </c>
      <c r="B207" s="478" t="s">
        <v>3385</v>
      </c>
      <c r="C207" s="251" t="s">
        <v>3423</v>
      </c>
      <c r="D207" s="517" t="s">
        <v>3423</v>
      </c>
      <c r="E207" s="500">
        <v>49954702</v>
      </c>
      <c r="F207" s="251" t="s">
        <v>3187</v>
      </c>
      <c r="G207" s="501"/>
      <c r="H207" s="502"/>
      <c r="J207" s="199">
        <v>195</v>
      </c>
      <c r="K207" s="200"/>
      <c r="L207" s="200" t="s">
        <v>602</v>
      </c>
      <c r="M207" s="201" t="s">
        <v>135</v>
      </c>
      <c r="N207" s="536"/>
      <c r="O207" s="202">
        <v>1</v>
      </c>
      <c r="P207" s="201" t="s">
        <v>93</v>
      </c>
      <c r="Q207" s="201" t="s">
        <v>197</v>
      </c>
      <c r="R207" s="201" t="s">
        <v>1968</v>
      </c>
      <c r="S207" s="201" t="s">
        <v>1969</v>
      </c>
      <c r="T207" s="201" t="s">
        <v>106</v>
      </c>
      <c r="U207" s="203">
        <v>22.614799999999999</v>
      </c>
      <c r="V207" s="203">
        <v>41.31</v>
      </c>
      <c r="W207" s="204"/>
      <c r="X207" s="205"/>
      <c r="Y207" s="203"/>
      <c r="Z207" s="206">
        <v>41950</v>
      </c>
      <c r="AA207" s="206" t="s">
        <v>79</v>
      </c>
      <c r="AB207" s="207">
        <v>1</v>
      </c>
      <c r="AC207" s="208" t="s">
        <v>80</v>
      </c>
      <c r="AD207" s="209">
        <v>60000000</v>
      </c>
      <c r="AE207" s="209">
        <v>60000000</v>
      </c>
      <c r="AF207" s="207"/>
      <c r="AG207" s="207"/>
      <c r="AH207" s="209"/>
      <c r="AI207" s="207"/>
      <c r="AJ207" s="208"/>
      <c r="AK207" s="209"/>
      <c r="AL207" s="209"/>
      <c r="AM207" s="206"/>
      <c r="AN207" s="207"/>
      <c r="AO207" s="208"/>
      <c r="AP207" s="209"/>
      <c r="AQ207" s="209"/>
      <c r="AR207" s="207"/>
      <c r="AS207" s="207"/>
      <c r="AT207" s="209"/>
      <c r="AU207" s="209"/>
      <c r="AV207" s="209"/>
      <c r="AW207" s="466" t="s">
        <v>1313</v>
      </c>
      <c r="AX207" s="466" t="s">
        <v>1313</v>
      </c>
      <c r="AY207" s="466" t="s">
        <v>1313</v>
      </c>
      <c r="AZ207" s="466" t="s">
        <v>1313</v>
      </c>
      <c r="BA207" s="466" t="s">
        <v>1313</v>
      </c>
      <c r="BB207" s="466" t="s">
        <v>1313</v>
      </c>
      <c r="BC207" s="207" t="s">
        <v>1320</v>
      </c>
      <c r="BD207" s="210">
        <v>48623317</v>
      </c>
      <c r="BE207" s="210"/>
      <c r="BF207" s="207" t="s">
        <v>101</v>
      </c>
      <c r="BG207" s="207"/>
      <c r="BH207" s="207" t="s">
        <v>172</v>
      </c>
      <c r="BI207" s="207" t="s">
        <v>1970</v>
      </c>
      <c r="BJ207" s="207"/>
      <c r="BK207" s="206">
        <v>42398</v>
      </c>
      <c r="BL207" s="206">
        <v>42478</v>
      </c>
      <c r="BM207" s="206"/>
      <c r="BN207" s="206"/>
      <c r="BO207" s="211"/>
      <c r="BP207" s="207"/>
      <c r="BQ207" s="207"/>
      <c r="BR207" s="206"/>
      <c r="BS207" s="206"/>
      <c r="BT207" s="212"/>
      <c r="BU207" s="212"/>
      <c r="BV207" s="206"/>
      <c r="BW207" s="212"/>
      <c r="BX207" s="206"/>
      <c r="BY207" s="212"/>
      <c r="BZ207" s="206"/>
      <c r="CA207" s="206">
        <v>41942</v>
      </c>
      <c r="CB207" s="213" t="s">
        <v>223</v>
      </c>
      <c r="CC207" s="212"/>
      <c r="CD207" s="212">
        <v>90000000</v>
      </c>
      <c r="CE207" s="212"/>
      <c r="CF207" s="212"/>
      <c r="CG207" s="212">
        <v>90000000</v>
      </c>
      <c r="CH207" s="200"/>
      <c r="CI207" s="212"/>
      <c r="CJ207" s="255" t="s">
        <v>416</v>
      </c>
    </row>
    <row r="208" spans="1:88" s="503" customFormat="1" ht="14.1" hidden="1" customHeight="1">
      <c r="A208" s="483" t="s">
        <v>3426</v>
      </c>
      <c r="B208" s="478" t="s">
        <v>3386</v>
      </c>
      <c r="C208" s="521" t="s">
        <v>3435</v>
      </c>
      <c r="D208" s="521" t="s">
        <v>3435</v>
      </c>
      <c r="E208" s="500"/>
      <c r="F208" s="251" t="s">
        <v>3447</v>
      </c>
      <c r="G208" s="501"/>
      <c r="H208" s="502"/>
      <c r="J208" s="199">
        <v>196</v>
      </c>
      <c r="K208" s="200"/>
      <c r="L208" s="200" t="s">
        <v>602</v>
      </c>
      <c r="M208" s="201" t="s">
        <v>135</v>
      </c>
      <c r="N208" s="536"/>
      <c r="O208" s="202">
        <v>2</v>
      </c>
      <c r="P208" s="201"/>
      <c r="Q208" s="201"/>
      <c r="R208" s="201"/>
      <c r="S208" s="201" t="s">
        <v>1971</v>
      </c>
      <c r="T208" s="201" t="s">
        <v>1972</v>
      </c>
      <c r="U208" s="203">
        <v>0</v>
      </c>
      <c r="V208" s="203">
        <v>0</v>
      </c>
      <c r="W208" s="204" t="s">
        <v>90</v>
      </c>
      <c r="X208" s="205"/>
      <c r="Y208" s="203"/>
      <c r="Z208" s="206"/>
      <c r="AA208" s="206" t="s">
        <v>79</v>
      </c>
      <c r="AB208" s="207"/>
      <c r="AC208" s="208" t="s">
        <v>80</v>
      </c>
      <c r="AD208" s="209" t="s">
        <v>90</v>
      </c>
      <c r="AE208" s="209" t="s">
        <v>90</v>
      </c>
      <c r="AF208" s="207"/>
      <c r="AG208" s="207"/>
      <c r="AH208" s="209"/>
      <c r="AI208" s="207"/>
      <c r="AJ208" s="208"/>
      <c r="AK208" s="209"/>
      <c r="AL208" s="209"/>
      <c r="AM208" s="206"/>
      <c r="AN208" s="207"/>
      <c r="AO208" s="208"/>
      <c r="AP208" s="209"/>
      <c r="AQ208" s="209"/>
      <c r="AR208" s="207"/>
      <c r="AS208" s="207"/>
      <c r="AT208" s="209"/>
      <c r="AU208" s="209"/>
      <c r="AV208" s="209"/>
      <c r="AW208" s="466" t="s">
        <v>1313</v>
      </c>
      <c r="AX208" s="466" t="s">
        <v>1313</v>
      </c>
      <c r="AY208" s="466" t="s">
        <v>1313</v>
      </c>
      <c r="AZ208" s="466" t="s">
        <v>1313</v>
      </c>
      <c r="BA208" s="466" t="s">
        <v>1313</v>
      </c>
      <c r="BB208" s="466" t="s">
        <v>1313</v>
      </c>
      <c r="BC208" s="207" t="s">
        <v>82</v>
      </c>
      <c r="BD208" s="210"/>
      <c r="BE208" s="210"/>
      <c r="BF208" s="207"/>
      <c r="BG208" s="207"/>
      <c r="BH208" s="207"/>
      <c r="BI208" s="207"/>
      <c r="BJ208" s="207"/>
      <c r="BK208" s="206"/>
      <c r="BL208" s="206"/>
      <c r="BM208" s="206"/>
      <c r="BN208" s="206"/>
      <c r="BO208" s="211"/>
      <c r="BP208" s="207"/>
      <c r="BQ208" s="207"/>
      <c r="BR208" s="206"/>
      <c r="BS208" s="206"/>
      <c r="BT208" s="212"/>
      <c r="BU208" s="212"/>
      <c r="BV208" s="206"/>
      <c r="BW208" s="212"/>
      <c r="BX208" s="206"/>
      <c r="BY208" s="212"/>
      <c r="BZ208" s="206"/>
      <c r="CA208" s="206"/>
      <c r="CB208" s="213"/>
      <c r="CC208" s="212"/>
      <c r="CD208" s="212"/>
      <c r="CE208" s="212"/>
      <c r="CF208" s="212"/>
      <c r="CG208" s="209" t="s">
        <v>90</v>
      </c>
      <c r="CH208" s="200"/>
      <c r="CI208" s="212"/>
      <c r="CJ208" s="255"/>
    </row>
    <row r="209" spans="1:88" s="503" customFormat="1" ht="14.1" hidden="1" customHeight="1">
      <c r="A209" s="483" t="s">
        <v>3424</v>
      </c>
      <c r="B209" s="478" t="s">
        <v>3387</v>
      </c>
      <c r="C209" s="251" t="s">
        <v>3423</v>
      </c>
      <c r="D209" s="517" t="s">
        <v>3423</v>
      </c>
      <c r="E209" s="500">
        <v>50000000</v>
      </c>
      <c r="F209" s="251" t="s">
        <v>3187</v>
      </c>
      <c r="G209" s="501"/>
      <c r="H209" s="502"/>
      <c r="J209" s="199">
        <v>197</v>
      </c>
      <c r="K209" s="200"/>
      <c r="L209" s="200" t="s">
        <v>603</v>
      </c>
      <c r="M209" s="201" t="s">
        <v>678</v>
      </c>
      <c r="N209" s="536"/>
      <c r="O209" s="202">
        <v>1</v>
      </c>
      <c r="P209" s="201" t="s">
        <v>103</v>
      </c>
      <c r="Q209" s="201" t="s">
        <v>1762</v>
      </c>
      <c r="R209" s="201" t="s">
        <v>1973</v>
      </c>
      <c r="S209" s="201" t="s">
        <v>1974</v>
      </c>
      <c r="T209" s="201" t="s">
        <v>106</v>
      </c>
      <c r="U209" s="203">
        <v>31.76</v>
      </c>
      <c r="V209" s="203">
        <v>66.48</v>
      </c>
      <c r="W209" s="204"/>
      <c r="X209" s="205"/>
      <c r="Y209" s="203"/>
      <c r="Z209" s="206">
        <v>41306</v>
      </c>
      <c r="AA209" s="206" t="s">
        <v>79</v>
      </c>
      <c r="AB209" s="207">
        <v>3</v>
      </c>
      <c r="AC209" s="208" t="s">
        <v>80</v>
      </c>
      <c r="AD209" s="209">
        <v>65000000</v>
      </c>
      <c r="AE209" s="209">
        <v>65000000</v>
      </c>
      <c r="AF209" s="207"/>
      <c r="AG209" s="207"/>
      <c r="AH209" s="209"/>
      <c r="AI209" s="207"/>
      <c r="AJ209" s="208"/>
      <c r="AK209" s="209"/>
      <c r="AL209" s="209"/>
      <c r="AM209" s="206"/>
      <c r="AN209" s="207" t="s">
        <v>89</v>
      </c>
      <c r="AO209" s="208" t="s">
        <v>80</v>
      </c>
      <c r="AP209" s="209">
        <v>114000000</v>
      </c>
      <c r="AQ209" s="209">
        <v>114000000</v>
      </c>
      <c r="AR209" s="207"/>
      <c r="AS209" s="207"/>
      <c r="AT209" s="209"/>
      <c r="AU209" s="209"/>
      <c r="AV209" s="209"/>
      <c r="AW209" s="466" t="s">
        <v>1313</v>
      </c>
      <c r="AX209" s="466" t="s">
        <v>1313</v>
      </c>
      <c r="AY209" s="466" t="s">
        <v>1313</v>
      </c>
      <c r="AZ209" s="466" t="s">
        <v>1313</v>
      </c>
      <c r="BA209" s="466" t="s">
        <v>1313</v>
      </c>
      <c r="BB209" s="466" t="s">
        <v>1313</v>
      </c>
      <c r="BC209" s="207" t="s">
        <v>82</v>
      </c>
      <c r="BD209" s="210"/>
      <c r="BE209" s="210"/>
      <c r="BF209" s="207"/>
      <c r="BG209" s="207"/>
      <c r="BH209" s="207"/>
      <c r="BI209" s="207"/>
      <c r="BJ209" s="207"/>
      <c r="BK209" s="206"/>
      <c r="BL209" s="206"/>
      <c r="BM209" s="206"/>
      <c r="BN209" s="206"/>
      <c r="BO209" s="211"/>
      <c r="BP209" s="207"/>
      <c r="BQ209" s="207"/>
      <c r="BR209" s="206"/>
      <c r="BS209" s="206"/>
      <c r="BT209" s="212"/>
      <c r="BU209" s="212"/>
      <c r="BV209" s="206"/>
      <c r="BW209" s="212"/>
      <c r="BX209" s="206"/>
      <c r="BY209" s="212"/>
      <c r="BZ209" s="206"/>
      <c r="CA209" s="206">
        <v>42482</v>
      </c>
      <c r="CB209" s="213" t="s">
        <v>134</v>
      </c>
      <c r="CC209" s="212"/>
      <c r="CD209" s="212">
        <v>352500000</v>
      </c>
      <c r="CE209" s="212"/>
      <c r="CF209" s="212"/>
      <c r="CG209" s="212">
        <v>352500000</v>
      </c>
      <c r="CH209" s="200"/>
      <c r="CI209" s="212"/>
      <c r="CJ209" s="255" t="s">
        <v>416</v>
      </c>
    </row>
    <row r="210" spans="1:88" s="503" customFormat="1" ht="14.1" hidden="1" customHeight="1">
      <c r="A210" s="483" t="s">
        <v>3424</v>
      </c>
      <c r="B210" s="478" t="s">
        <v>3388</v>
      </c>
      <c r="C210" s="521" t="s">
        <v>3435</v>
      </c>
      <c r="D210" s="517" t="s">
        <v>3436</v>
      </c>
      <c r="E210" s="500">
        <v>50000000</v>
      </c>
      <c r="F210" s="251" t="s">
        <v>3184</v>
      </c>
      <c r="G210" s="540" t="s">
        <v>3348</v>
      </c>
      <c r="H210" s="541" t="s">
        <v>3444</v>
      </c>
      <c r="J210" s="199">
        <v>198</v>
      </c>
      <c r="K210" s="200"/>
      <c r="L210" s="200" t="s">
        <v>604</v>
      </c>
      <c r="M210" s="201" t="s">
        <v>679</v>
      </c>
      <c r="N210" s="536"/>
      <c r="O210" s="202">
        <v>1</v>
      </c>
      <c r="P210" s="201" t="s">
        <v>93</v>
      </c>
      <c r="Q210" s="201" t="s">
        <v>240</v>
      </c>
      <c r="R210" s="201" t="s">
        <v>1854</v>
      </c>
      <c r="S210" s="201" t="s">
        <v>1855</v>
      </c>
      <c r="T210" s="201" t="s">
        <v>220</v>
      </c>
      <c r="U210" s="203">
        <v>28.23</v>
      </c>
      <c r="V210" s="203">
        <v>42.87</v>
      </c>
      <c r="W210" s="204"/>
      <c r="X210" s="205"/>
      <c r="Y210" s="203"/>
      <c r="Z210" s="206">
        <v>42150</v>
      </c>
      <c r="AA210" s="206" t="s">
        <v>79</v>
      </c>
      <c r="AB210" s="207">
        <v>2</v>
      </c>
      <c r="AC210" s="208" t="s">
        <v>1975</v>
      </c>
      <c r="AD210" s="209">
        <v>120000</v>
      </c>
      <c r="AE210" s="209">
        <v>137964000</v>
      </c>
      <c r="AF210" s="207"/>
      <c r="AG210" s="207"/>
      <c r="AH210" s="209"/>
      <c r="AI210" s="207"/>
      <c r="AJ210" s="208"/>
      <c r="AK210" s="209"/>
      <c r="AL210" s="209"/>
      <c r="AM210" s="206"/>
      <c r="AN210" s="207">
        <v>1</v>
      </c>
      <c r="AO210" s="208" t="s">
        <v>80</v>
      </c>
      <c r="AP210" s="209">
        <v>126000000</v>
      </c>
      <c r="AQ210" s="209">
        <v>126000000</v>
      </c>
      <c r="AR210" s="207"/>
      <c r="AS210" s="207"/>
      <c r="AT210" s="209"/>
      <c r="AU210" s="209"/>
      <c r="AV210" s="209"/>
      <c r="AW210" s="466" t="s">
        <v>1313</v>
      </c>
      <c r="AX210" s="466" t="s">
        <v>1313</v>
      </c>
      <c r="AY210" s="466" t="s">
        <v>1313</v>
      </c>
      <c r="AZ210" s="466" t="s">
        <v>1313</v>
      </c>
      <c r="BA210" s="466" t="s">
        <v>1313</v>
      </c>
      <c r="BB210" s="466" t="s">
        <v>1313</v>
      </c>
      <c r="BC210" s="207" t="s">
        <v>1320</v>
      </c>
      <c r="BD210" s="210"/>
      <c r="BE210" s="210">
        <v>105384035</v>
      </c>
      <c r="BF210" s="207" t="s">
        <v>101</v>
      </c>
      <c r="BG210" s="207"/>
      <c r="BH210" s="207" t="s">
        <v>200</v>
      </c>
      <c r="BI210" s="207" t="s">
        <v>1856</v>
      </c>
      <c r="BJ210" s="207"/>
      <c r="BK210" s="206">
        <v>42460</v>
      </c>
      <c r="BL210" s="206">
        <v>42535</v>
      </c>
      <c r="BM210" s="206"/>
      <c r="BN210" s="206"/>
      <c r="BO210" s="211"/>
      <c r="BP210" s="207"/>
      <c r="BQ210" s="207"/>
      <c r="BR210" s="206"/>
      <c r="BS210" s="206"/>
      <c r="BT210" s="212"/>
      <c r="BU210" s="212"/>
      <c r="BV210" s="206"/>
      <c r="BW210" s="212"/>
      <c r="BX210" s="206"/>
      <c r="BY210" s="212"/>
      <c r="BZ210" s="206"/>
      <c r="CA210" s="206">
        <v>42144</v>
      </c>
      <c r="CB210" s="213" t="s">
        <v>1976</v>
      </c>
      <c r="CC210" s="212"/>
      <c r="CD210" s="212">
        <v>150000000</v>
      </c>
      <c r="CE210" s="212"/>
      <c r="CF210" s="212"/>
      <c r="CG210" s="212">
        <v>150000000</v>
      </c>
      <c r="CH210" s="200"/>
      <c r="CI210" s="212"/>
      <c r="CJ210" s="255" t="s">
        <v>1977</v>
      </c>
    </row>
    <row r="211" spans="1:88" s="503" customFormat="1" ht="14.1" hidden="1" customHeight="1">
      <c r="A211" s="483" t="s">
        <v>3425</v>
      </c>
      <c r="B211" s="478" t="s">
        <v>3389</v>
      </c>
      <c r="C211" s="521" t="s">
        <v>3435</v>
      </c>
      <c r="D211" s="521" t="s">
        <v>3435</v>
      </c>
      <c r="E211" s="500">
        <v>49838597</v>
      </c>
      <c r="F211" s="251" t="s">
        <v>3187</v>
      </c>
      <c r="G211" s="501"/>
      <c r="H211" s="502"/>
      <c r="J211" s="199">
        <v>199</v>
      </c>
      <c r="K211" s="200"/>
      <c r="L211" s="200" t="s">
        <v>605</v>
      </c>
      <c r="M211" s="201" t="s">
        <v>109</v>
      </c>
      <c r="N211" s="536"/>
      <c r="O211" s="202">
        <v>1</v>
      </c>
      <c r="P211" s="201" t="s">
        <v>83</v>
      </c>
      <c r="Q211" s="201" t="s">
        <v>206</v>
      </c>
      <c r="R211" s="201" t="s">
        <v>1978</v>
      </c>
      <c r="S211" s="201" t="s">
        <v>1979</v>
      </c>
      <c r="T211" s="201" t="s">
        <v>220</v>
      </c>
      <c r="U211" s="203">
        <v>16.98</v>
      </c>
      <c r="V211" s="203">
        <v>29.25</v>
      </c>
      <c r="W211" s="204"/>
      <c r="X211" s="205"/>
      <c r="Y211" s="203"/>
      <c r="Z211" s="206">
        <v>41830</v>
      </c>
      <c r="AA211" s="206" t="s">
        <v>79</v>
      </c>
      <c r="AB211" s="207">
        <v>1</v>
      </c>
      <c r="AC211" s="208" t="s">
        <v>80</v>
      </c>
      <c r="AD211" s="209">
        <v>23880000</v>
      </c>
      <c r="AE211" s="209">
        <v>23880000</v>
      </c>
      <c r="AF211" s="207"/>
      <c r="AG211" s="207"/>
      <c r="AH211" s="209"/>
      <c r="AI211" s="207"/>
      <c r="AJ211" s="208"/>
      <c r="AK211" s="209"/>
      <c r="AL211" s="209"/>
      <c r="AM211" s="206"/>
      <c r="AN211" s="207"/>
      <c r="AO211" s="208"/>
      <c r="AP211" s="209"/>
      <c r="AQ211" s="209"/>
      <c r="AR211" s="207"/>
      <c r="AS211" s="207"/>
      <c r="AT211" s="209"/>
      <c r="AU211" s="209"/>
      <c r="AV211" s="209"/>
      <c r="AW211" s="466" t="s">
        <v>1313</v>
      </c>
      <c r="AX211" s="466" t="s">
        <v>1313</v>
      </c>
      <c r="AY211" s="466" t="s">
        <v>1313</v>
      </c>
      <c r="AZ211" s="466" t="s">
        <v>1313</v>
      </c>
      <c r="BA211" s="466" t="s">
        <v>1313</v>
      </c>
      <c r="BB211" s="466" t="s">
        <v>1313</v>
      </c>
      <c r="BC211" s="207" t="s">
        <v>1320</v>
      </c>
      <c r="BD211" s="210">
        <v>49467979</v>
      </c>
      <c r="BE211" s="210"/>
      <c r="BF211" s="207" t="s">
        <v>101</v>
      </c>
      <c r="BG211" s="207"/>
      <c r="BH211" s="207" t="s">
        <v>87</v>
      </c>
      <c r="BI211" s="207" t="s">
        <v>1980</v>
      </c>
      <c r="BJ211" s="207"/>
      <c r="BK211" s="206">
        <v>42445</v>
      </c>
      <c r="BL211" s="206">
        <v>42517</v>
      </c>
      <c r="BM211" s="206"/>
      <c r="BN211" s="206"/>
      <c r="BO211" s="211"/>
      <c r="BP211" s="207"/>
      <c r="BQ211" s="207"/>
      <c r="BR211" s="206"/>
      <c r="BS211" s="206"/>
      <c r="BT211" s="212"/>
      <c r="BU211" s="212"/>
      <c r="BV211" s="206"/>
      <c r="BW211" s="212"/>
      <c r="BX211" s="206"/>
      <c r="BY211" s="212"/>
      <c r="BZ211" s="206"/>
      <c r="CA211" s="206">
        <v>41823</v>
      </c>
      <c r="CB211" s="213" t="s">
        <v>1981</v>
      </c>
      <c r="CC211" s="212"/>
      <c r="CD211" s="212">
        <v>37000000</v>
      </c>
      <c r="CE211" s="212"/>
      <c r="CF211" s="212"/>
      <c r="CG211" s="212">
        <v>37000000</v>
      </c>
      <c r="CH211" s="200"/>
      <c r="CI211" s="212"/>
      <c r="CJ211" s="255"/>
    </row>
    <row r="212" spans="1:88" s="503" customFormat="1" ht="14.1" hidden="1" customHeight="1">
      <c r="A212" s="483" t="s">
        <v>3426</v>
      </c>
      <c r="B212" s="478" t="s">
        <v>3390</v>
      </c>
      <c r="C212" s="521" t="s">
        <v>3435</v>
      </c>
      <c r="D212" s="517"/>
      <c r="E212" s="500"/>
      <c r="F212" s="251" t="s">
        <v>3187</v>
      </c>
      <c r="G212" s="501"/>
      <c r="H212" s="502"/>
      <c r="J212" s="199">
        <v>200</v>
      </c>
      <c r="K212" s="200"/>
      <c r="L212" s="200" t="s">
        <v>605</v>
      </c>
      <c r="M212" s="201" t="s">
        <v>109</v>
      </c>
      <c r="N212" s="536"/>
      <c r="O212" s="202">
        <v>2</v>
      </c>
      <c r="P212" s="201" t="s">
        <v>83</v>
      </c>
      <c r="Q212" s="201" t="s">
        <v>227</v>
      </c>
      <c r="R212" s="201" t="s">
        <v>228</v>
      </c>
      <c r="S212" s="201" t="s">
        <v>1982</v>
      </c>
      <c r="T212" s="201" t="s">
        <v>220</v>
      </c>
      <c r="U212" s="203">
        <v>10.9</v>
      </c>
      <c r="V212" s="203">
        <v>34.18</v>
      </c>
      <c r="W212" s="204"/>
      <c r="X212" s="205"/>
      <c r="Y212" s="203"/>
      <c r="Z212" s="206">
        <v>41869</v>
      </c>
      <c r="AA212" s="206" t="s">
        <v>79</v>
      </c>
      <c r="AB212" s="207">
        <v>1</v>
      </c>
      <c r="AC212" s="208" t="s">
        <v>80</v>
      </c>
      <c r="AD212" s="209">
        <v>34800000</v>
      </c>
      <c r="AE212" s="209">
        <v>34800000</v>
      </c>
      <c r="AF212" s="207"/>
      <c r="AG212" s="207"/>
      <c r="AH212" s="209"/>
      <c r="AI212" s="207"/>
      <c r="AJ212" s="208"/>
      <c r="AK212" s="209"/>
      <c r="AL212" s="209"/>
      <c r="AM212" s="206"/>
      <c r="AN212" s="207"/>
      <c r="AO212" s="208"/>
      <c r="AP212" s="209"/>
      <c r="AQ212" s="209"/>
      <c r="AR212" s="207"/>
      <c r="AS212" s="207"/>
      <c r="AT212" s="209"/>
      <c r="AU212" s="209"/>
      <c r="AV212" s="209"/>
      <c r="AW212" s="466" t="s">
        <v>1313</v>
      </c>
      <c r="AX212" s="466" t="s">
        <v>1313</v>
      </c>
      <c r="AY212" s="466" t="s">
        <v>1313</v>
      </c>
      <c r="AZ212" s="466" t="s">
        <v>1313</v>
      </c>
      <c r="BA212" s="466" t="s">
        <v>1313</v>
      </c>
      <c r="BB212" s="466" t="s">
        <v>1313</v>
      </c>
      <c r="BC212" s="207" t="s">
        <v>1320</v>
      </c>
      <c r="BD212" s="210">
        <v>49467979</v>
      </c>
      <c r="BE212" s="210"/>
      <c r="BF212" s="207" t="s">
        <v>101</v>
      </c>
      <c r="BG212" s="207"/>
      <c r="BH212" s="207" t="s">
        <v>87</v>
      </c>
      <c r="BI212" s="207" t="s">
        <v>1980</v>
      </c>
      <c r="BJ212" s="207"/>
      <c r="BK212" s="206">
        <v>42445</v>
      </c>
      <c r="BL212" s="206">
        <v>42517</v>
      </c>
      <c r="BM212" s="206"/>
      <c r="BN212" s="206"/>
      <c r="BO212" s="211"/>
      <c r="BP212" s="207"/>
      <c r="BQ212" s="207"/>
      <c r="BR212" s="206"/>
      <c r="BS212" s="206"/>
      <c r="BT212" s="212"/>
      <c r="BU212" s="212"/>
      <c r="BV212" s="206"/>
      <c r="BW212" s="212"/>
      <c r="BX212" s="206"/>
      <c r="BY212" s="212"/>
      <c r="BZ212" s="206"/>
      <c r="CA212" s="206">
        <v>41865</v>
      </c>
      <c r="CB212" s="213" t="s">
        <v>1976</v>
      </c>
      <c r="CC212" s="212"/>
      <c r="CD212" s="212">
        <v>50000000</v>
      </c>
      <c r="CE212" s="212"/>
      <c r="CF212" s="212"/>
      <c r="CG212" s="212">
        <v>50000000</v>
      </c>
      <c r="CH212" s="200"/>
      <c r="CI212" s="212"/>
      <c r="CJ212" s="255" t="s">
        <v>416</v>
      </c>
    </row>
    <row r="213" spans="1:88" s="503" customFormat="1" ht="14.1" hidden="1" customHeight="1">
      <c r="A213" s="483" t="s">
        <v>3424</v>
      </c>
      <c r="B213" s="478" t="s">
        <v>3391</v>
      </c>
      <c r="C213" s="521" t="s">
        <v>3435</v>
      </c>
      <c r="D213" s="521" t="s">
        <v>3435</v>
      </c>
      <c r="E213" s="500">
        <v>48776711</v>
      </c>
      <c r="F213" s="251" t="s">
        <v>3187</v>
      </c>
      <c r="G213" s="501"/>
      <c r="H213" s="502"/>
      <c r="J213" s="199">
        <v>201</v>
      </c>
      <c r="K213" s="200"/>
      <c r="L213" s="200" t="s">
        <v>606</v>
      </c>
      <c r="M213" s="201" t="s">
        <v>152</v>
      </c>
      <c r="N213" s="536"/>
      <c r="O213" s="202">
        <v>1</v>
      </c>
      <c r="P213" s="201" t="s">
        <v>83</v>
      </c>
      <c r="Q213" s="201" t="s">
        <v>155</v>
      </c>
      <c r="R213" s="201" t="s">
        <v>1904</v>
      </c>
      <c r="S213" s="201" t="s">
        <v>1983</v>
      </c>
      <c r="T213" s="201" t="s">
        <v>220</v>
      </c>
      <c r="U213" s="203">
        <v>17.5</v>
      </c>
      <c r="V213" s="203">
        <v>46.74</v>
      </c>
      <c r="W213" s="204"/>
      <c r="X213" s="205"/>
      <c r="Y213" s="203"/>
      <c r="Z213" s="206">
        <v>41782</v>
      </c>
      <c r="AA213" s="206" t="s">
        <v>79</v>
      </c>
      <c r="AB213" s="207">
        <v>1</v>
      </c>
      <c r="AC213" s="208" t="s">
        <v>80</v>
      </c>
      <c r="AD213" s="209">
        <v>57600000</v>
      </c>
      <c r="AE213" s="209">
        <v>57600000</v>
      </c>
      <c r="AF213" s="207"/>
      <c r="AG213" s="207"/>
      <c r="AH213" s="209"/>
      <c r="AI213" s="207"/>
      <c r="AJ213" s="208"/>
      <c r="AK213" s="209"/>
      <c r="AL213" s="209"/>
      <c r="AM213" s="206"/>
      <c r="AN213" s="207"/>
      <c r="AO213" s="208"/>
      <c r="AP213" s="209"/>
      <c r="AQ213" s="209"/>
      <c r="AR213" s="207"/>
      <c r="AS213" s="207"/>
      <c r="AT213" s="209"/>
      <c r="AU213" s="209"/>
      <c r="AV213" s="209"/>
      <c r="AW213" s="466" t="s">
        <v>1313</v>
      </c>
      <c r="AX213" s="466" t="s">
        <v>1313</v>
      </c>
      <c r="AY213" s="466" t="s">
        <v>1313</v>
      </c>
      <c r="AZ213" s="466" t="s">
        <v>1313</v>
      </c>
      <c r="BA213" s="466" t="s">
        <v>1313</v>
      </c>
      <c r="BB213" s="466" t="s">
        <v>1313</v>
      </c>
      <c r="BC213" s="207" t="s">
        <v>1320</v>
      </c>
      <c r="BD213" s="210">
        <v>48613883</v>
      </c>
      <c r="BE213" s="210"/>
      <c r="BF213" s="207" t="s">
        <v>101</v>
      </c>
      <c r="BG213" s="207"/>
      <c r="BH213" s="207" t="s">
        <v>87</v>
      </c>
      <c r="BI213" s="207" t="s">
        <v>1984</v>
      </c>
      <c r="BJ213" s="207"/>
      <c r="BK213" s="206">
        <v>42467</v>
      </c>
      <c r="BL213" s="206">
        <v>42538</v>
      </c>
      <c r="BM213" s="206"/>
      <c r="BN213" s="206"/>
      <c r="BO213" s="211"/>
      <c r="BP213" s="207"/>
      <c r="BQ213" s="207"/>
      <c r="BR213" s="206"/>
      <c r="BS213" s="206"/>
      <c r="BT213" s="212"/>
      <c r="BU213" s="212"/>
      <c r="BV213" s="206"/>
      <c r="BW213" s="212"/>
      <c r="BX213" s="206"/>
      <c r="BY213" s="212"/>
      <c r="BZ213" s="206"/>
      <c r="CA213" s="206">
        <v>41775</v>
      </c>
      <c r="CB213" s="213" t="s">
        <v>1985</v>
      </c>
      <c r="CC213" s="212"/>
      <c r="CD213" s="212">
        <v>80000000</v>
      </c>
      <c r="CE213" s="212"/>
      <c r="CF213" s="212"/>
      <c r="CG213" s="212">
        <v>80000000</v>
      </c>
      <c r="CH213" s="200"/>
      <c r="CI213" s="212"/>
      <c r="CJ213" s="255" t="s">
        <v>416</v>
      </c>
    </row>
    <row r="214" spans="1:88" s="503" customFormat="1" ht="14.1" hidden="1" customHeight="1">
      <c r="A214" s="483" t="s">
        <v>3424</v>
      </c>
      <c r="B214" s="478" t="s">
        <v>3392</v>
      </c>
      <c r="C214" s="251" t="s">
        <v>3423</v>
      </c>
      <c r="D214" s="517" t="s">
        <v>3423</v>
      </c>
      <c r="E214" s="500">
        <v>48551990</v>
      </c>
      <c r="F214" s="251" t="s">
        <v>3186</v>
      </c>
      <c r="G214" s="501"/>
      <c r="H214" s="502"/>
      <c r="J214" s="199">
        <v>202</v>
      </c>
      <c r="K214" s="200"/>
      <c r="L214" s="200" t="s">
        <v>607</v>
      </c>
      <c r="M214" s="201" t="s">
        <v>208</v>
      </c>
      <c r="N214" s="536"/>
      <c r="O214" s="202">
        <v>1</v>
      </c>
      <c r="P214" s="201" t="s">
        <v>93</v>
      </c>
      <c r="Q214" s="201" t="s">
        <v>161</v>
      </c>
      <c r="R214" s="201" t="s">
        <v>1986</v>
      </c>
      <c r="S214" s="201" t="s">
        <v>1987</v>
      </c>
      <c r="T214" s="201" t="s">
        <v>106</v>
      </c>
      <c r="U214" s="203">
        <v>60.74</v>
      </c>
      <c r="V214" s="203">
        <v>109.708</v>
      </c>
      <c r="W214" s="204"/>
      <c r="X214" s="205"/>
      <c r="Y214" s="203"/>
      <c r="Z214" s="206">
        <v>37330</v>
      </c>
      <c r="AA214" s="206" t="s">
        <v>79</v>
      </c>
      <c r="AB214" s="207">
        <v>1</v>
      </c>
      <c r="AC214" s="208" t="s">
        <v>80</v>
      </c>
      <c r="AD214" s="209">
        <v>60000000</v>
      </c>
      <c r="AE214" s="209">
        <v>60000000</v>
      </c>
      <c r="AF214" s="207"/>
      <c r="AG214" s="207"/>
      <c r="AH214" s="209"/>
      <c r="AI214" s="207"/>
      <c r="AJ214" s="208"/>
      <c r="AK214" s="209"/>
      <c r="AL214" s="209"/>
      <c r="AM214" s="206"/>
      <c r="AN214" s="207"/>
      <c r="AO214" s="208"/>
      <c r="AP214" s="209"/>
      <c r="AQ214" s="209"/>
      <c r="AR214" s="207"/>
      <c r="AS214" s="207"/>
      <c r="AT214" s="209"/>
      <c r="AU214" s="209"/>
      <c r="AV214" s="209"/>
      <c r="AW214" s="466" t="s">
        <v>1313</v>
      </c>
      <c r="AX214" s="466" t="s">
        <v>1313</v>
      </c>
      <c r="AY214" s="466" t="s">
        <v>1313</v>
      </c>
      <c r="AZ214" s="466" t="s">
        <v>1313</v>
      </c>
      <c r="BA214" s="466" t="s">
        <v>1313</v>
      </c>
      <c r="BB214" s="466" t="s">
        <v>1313</v>
      </c>
      <c r="BC214" s="207" t="s">
        <v>1320</v>
      </c>
      <c r="BD214" s="210">
        <v>50529997</v>
      </c>
      <c r="BE214" s="210">
        <v>32026691</v>
      </c>
      <c r="BF214" s="207" t="s">
        <v>113</v>
      </c>
      <c r="BG214" s="207" t="s">
        <v>101</v>
      </c>
      <c r="BH214" s="207" t="s">
        <v>99</v>
      </c>
      <c r="BI214" s="207" t="s">
        <v>1988</v>
      </c>
      <c r="BJ214" s="207" t="s">
        <v>1989</v>
      </c>
      <c r="BK214" s="206">
        <v>42471</v>
      </c>
      <c r="BL214" s="206">
        <v>42544</v>
      </c>
      <c r="BM214" s="206">
        <v>42478</v>
      </c>
      <c r="BN214" s="206"/>
      <c r="BO214" s="211"/>
      <c r="BP214" s="207"/>
      <c r="BQ214" s="207"/>
      <c r="BR214" s="206"/>
      <c r="BS214" s="206"/>
      <c r="BT214" s="212"/>
      <c r="BU214" s="212"/>
      <c r="BV214" s="206"/>
      <c r="BW214" s="212"/>
      <c r="BX214" s="206"/>
      <c r="BY214" s="212"/>
      <c r="BZ214" s="206"/>
      <c r="CA214" s="206">
        <v>42482</v>
      </c>
      <c r="CB214" s="213" t="s">
        <v>134</v>
      </c>
      <c r="CC214" s="212"/>
      <c r="CD214" s="212">
        <v>380000000</v>
      </c>
      <c r="CE214" s="212"/>
      <c r="CF214" s="212"/>
      <c r="CG214" s="212">
        <v>380000000</v>
      </c>
      <c r="CH214" s="200"/>
      <c r="CI214" s="212"/>
      <c r="CJ214" s="255" t="s">
        <v>416</v>
      </c>
    </row>
    <row r="215" spans="1:88" s="503" customFormat="1" ht="14.1" hidden="1" customHeight="1">
      <c r="A215" s="483" t="s">
        <v>3424</v>
      </c>
      <c r="B215" s="478" t="s">
        <v>3393</v>
      </c>
      <c r="C215" s="521" t="s">
        <v>3435</v>
      </c>
      <c r="D215" s="521" t="s">
        <v>3435</v>
      </c>
      <c r="E215" s="500">
        <v>48435345</v>
      </c>
      <c r="F215" s="251" t="s">
        <v>3187</v>
      </c>
      <c r="G215" s="501"/>
      <c r="H215" s="502"/>
      <c r="J215" s="199">
        <v>203</v>
      </c>
      <c r="K215" s="200"/>
      <c r="L215" s="200" t="s">
        <v>608</v>
      </c>
      <c r="M215" s="201" t="s">
        <v>221</v>
      </c>
      <c r="N215" s="536"/>
      <c r="O215" s="202">
        <v>1</v>
      </c>
      <c r="P215" s="201" t="s">
        <v>83</v>
      </c>
      <c r="Q215" s="201" t="s">
        <v>227</v>
      </c>
      <c r="R215" s="201" t="s">
        <v>238</v>
      </c>
      <c r="S215" s="201" t="s">
        <v>1990</v>
      </c>
      <c r="T215" s="201" t="s">
        <v>163</v>
      </c>
      <c r="U215" s="203">
        <v>37.35</v>
      </c>
      <c r="V215" s="203">
        <v>91.1</v>
      </c>
      <c r="W215" s="204"/>
      <c r="X215" s="205"/>
      <c r="Y215" s="203"/>
      <c r="Z215" s="206">
        <v>41687</v>
      </c>
      <c r="AA215" s="206" t="s">
        <v>79</v>
      </c>
      <c r="AB215" s="207">
        <v>1</v>
      </c>
      <c r="AC215" s="208" t="s">
        <v>80</v>
      </c>
      <c r="AD215" s="209">
        <v>60000000</v>
      </c>
      <c r="AE215" s="209">
        <v>60000000</v>
      </c>
      <c r="AF215" s="207"/>
      <c r="AG215" s="207"/>
      <c r="AH215" s="209"/>
      <c r="AI215" s="207"/>
      <c r="AJ215" s="208"/>
      <c r="AK215" s="209"/>
      <c r="AL215" s="209"/>
      <c r="AM215" s="206"/>
      <c r="AN215" s="207"/>
      <c r="AO215" s="208"/>
      <c r="AP215" s="209"/>
      <c r="AQ215" s="209"/>
      <c r="AR215" s="207"/>
      <c r="AS215" s="207"/>
      <c r="AT215" s="209"/>
      <c r="AU215" s="209"/>
      <c r="AV215" s="209"/>
      <c r="AW215" s="466" t="s">
        <v>1313</v>
      </c>
      <c r="AX215" s="466" t="s">
        <v>1313</v>
      </c>
      <c r="AY215" s="466" t="s">
        <v>1313</v>
      </c>
      <c r="AZ215" s="466" t="s">
        <v>1313</v>
      </c>
      <c r="BA215" s="466" t="s">
        <v>1313</v>
      </c>
      <c r="BB215" s="466" t="s">
        <v>1313</v>
      </c>
      <c r="BC215" s="207" t="s">
        <v>82</v>
      </c>
      <c r="BD215" s="210"/>
      <c r="BE215" s="210"/>
      <c r="BF215" s="207"/>
      <c r="BG215" s="207"/>
      <c r="BH215" s="207"/>
      <c r="BI215" s="207"/>
      <c r="BJ215" s="207"/>
      <c r="BK215" s="206"/>
      <c r="BL215" s="206"/>
      <c r="BM215" s="206"/>
      <c r="BN215" s="206"/>
      <c r="BO215" s="211"/>
      <c r="BP215" s="207"/>
      <c r="BQ215" s="207"/>
      <c r="BR215" s="206"/>
      <c r="BS215" s="206"/>
      <c r="BT215" s="212"/>
      <c r="BU215" s="212"/>
      <c r="BV215" s="206"/>
      <c r="BW215" s="212"/>
      <c r="BX215" s="206"/>
      <c r="BY215" s="212"/>
      <c r="BZ215" s="206"/>
      <c r="CA215" s="206">
        <v>42482</v>
      </c>
      <c r="CB215" s="213" t="s">
        <v>134</v>
      </c>
      <c r="CC215" s="212"/>
      <c r="CD215" s="212">
        <v>177500000</v>
      </c>
      <c r="CE215" s="212"/>
      <c r="CF215" s="212"/>
      <c r="CG215" s="212">
        <v>177500000</v>
      </c>
      <c r="CH215" s="200"/>
      <c r="CI215" s="212"/>
      <c r="CJ215" s="255" t="s">
        <v>416</v>
      </c>
    </row>
    <row r="216" spans="1:88" s="503" customFormat="1" ht="14.1" hidden="1" customHeight="1">
      <c r="A216" s="483" t="s">
        <v>3424</v>
      </c>
      <c r="B216" s="478" t="s">
        <v>3394</v>
      </c>
      <c r="C216" s="521" t="s">
        <v>3435</v>
      </c>
      <c r="D216" s="521" t="s">
        <v>3435</v>
      </c>
      <c r="E216" s="500">
        <v>47622122</v>
      </c>
      <c r="F216" s="251" t="s">
        <v>3189</v>
      </c>
      <c r="G216" s="501"/>
      <c r="H216" s="502"/>
      <c r="J216" s="199">
        <v>204</v>
      </c>
      <c r="K216" s="200"/>
      <c r="L216" s="200" t="s">
        <v>609</v>
      </c>
      <c r="M216" s="201" t="s">
        <v>183</v>
      </c>
      <c r="N216" s="536"/>
      <c r="O216" s="202">
        <v>1</v>
      </c>
      <c r="P216" s="201" t="s">
        <v>93</v>
      </c>
      <c r="Q216" s="201" t="s">
        <v>218</v>
      </c>
      <c r="R216" s="201" t="s">
        <v>1991</v>
      </c>
      <c r="S216" s="201" t="s">
        <v>1992</v>
      </c>
      <c r="T216" s="201" t="s">
        <v>220</v>
      </c>
      <c r="U216" s="203">
        <v>39.03</v>
      </c>
      <c r="V216" s="203">
        <v>50.64</v>
      </c>
      <c r="W216" s="204"/>
      <c r="X216" s="205"/>
      <c r="Y216" s="203"/>
      <c r="Z216" s="206">
        <v>40752</v>
      </c>
      <c r="AA216" s="206" t="s">
        <v>79</v>
      </c>
      <c r="AB216" s="207" t="s">
        <v>91</v>
      </c>
      <c r="AC216" s="208" t="s">
        <v>80</v>
      </c>
      <c r="AD216" s="209">
        <v>60000000</v>
      </c>
      <c r="AE216" s="209">
        <v>60000000</v>
      </c>
      <c r="AF216" s="207"/>
      <c r="AG216" s="207"/>
      <c r="AH216" s="209"/>
      <c r="AI216" s="207"/>
      <c r="AJ216" s="208"/>
      <c r="AK216" s="209"/>
      <c r="AL216" s="209"/>
      <c r="AM216" s="206"/>
      <c r="AN216" s="207"/>
      <c r="AO216" s="208"/>
      <c r="AP216" s="209"/>
      <c r="AQ216" s="209"/>
      <c r="AR216" s="207"/>
      <c r="AS216" s="207"/>
      <c r="AT216" s="209"/>
      <c r="AU216" s="209"/>
      <c r="AV216" s="209"/>
      <c r="AW216" s="466" t="s">
        <v>1313</v>
      </c>
      <c r="AX216" s="466" t="s">
        <v>1313</v>
      </c>
      <c r="AY216" s="466" t="s">
        <v>1313</v>
      </c>
      <c r="AZ216" s="466" t="s">
        <v>1313</v>
      </c>
      <c r="BA216" s="466" t="s">
        <v>1313</v>
      </c>
      <c r="BB216" s="466" t="s">
        <v>1313</v>
      </c>
      <c r="BC216" s="207" t="s">
        <v>82</v>
      </c>
      <c r="BD216" s="210"/>
      <c r="BE216" s="210"/>
      <c r="BF216" s="207"/>
      <c r="BG216" s="207"/>
      <c r="BH216" s="207"/>
      <c r="BI216" s="207"/>
      <c r="BJ216" s="207"/>
      <c r="BK216" s="206"/>
      <c r="BL216" s="206"/>
      <c r="BM216" s="206"/>
      <c r="BN216" s="206"/>
      <c r="BO216" s="211"/>
      <c r="BP216" s="207"/>
      <c r="BQ216" s="207"/>
      <c r="BR216" s="206"/>
      <c r="BS216" s="206"/>
      <c r="BT216" s="212"/>
      <c r="BU216" s="212"/>
      <c r="BV216" s="206"/>
      <c r="BW216" s="212"/>
      <c r="BX216" s="206"/>
      <c r="BY216" s="212"/>
      <c r="BZ216" s="206"/>
      <c r="CA216" s="206">
        <v>41409</v>
      </c>
      <c r="CB216" s="213" t="s">
        <v>1993</v>
      </c>
      <c r="CC216" s="212"/>
      <c r="CD216" s="212">
        <v>110000000</v>
      </c>
      <c r="CE216" s="212"/>
      <c r="CF216" s="212"/>
      <c r="CG216" s="212">
        <v>110000000</v>
      </c>
      <c r="CH216" s="200"/>
      <c r="CI216" s="212"/>
      <c r="CJ216" s="255" t="s">
        <v>1994</v>
      </c>
    </row>
    <row r="217" spans="1:88" s="503" customFormat="1" ht="14.1" hidden="1" customHeight="1">
      <c r="A217" s="483" t="s">
        <v>3424</v>
      </c>
      <c r="B217" s="478" t="s">
        <v>3395</v>
      </c>
      <c r="C217" s="521" t="s">
        <v>3435</v>
      </c>
      <c r="D217" s="521" t="s">
        <v>3435</v>
      </c>
      <c r="E217" s="500">
        <v>46720880</v>
      </c>
      <c r="F217" s="251" t="s">
        <v>3184</v>
      </c>
      <c r="G217" s="501"/>
      <c r="H217" s="502"/>
      <c r="J217" s="199">
        <v>205</v>
      </c>
      <c r="K217" s="200"/>
      <c r="L217" s="200" t="s">
        <v>610</v>
      </c>
      <c r="M217" s="201" t="s">
        <v>109</v>
      </c>
      <c r="N217" s="536"/>
      <c r="O217" s="202">
        <v>1</v>
      </c>
      <c r="P217" s="201" t="s">
        <v>103</v>
      </c>
      <c r="Q217" s="201" t="s">
        <v>153</v>
      </c>
      <c r="R217" s="201" t="s">
        <v>154</v>
      </c>
      <c r="S217" s="201" t="s">
        <v>1995</v>
      </c>
      <c r="T217" s="201" t="s">
        <v>220</v>
      </c>
      <c r="U217" s="203">
        <v>32.21</v>
      </c>
      <c r="V217" s="203">
        <v>57.54</v>
      </c>
      <c r="W217" s="204"/>
      <c r="X217" s="205"/>
      <c r="Y217" s="203"/>
      <c r="Z217" s="206">
        <v>40275</v>
      </c>
      <c r="AA217" s="206" t="s">
        <v>79</v>
      </c>
      <c r="AB217" s="207">
        <v>1</v>
      </c>
      <c r="AC217" s="208" t="s">
        <v>80</v>
      </c>
      <c r="AD217" s="209">
        <v>54000000</v>
      </c>
      <c r="AE217" s="209">
        <v>54000000</v>
      </c>
      <c r="AF217" s="207"/>
      <c r="AG217" s="207"/>
      <c r="AH217" s="209"/>
      <c r="AI217" s="207"/>
      <c r="AJ217" s="208"/>
      <c r="AK217" s="209"/>
      <c r="AL217" s="209"/>
      <c r="AM217" s="206"/>
      <c r="AN217" s="207"/>
      <c r="AO217" s="208"/>
      <c r="AP217" s="209"/>
      <c r="AQ217" s="209"/>
      <c r="AR217" s="207"/>
      <c r="AS217" s="207"/>
      <c r="AT217" s="209"/>
      <c r="AU217" s="209"/>
      <c r="AV217" s="209"/>
      <c r="AW217" s="466" t="s">
        <v>1313</v>
      </c>
      <c r="AX217" s="466" t="s">
        <v>1313</v>
      </c>
      <c r="AY217" s="466" t="s">
        <v>1313</v>
      </c>
      <c r="AZ217" s="466" t="s">
        <v>1313</v>
      </c>
      <c r="BA217" s="466" t="s">
        <v>1313</v>
      </c>
      <c r="BB217" s="466" t="s">
        <v>1313</v>
      </c>
      <c r="BC217" s="207" t="s">
        <v>1320</v>
      </c>
      <c r="BD217" s="210">
        <v>45597540</v>
      </c>
      <c r="BE217" s="210"/>
      <c r="BF217" s="207" t="s">
        <v>101</v>
      </c>
      <c r="BG217" s="207"/>
      <c r="BH217" s="207" t="s">
        <v>107</v>
      </c>
      <c r="BI217" s="207" t="s">
        <v>1996</v>
      </c>
      <c r="BJ217" s="207"/>
      <c r="BK217" s="206">
        <v>42454</v>
      </c>
      <c r="BL217" s="206">
        <v>42542</v>
      </c>
      <c r="BM217" s="206"/>
      <c r="BN217" s="206"/>
      <c r="BO217" s="211"/>
      <c r="BP217" s="207"/>
      <c r="BQ217" s="207"/>
      <c r="BR217" s="206"/>
      <c r="BS217" s="206"/>
      <c r="BT217" s="212"/>
      <c r="BU217" s="212"/>
      <c r="BV217" s="206"/>
      <c r="BW217" s="212"/>
      <c r="BX217" s="206"/>
      <c r="BY217" s="212"/>
      <c r="BZ217" s="206"/>
      <c r="CA217" s="206">
        <v>42424</v>
      </c>
      <c r="CB217" s="213" t="s">
        <v>1997</v>
      </c>
      <c r="CC217" s="212"/>
      <c r="CD217" s="212">
        <v>256000000</v>
      </c>
      <c r="CE217" s="212"/>
      <c r="CF217" s="212"/>
      <c r="CG217" s="212">
        <v>256000000</v>
      </c>
      <c r="CH217" s="200"/>
      <c r="CI217" s="212"/>
      <c r="CJ217" s="255" t="s">
        <v>1998</v>
      </c>
    </row>
    <row r="218" spans="1:88" s="503" customFormat="1" ht="14.1" hidden="1" customHeight="1">
      <c r="A218" s="483" t="s">
        <v>3424</v>
      </c>
      <c r="B218" s="478" t="s">
        <v>3396</v>
      </c>
      <c r="C218" s="521" t="s">
        <v>3435</v>
      </c>
      <c r="D218" s="521" t="s">
        <v>3435</v>
      </c>
      <c r="E218" s="500">
        <v>44948712</v>
      </c>
      <c r="F218" s="251" t="s">
        <v>3184</v>
      </c>
      <c r="G218" s="501"/>
      <c r="H218" s="502"/>
      <c r="J218" s="199">
        <v>206</v>
      </c>
      <c r="K218" s="200"/>
      <c r="L218" s="200" t="s">
        <v>611</v>
      </c>
      <c r="M218" s="201" t="s">
        <v>135</v>
      </c>
      <c r="N218" s="536"/>
      <c r="O218" s="202">
        <v>1</v>
      </c>
      <c r="P218" s="201" t="s">
        <v>232</v>
      </c>
      <c r="Q218" s="201" t="s">
        <v>188</v>
      </c>
      <c r="R218" s="201" t="s">
        <v>1999</v>
      </c>
      <c r="S218" s="201" t="s">
        <v>2000</v>
      </c>
      <c r="T218" s="201" t="s">
        <v>133</v>
      </c>
      <c r="U218" s="203">
        <v>7.0205000000000002</v>
      </c>
      <c r="V218" s="203">
        <v>26.619</v>
      </c>
      <c r="W218" s="204"/>
      <c r="X218" s="205"/>
      <c r="Y218" s="203"/>
      <c r="Z218" s="206">
        <v>41150</v>
      </c>
      <c r="AA218" s="206" t="s">
        <v>79</v>
      </c>
      <c r="AB218" s="207">
        <v>1</v>
      </c>
      <c r="AC218" s="208" t="s">
        <v>80</v>
      </c>
      <c r="AD218" s="209">
        <v>58500000</v>
      </c>
      <c r="AE218" s="209">
        <v>58500000</v>
      </c>
      <c r="AF218" s="207"/>
      <c r="AG218" s="207"/>
      <c r="AH218" s="209"/>
      <c r="AI218" s="207"/>
      <c r="AJ218" s="208"/>
      <c r="AK218" s="209"/>
      <c r="AL218" s="209"/>
      <c r="AM218" s="206"/>
      <c r="AN218" s="207"/>
      <c r="AO218" s="208"/>
      <c r="AP218" s="209"/>
      <c r="AQ218" s="209"/>
      <c r="AR218" s="207"/>
      <c r="AS218" s="207"/>
      <c r="AT218" s="209"/>
      <c r="AU218" s="209"/>
      <c r="AV218" s="209"/>
      <c r="AW218" s="466" t="s">
        <v>1313</v>
      </c>
      <c r="AX218" s="466" t="s">
        <v>1313</v>
      </c>
      <c r="AY218" s="466" t="s">
        <v>1313</v>
      </c>
      <c r="AZ218" s="466" t="s">
        <v>1313</v>
      </c>
      <c r="BA218" s="466" t="s">
        <v>1313</v>
      </c>
      <c r="BB218" s="466" t="s">
        <v>1313</v>
      </c>
      <c r="BC218" s="207" t="s">
        <v>82</v>
      </c>
      <c r="BD218" s="210"/>
      <c r="BE218" s="210"/>
      <c r="BF218" s="207"/>
      <c r="BG218" s="207"/>
      <c r="BH218" s="207"/>
      <c r="BI218" s="207"/>
      <c r="BJ218" s="207"/>
      <c r="BK218" s="206"/>
      <c r="BL218" s="206"/>
      <c r="BM218" s="206"/>
      <c r="BN218" s="206"/>
      <c r="BO218" s="211"/>
      <c r="BP218" s="207"/>
      <c r="BQ218" s="207"/>
      <c r="BR218" s="206"/>
      <c r="BS218" s="206"/>
      <c r="BT218" s="212"/>
      <c r="BU218" s="212"/>
      <c r="BV218" s="206"/>
      <c r="BW218" s="212"/>
      <c r="BX218" s="206"/>
      <c r="BY218" s="212"/>
      <c r="BZ218" s="206"/>
      <c r="CA218" s="206">
        <v>41149</v>
      </c>
      <c r="CB218" s="213" t="s">
        <v>1388</v>
      </c>
      <c r="CC218" s="212"/>
      <c r="CD218" s="212">
        <v>80000000</v>
      </c>
      <c r="CE218" s="212"/>
      <c r="CF218" s="212"/>
      <c r="CG218" s="212">
        <v>80000000</v>
      </c>
      <c r="CH218" s="200"/>
      <c r="CI218" s="212"/>
      <c r="CJ218" s="255" t="s">
        <v>2001</v>
      </c>
    </row>
    <row r="219" spans="1:88" s="503" customFormat="1" ht="14.1" hidden="1" customHeight="1">
      <c r="A219" s="483" t="s">
        <v>3424</v>
      </c>
      <c r="B219" s="478" t="s">
        <v>3397</v>
      </c>
      <c r="C219" s="251" t="s">
        <v>3423</v>
      </c>
      <c r="D219" s="517" t="s">
        <v>3423</v>
      </c>
      <c r="E219" s="500">
        <v>41756650</v>
      </c>
      <c r="F219" s="251" t="s">
        <v>3187</v>
      </c>
      <c r="G219" s="501"/>
      <c r="H219" s="502"/>
      <c r="J219" s="199">
        <v>207</v>
      </c>
      <c r="K219" s="200"/>
      <c r="L219" s="200" t="s">
        <v>612</v>
      </c>
      <c r="M219" s="201" t="s">
        <v>646</v>
      </c>
      <c r="N219" s="536"/>
      <c r="O219" s="202">
        <v>1</v>
      </c>
      <c r="P219" s="201" t="s">
        <v>83</v>
      </c>
      <c r="Q219" s="201" t="s">
        <v>184</v>
      </c>
      <c r="R219" s="201" t="s">
        <v>1586</v>
      </c>
      <c r="S219" s="201" t="s">
        <v>2002</v>
      </c>
      <c r="T219" s="201" t="s">
        <v>106</v>
      </c>
      <c r="U219" s="203">
        <v>2.9289999999999998</v>
      </c>
      <c r="V219" s="203">
        <v>15.04</v>
      </c>
      <c r="W219" s="204"/>
      <c r="X219" s="205"/>
      <c r="Y219" s="203"/>
      <c r="Z219" s="206">
        <v>41738</v>
      </c>
      <c r="AA219" s="206" t="s">
        <v>79</v>
      </c>
      <c r="AB219" s="207">
        <v>1</v>
      </c>
      <c r="AC219" s="208" t="s">
        <v>80</v>
      </c>
      <c r="AD219" s="209">
        <v>48240000</v>
      </c>
      <c r="AE219" s="209">
        <v>48240000</v>
      </c>
      <c r="AF219" s="207"/>
      <c r="AG219" s="207"/>
      <c r="AH219" s="209"/>
      <c r="AI219" s="207"/>
      <c r="AJ219" s="208"/>
      <c r="AK219" s="209"/>
      <c r="AL219" s="209"/>
      <c r="AM219" s="206"/>
      <c r="AN219" s="207"/>
      <c r="AO219" s="208"/>
      <c r="AP219" s="209"/>
      <c r="AQ219" s="209"/>
      <c r="AR219" s="207"/>
      <c r="AS219" s="207"/>
      <c r="AT219" s="209"/>
      <c r="AU219" s="209"/>
      <c r="AV219" s="209"/>
      <c r="AW219" s="466" t="s">
        <v>1313</v>
      </c>
      <c r="AX219" s="466" t="s">
        <v>1313</v>
      </c>
      <c r="AY219" s="466" t="s">
        <v>1313</v>
      </c>
      <c r="AZ219" s="466" t="s">
        <v>1313</v>
      </c>
      <c r="BA219" s="466" t="s">
        <v>1313</v>
      </c>
      <c r="BB219" s="466" t="s">
        <v>1313</v>
      </c>
      <c r="BC219" s="207" t="s">
        <v>82</v>
      </c>
      <c r="BD219" s="210"/>
      <c r="BE219" s="210"/>
      <c r="BF219" s="207"/>
      <c r="BG219" s="207"/>
      <c r="BH219" s="207"/>
      <c r="BI219" s="207"/>
      <c r="BJ219" s="207"/>
      <c r="BK219" s="206"/>
      <c r="BL219" s="206"/>
      <c r="BM219" s="206"/>
      <c r="BN219" s="206"/>
      <c r="BO219" s="211"/>
      <c r="BP219" s="207"/>
      <c r="BQ219" s="207"/>
      <c r="BR219" s="206"/>
      <c r="BS219" s="206"/>
      <c r="BT219" s="212"/>
      <c r="BU219" s="212"/>
      <c r="BV219" s="206"/>
      <c r="BW219" s="212"/>
      <c r="BX219" s="206"/>
      <c r="BY219" s="212"/>
      <c r="BZ219" s="206"/>
      <c r="CA219" s="206">
        <v>41738</v>
      </c>
      <c r="CB219" s="213" t="s">
        <v>1388</v>
      </c>
      <c r="CC219" s="212"/>
      <c r="CD219" s="212">
        <v>67000000</v>
      </c>
      <c r="CE219" s="212"/>
      <c r="CF219" s="212"/>
      <c r="CG219" s="212">
        <v>67000000</v>
      </c>
      <c r="CH219" s="200"/>
      <c r="CI219" s="212"/>
      <c r="CJ219" s="255"/>
    </row>
    <row r="220" spans="1:88" s="503" customFormat="1" ht="14.1" hidden="1" customHeight="1">
      <c r="A220" s="483" t="s">
        <v>3424</v>
      </c>
      <c r="B220" s="478" t="s">
        <v>3398</v>
      </c>
      <c r="C220" s="521" t="s">
        <v>3435</v>
      </c>
      <c r="D220" s="521" t="s">
        <v>3435</v>
      </c>
      <c r="E220" s="500">
        <v>40534240</v>
      </c>
      <c r="F220" s="251" t="s">
        <v>3187</v>
      </c>
      <c r="G220" s="501"/>
      <c r="H220" s="502"/>
      <c r="J220" s="199">
        <v>208</v>
      </c>
      <c r="K220" s="200"/>
      <c r="L220" s="200" t="s">
        <v>613</v>
      </c>
      <c r="M220" s="201" t="s">
        <v>109</v>
      </c>
      <c r="N220" s="536"/>
      <c r="O220" s="202">
        <v>1</v>
      </c>
      <c r="P220" s="201" t="s">
        <v>83</v>
      </c>
      <c r="Q220" s="201" t="s">
        <v>206</v>
      </c>
      <c r="R220" s="201" t="s">
        <v>1978</v>
      </c>
      <c r="S220" s="201" t="s">
        <v>2003</v>
      </c>
      <c r="T220" s="201" t="s">
        <v>220</v>
      </c>
      <c r="U220" s="203">
        <v>26.326000000000001</v>
      </c>
      <c r="V220" s="203">
        <v>36.94</v>
      </c>
      <c r="W220" s="204"/>
      <c r="X220" s="205"/>
      <c r="Y220" s="203"/>
      <c r="Z220" s="206">
        <v>41970</v>
      </c>
      <c r="AA220" s="206" t="s">
        <v>79</v>
      </c>
      <c r="AB220" s="207">
        <v>1</v>
      </c>
      <c r="AC220" s="208" t="s">
        <v>80</v>
      </c>
      <c r="AD220" s="209">
        <v>46800000</v>
      </c>
      <c r="AE220" s="209">
        <v>46800000</v>
      </c>
      <c r="AF220" s="207"/>
      <c r="AG220" s="207"/>
      <c r="AH220" s="209"/>
      <c r="AI220" s="207"/>
      <c r="AJ220" s="208"/>
      <c r="AK220" s="209"/>
      <c r="AL220" s="209"/>
      <c r="AM220" s="206"/>
      <c r="AN220" s="207"/>
      <c r="AO220" s="208"/>
      <c r="AP220" s="209"/>
      <c r="AQ220" s="209"/>
      <c r="AR220" s="207"/>
      <c r="AS220" s="207"/>
      <c r="AT220" s="209"/>
      <c r="AU220" s="209"/>
      <c r="AV220" s="209"/>
      <c r="AW220" s="466" t="s">
        <v>1313</v>
      </c>
      <c r="AX220" s="466" t="s">
        <v>1313</v>
      </c>
      <c r="AY220" s="466" t="s">
        <v>1313</v>
      </c>
      <c r="AZ220" s="466" t="s">
        <v>1313</v>
      </c>
      <c r="BA220" s="466" t="s">
        <v>1313</v>
      </c>
      <c r="BB220" s="466" t="s">
        <v>1313</v>
      </c>
      <c r="BC220" s="207" t="s">
        <v>1320</v>
      </c>
      <c r="BD220" s="210">
        <v>40649278</v>
      </c>
      <c r="BE220" s="210"/>
      <c r="BF220" s="207" t="s">
        <v>101</v>
      </c>
      <c r="BG220" s="207"/>
      <c r="BH220" s="207" t="s">
        <v>87</v>
      </c>
      <c r="BI220" s="207" t="s">
        <v>2004</v>
      </c>
      <c r="BJ220" s="207"/>
      <c r="BK220" s="206">
        <v>42431</v>
      </c>
      <c r="BL220" s="206">
        <v>42513</v>
      </c>
      <c r="BM220" s="206"/>
      <c r="BN220" s="206"/>
      <c r="BO220" s="211"/>
      <c r="BP220" s="207"/>
      <c r="BQ220" s="207"/>
      <c r="BR220" s="206"/>
      <c r="BS220" s="206"/>
      <c r="BT220" s="212"/>
      <c r="BU220" s="212"/>
      <c r="BV220" s="206"/>
      <c r="BW220" s="212"/>
      <c r="BX220" s="206"/>
      <c r="BY220" s="212"/>
      <c r="BZ220" s="206"/>
      <c r="CA220" s="206">
        <v>41967</v>
      </c>
      <c r="CB220" s="213" t="s">
        <v>2005</v>
      </c>
      <c r="CC220" s="212"/>
      <c r="CD220" s="212">
        <v>60000000</v>
      </c>
      <c r="CE220" s="212"/>
      <c r="CF220" s="212"/>
      <c r="CG220" s="212">
        <v>60000000</v>
      </c>
      <c r="CH220" s="200"/>
      <c r="CI220" s="212"/>
      <c r="CJ220" s="255" t="s">
        <v>416</v>
      </c>
    </row>
    <row r="221" spans="1:88" s="503" customFormat="1" ht="14.1" hidden="1" customHeight="1">
      <c r="A221" s="483" t="s">
        <v>3424</v>
      </c>
      <c r="B221" s="478" t="s">
        <v>3399</v>
      </c>
      <c r="C221" s="521" t="s">
        <v>3435</v>
      </c>
      <c r="D221" s="521" t="s">
        <v>3435</v>
      </c>
      <c r="E221" s="500">
        <v>39890000</v>
      </c>
      <c r="F221" s="251" t="s">
        <v>3186</v>
      </c>
      <c r="G221" s="501"/>
      <c r="H221" s="502"/>
      <c r="J221" s="199">
        <v>209</v>
      </c>
      <c r="K221" s="200"/>
      <c r="L221" s="200" t="s">
        <v>614</v>
      </c>
      <c r="M221" s="201" t="s">
        <v>152</v>
      </c>
      <c r="N221" s="536"/>
      <c r="O221" s="202">
        <v>1</v>
      </c>
      <c r="P221" s="201" t="s">
        <v>119</v>
      </c>
      <c r="Q221" s="201" t="s">
        <v>2006</v>
      </c>
      <c r="R221" s="201" t="s">
        <v>2007</v>
      </c>
      <c r="S221" s="201" t="s">
        <v>2008</v>
      </c>
      <c r="T221" s="201" t="s">
        <v>225</v>
      </c>
      <c r="U221" s="203">
        <v>3202</v>
      </c>
      <c r="V221" s="203">
        <v>0</v>
      </c>
      <c r="W221" s="204"/>
      <c r="X221" s="205"/>
      <c r="Y221" s="203"/>
      <c r="Z221" s="206">
        <v>39155</v>
      </c>
      <c r="AA221" s="206" t="s">
        <v>79</v>
      </c>
      <c r="AB221" s="207">
        <v>1</v>
      </c>
      <c r="AC221" s="208" t="s">
        <v>80</v>
      </c>
      <c r="AD221" s="209">
        <v>234000000</v>
      </c>
      <c r="AE221" s="209">
        <v>234000000</v>
      </c>
      <c r="AF221" s="207"/>
      <c r="AG221" s="207"/>
      <c r="AH221" s="209"/>
      <c r="AI221" s="207"/>
      <c r="AJ221" s="208"/>
      <c r="AK221" s="209"/>
      <c r="AL221" s="209"/>
      <c r="AM221" s="206"/>
      <c r="AN221" s="207"/>
      <c r="AO221" s="208"/>
      <c r="AP221" s="209"/>
      <c r="AQ221" s="209"/>
      <c r="AR221" s="207"/>
      <c r="AS221" s="207"/>
      <c r="AT221" s="209"/>
      <c r="AU221" s="209"/>
      <c r="AV221" s="209"/>
      <c r="AW221" s="466" t="s">
        <v>1313</v>
      </c>
      <c r="AX221" s="466" t="s">
        <v>1313</v>
      </c>
      <c r="AY221" s="466" t="s">
        <v>1313</v>
      </c>
      <c r="AZ221" s="466" t="s">
        <v>1313</v>
      </c>
      <c r="BA221" s="466" t="s">
        <v>1313</v>
      </c>
      <c r="BB221" s="466" t="s">
        <v>1313</v>
      </c>
      <c r="BC221" s="207" t="s">
        <v>82</v>
      </c>
      <c r="BD221" s="210"/>
      <c r="BE221" s="210"/>
      <c r="BF221" s="207"/>
      <c r="BG221" s="207"/>
      <c r="BH221" s="207"/>
      <c r="BI221" s="207"/>
      <c r="BJ221" s="207"/>
      <c r="BK221" s="206"/>
      <c r="BL221" s="206"/>
      <c r="BM221" s="206"/>
      <c r="BN221" s="206"/>
      <c r="BO221" s="211"/>
      <c r="BP221" s="207"/>
      <c r="BQ221" s="207"/>
      <c r="BR221" s="206"/>
      <c r="BS221" s="206"/>
      <c r="BT221" s="212"/>
      <c r="BU221" s="212"/>
      <c r="BV221" s="206"/>
      <c r="BW221" s="212"/>
      <c r="BX221" s="206"/>
      <c r="BY221" s="212"/>
      <c r="BZ221" s="206"/>
      <c r="CA221" s="206">
        <v>39135</v>
      </c>
      <c r="CB221" s="213" t="s">
        <v>2009</v>
      </c>
      <c r="CC221" s="212">
        <v>170513000</v>
      </c>
      <c r="CD221" s="212"/>
      <c r="CE221" s="212"/>
      <c r="CF221" s="212"/>
      <c r="CG221" s="212">
        <v>170513000</v>
      </c>
      <c r="CH221" s="200"/>
      <c r="CI221" s="212"/>
      <c r="CJ221" s="255" t="s">
        <v>2010</v>
      </c>
    </row>
    <row r="222" spans="1:88" s="503" customFormat="1" ht="14.1" hidden="1" customHeight="1">
      <c r="A222" s="483" t="s">
        <v>3424</v>
      </c>
      <c r="B222" s="478" t="s">
        <v>3400</v>
      </c>
      <c r="C222" s="521" t="s">
        <v>3435</v>
      </c>
      <c r="D222" s="521" t="s">
        <v>3435</v>
      </c>
      <c r="E222" s="500">
        <v>38463133</v>
      </c>
      <c r="F222" s="251" t="s">
        <v>3187</v>
      </c>
      <c r="G222" s="501"/>
      <c r="H222" s="502"/>
      <c r="J222" s="199">
        <v>210</v>
      </c>
      <c r="K222" s="200"/>
      <c r="L222" s="200" t="s">
        <v>615</v>
      </c>
      <c r="M222" s="201" t="s">
        <v>168</v>
      </c>
      <c r="N222" s="536"/>
      <c r="O222" s="202">
        <v>1</v>
      </c>
      <c r="P222" s="201" t="s">
        <v>83</v>
      </c>
      <c r="Q222" s="201" t="s">
        <v>227</v>
      </c>
      <c r="R222" s="201" t="s">
        <v>228</v>
      </c>
      <c r="S222" s="201" t="s">
        <v>2011</v>
      </c>
      <c r="T222" s="201" t="s">
        <v>220</v>
      </c>
      <c r="U222" s="203">
        <v>10.3</v>
      </c>
      <c r="V222" s="203">
        <v>37.97</v>
      </c>
      <c r="W222" s="204"/>
      <c r="X222" s="205"/>
      <c r="Y222" s="203"/>
      <c r="Z222" s="206">
        <v>41865</v>
      </c>
      <c r="AA222" s="206" t="s">
        <v>79</v>
      </c>
      <c r="AB222" s="207">
        <v>1</v>
      </c>
      <c r="AC222" s="208" t="s">
        <v>80</v>
      </c>
      <c r="AD222" s="209">
        <v>44400000</v>
      </c>
      <c r="AE222" s="209">
        <v>44400000</v>
      </c>
      <c r="AF222" s="207"/>
      <c r="AG222" s="207"/>
      <c r="AH222" s="209"/>
      <c r="AI222" s="207"/>
      <c r="AJ222" s="208"/>
      <c r="AK222" s="209"/>
      <c r="AL222" s="209"/>
      <c r="AM222" s="206"/>
      <c r="AN222" s="207"/>
      <c r="AO222" s="208"/>
      <c r="AP222" s="209"/>
      <c r="AQ222" s="209"/>
      <c r="AR222" s="207"/>
      <c r="AS222" s="207"/>
      <c r="AT222" s="209"/>
      <c r="AU222" s="209"/>
      <c r="AV222" s="209"/>
      <c r="AW222" s="466" t="s">
        <v>1313</v>
      </c>
      <c r="AX222" s="466" t="s">
        <v>1313</v>
      </c>
      <c r="AY222" s="466" t="s">
        <v>1313</v>
      </c>
      <c r="AZ222" s="466" t="s">
        <v>1313</v>
      </c>
      <c r="BA222" s="466" t="s">
        <v>1313</v>
      </c>
      <c r="BB222" s="466" t="s">
        <v>1313</v>
      </c>
      <c r="BC222" s="207" t="s">
        <v>1320</v>
      </c>
      <c r="BD222" s="210">
        <v>37549402</v>
      </c>
      <c r="BE222" s="210"/>
      <c r="BF222" s="207" t="s">
        <v>101</v>
      </c>
      <c r="BG222" s="207"/>
      <c r="BH222" s="207" t="s">
        <v>87</v>
      </c>
      <c r="BI222" s="207" t="s">
        <v>2012</v>
      </c>
      <c r="BJ222" s="207"/>
      <c r="BK222" s="206">
        <v>42447</v>
      </c>
      <c r="BL222" s="206">
        <v>42520</v>
      </c>
      <c r="BM222" s="206"/>
      <c r="BN222" s="206"/>
      <c r="BO222" s="211"/>
      <c r="BP222" s="207"/>
      <c r="BQ222" s="207"/>
      <c r="BR222" s="206"/>
      <c r="BS222" s="206"/>
      <c r="BT222" s="212"/>
      <c r="BU222" s="212"/>
      <c r="BV222" s="206"/>
      <c r="BW222" s="212"/>
      <c r="BX222" s="206"/>
      <c r="BY222" s="212"/>
      <c r="BZ222" s="206"/>
      <c r="CA222" s="206">
        <v>41862</v>
      </c>
      <c r="CB222" s="213" t="s">
        <v>1976</v>
      </c>
      <c r="CC222" s="212"/>
      <c r="CD222" s="212">
        <v>57000000</v>
      </c>
      <c r="CE222" s="212"/>
      <c r="CF222" s="212"/>
      <c r="CG222" s="212">
        <v>57000000</v>
      </c>
      <c r="CH222" s="200"/>
      <c r="CI222" s="212"/>
      <c r="CJ222" s="255" t="s">
        <v>416</v>
      </c>
    </row>
    <row r="223" spans="1:88" s="503" customFormat="1" ht="14.1" hidden="1" customHeight="1">
      <c r="A223" s="483" t="s">
        <v>3424</v>
      </c>
      <c r="B223" s="478" t="s">
        <v>3401</v>
      </c>
      <c r="C223" s="521" t="s">
        <v>3435</v>
      </c>
      <c r="D223" s="521" t="s">
        <v>3435</v>
      </c>
      <c r="E223" s="500">
        <v>39763633</v>
      </c>
      <c r="F223" s="251" t="s">
        <v>3187</v>
      </c>
      <c r="G223" s="501"/>
      <c r="H223" s="502"/>
      <c r="J223" s="199">
        <v>211</v>
      </c>
      <c r="K223" s="200"/>
      <c r="L223" s="200" t="s">
        <v>616</v>
      </c>
      <c r="M223" s="201" t="s">
        <v>168</v>
      </c>
      <c r="N223" s="536"/>
      <c r="O223" s="202">
        <v>1</v>
      </c>
      <c r="P223" s="201" t="s">
        <v>83</v>
      </c>
      <c r="Q223" s="201" t="s">
        <v>188</v>
      </c>
      <c r="R223" s="201" t="s">
        <v>2013</v>
      </c>
      <c r="S223" s="201" t="s">
        <v>2014</v>
      </c>
      <c r="T223" s="201" t="s">
        <v>220</v>
      </c>
      <c r="U223" s="203">
        <v>25.188099999999999</v>
      </c>
      <c r="V223" s="203">
        <v>34.645000000000003</v>
      </c>
      <c r="W223" s="204"/>
      <c r="X223" s="205"/>
      <c r="Y223" s="203"/>
      <c r="Z223" s="206">
        <v>41995</v>
      </c>
      <c r="AA223" s="206" t="s">
        <v>79</v>
      </c>
      <c r="AB223" s="207">
        <v>1</v>
      </c>
      <c r="AC223" s="208" t="s">
        <v>80</v>
      </c>
      <c r="AD223" s="209">
        <v>46800000</v>
      </c>
      <c r="AE223" s="209">
        <v>46800000</v>
      </c>
      <c r="AF223" s="207"/>
      <c r="AG223" s="207"/>
      <c r="AH223" s="209"/>
      <c r="AI223" s="207"/>
      <c r="AJ223" s="208"/>
      <c r="AK223" s="209"/>
      <c r="AL223" s="209"/>
      <c r="AM223" s="206"/>
      <c r="AN223" s="207"/>
      <c r="AO223" s="208"/>
      <c r="AP223" s="209"/>
      <c r="AQ223" s="209"/>
      <c r="AR223" s="207"/>
      <c r="AS223" s="207"/>
      <c r="AT223" s="209"/>
      <c r="AU223" s="209"/>
      <c r="AV223" s="209"/>
      <c r="AW223" s="466" t="s">
        <v>1313</v>
      </c>
      <c r="AX223" s="466" t="s">
        <v>1313</v>
      </c>
      <c r="AY223" s="466" t="s">
        <v>1313</v>
      </c>
      <c r="AZ223" s="466" t="s">
        <v>1313</v>
      </c>
      <c r="BA223" s="466" t="s">
        <v>1313</v>
      </c>
      <c r="BB223" s="466" t="s">
        <v>1313</v>
      </c>
      <c r="BC223" s="207" t="s">
        <v>1320</v>
      </c>
      <c r="BD223" s="210">
        <v>39050936</v>
      </c>
      <c r="BE223" s="210"/>
      <c r="BF223" s="207" t="s">
        <v>101</v>
      </c>
      <c r="BG223" s="207"/>
      <c r="BH223" s="207" t="s">
        <v>87</v>
      </c>
      <c r="BI223" s="207" t="s">
        <v>2015</v>
      </c>
      <c r="BJ223" s="207"/>
      <c r="BK223" s="206">
        <v>42482</v>
      </c>
      <c r="BL223" s="206">
        <v>42562</v>
      </c>
      <c r="BM223" s="206"/>
      <c r="BN223" s="206"/>
      <c r="BO223" s="211"/>
      <c r="BP223" s="207"/>
      <c r="BQ223" s="207"/>
      <c r="BR223" s="206"/>
      <c r="BS223" s="206"/>
      <c r="BT223" s="212"/>
      <c r="BU223" s="212"/>
      <c r="BV223" s="206"/>
      <c r="BW223" s="212"/>
      <c r="BX223" s="206"/>
      <c r="BY223" s="212"/>
      <c r="BZ223" s="206"/>
      <c r="CA223" s="206">
        <v>41989</v>
      </c>
      <c r="CB223" s="213" t="s">
        <v>1985</v>
      </c>
      <c r="CC223" s="212"/>
      <c r="CD223" s="212">
        <v>60000000</v>
      </c>
      <c r="CE223" s="212"/>
      <c r="CF223" s="212"/>
      <c r="CG223" s="212">
        <v>60000000</v>
      </c>
      <c r="CH223" s="200"/>
      <c r="CI223" s="212"/>
      <c r="CJ223" s="255" t="s">
        <v>416</v>
      </c>
    </row>
    <row r="224" spans="1:88" s="503" customFormat="1" ht="14.1" hidden="1" customHeight="1">
      <c r="A224" s="483" t="s">
        <v>3424</v>
      </c>
      <c r="B224" s="478" t="s">
        <v>3402</v>
      </c>
      <c r="C224" s="251" t="s">
        <v>3423</v>
      </c>
      <c r="D224" s="517" t="s">
        <v>3423</v>
      </c>
      <c r="E224" s="500">
        <v>37998855</v>
      </c>
      <c r="F224" s="251" t="s">
        <v>3185</v>
      </c>
      <c r="G224" s="501"/>
      <c r="H224" s="502"/>
      <c r="J224" s="199">
        <v>212</v>
      </c>
      <c r="K224" s="200"/>
      <c r="L224" s="200" t="s">
        <v>617</v>
      </c>
      <c r="M224" s="201" t="s">
        <v>152</v>
      </c>
      <c r="N224" s="536"/>
      <c r="O224" s="202">
        <v>1</v>
      </c>
      <c r="P224" s="201" t="s">
        <v>125</v>
      </c>
      <c r="Q224" s="201" t="s">
        <v>126</v>
      </c>
      <c r="R224" s="201" t="s">
        <v>2016</v>
      </c>
      <c r="S224" s="201" t="s">
        <v>2017</v>
      </c>
      <c r="T224" s="201" t="s">
        <v>106</v>
      </c>
      <c r="U224" s="203">
        <v>56.32</v>
      </c>
      <c r="V224" s="203">
        <v>45.42</v>
      </c>
      <c r="W224" s="204"/>
      <c r="X224" s="205"/>
      <c r="Y224" s="203"/>
      <c r="Z224" s="206">
        <v>41242</v>
      </c>
      <c r="AA224" s="206" t="s">
        <v>79</v>
      </c>
      <c r="AB224" s="207" t="s">
        <v>89</v>
      </c>
      <c r="AC224" s="208" t="s">
        <v>80</v>
      </c>
      <c r="AD224" s="209">
        <v>45600000</v>
      </c>
      <c r="AE224" s="209">
        <v>45600000</v>
      </c>
      <c r="AF224" s="207"/>
      <c r="AG224" s="207"/>
      <c r="AH224" s="209"/>
      <c r="AI224" s="207"/>
      <c r="AJ224" s="208"/>
      <c r="AK224" s="209"/>
      <c r="AL224" s="209"/>
      <c r="AM224" s="206"/>
      <c r="AN224" s="207"/>
      <c r="AO224" s="208"/>
      <c r="AP224" s="209"/>
      <c r="AQ224" s="209"/>
      <c r="AR224" s="207"/>
      <c r="AS224" s="207"/>
      <c r="AT224" s="209"/>
      <c r="AU224" s="209"/>
      <c r="AV224" s="209"/>
      <c r="AW224" s="466" t="s">
        <v>1313</v>
      </c>
      <c r="AX224" s="466" t="s">
        <v>1313</v>
      </c>
      <c r="AY224" s="466" t="s">
        <v>1313</v>
      </c>
      <c r="AZ224" s="466" t="s">
        <v>1313</v>
      </c>
      <c r="BA224" s="466" t="s">
        <v>1313</v>
      </c>
      <c r="BB224" s="466" t="s">
        <v>1313</v>
      </c>
      <c r="BC224" s="207" t="s">
        <v>82</v>
      </c>
      <c r="BD224" s="210"/>
      <c r="BE224" s="210"/>
      <c r="BF224" s="207"/>
      <c r="BG224" s="207"/>
      <c r="BH224" s="207"/>
      <c r="BI224" s="207"/>
      <c r="BJ224" s="207"/>
      <c r="BK224" s="206"/>
      <c r="BL224" s="206"/>
      <c r="BM224" s="206"/>
      <c r="BN224" s="206"/>
      <c r="BO224" s="211"/>
      <c r="BP224" s="207"/>
      <c r="BQ224" s="207"/>
      <c r="BR224" s="206"/>
      <c r="BS224" s="206"/>
      <c r="BT224" s="212"/>
      <c r="BU224" s="212"/>
      <c r="BV224" s="206"/>
      <c r="BW224" s="212"/>
      <c r="BX224" s="206"/>
      <c r="BY224" s="212"/>
      <c r="BZ224" s="206"/>
      <c r="CA224" s="206">
        <v>42489</v>
      </c>
      <c r="CB224" s="213" t="s">
        <v>134</v>
      </c>
      <c r="CC224" s="212"/>
      <c r="CD224" s="212">
        <v>54500000</v>
      </c>
      <c r="CE224" s="212"/>
      <c r="CF224" s="212"/>
      <c r="CG224" s="212">
        <v>54500000</v>
      </c>
      <c r="CH224" s="200"/>
      <c r="CI224" s="212"/>
      <c r="CJ224" s="255" t="s">
        <v>416</v>
      </c>
    </row>
    <row r="225" spans="1:88" s="503" customFormat="1" ht="14.1" hidden="1" customHeight="1">
      <c r="A225" s="483" t="s">
        <v>3424</v>
      </c>
      <c r="B225" s="478" t="s">
        <v>3403</v>
      </c>
      <c r="C225" s="521" t="s">
        <v>3435</v>
      </c>
      <c r="D225" s="521" t="s">
        <v>3435</v>
      </c>
      <c r="E225" s="500">
        <v>37591551</v>
      </c>
      <c r="F225" s="251" t="s">
        <v>3187</v>
      </c>
      <c r="G225" s="501"/>
      <c r="H225" s="502"/>
      <c r="J225" s="199">
        <v>213</v>
      </c>
      <c r="K225" s="200"/>
      <c r="L225" s="200" t="s">
        <v>618</v>
      </c>
      <c r="M225" s="201" t="s">
        <v>92</v>
      </c>
      <c r="N225" s="536"/>
      <c r="O225" s="202">
        <v>1</v>
      </c>
      <c r="P225" s="201" t="s">
        <v>83</v>
      </c>
      <c r="Q225" s="201" t="s">
        <v>184</v>
      </c>
      <c r="R225" s="201" t="s">
        <v>1765</v>
      </c>
      <c r="S225" s="201" t="s">
        <v>2018</v>
      </c>
      <c r="T225" s="201" t="s">
        <v>220</v>
      </c>
      <c r="U225" s="203">
        <v>20.98</v>
      </c>
      <c r="V225" s="203">
        <v>35.729999999999997</v>
      </c>
      <c r="W225" s="204"/>
      <c r="X225" s="205"/>
      <c r="Y225" s="203"/>
      <c r="Z225" s="206">
        <v>41984</v>
      </c>
      <c r="AA225" s="206" t="s">
        <v>79</v>
      </c>
      <c r="AB225" s="207">
        <v>1</v>
      </c>
      <c r="AC225" s="208" t="s">
        <v>80</v>
      </c>
      <c r="AD225" s="209">
        <v>46800000</v>
      </c>
      <c r="AE225" s="209">
        <v>46800000</v>
      </c>
      <c r="AF225" s="207"/>
      <c r="AG225" s="207"/>
      <c r="AH225" s="209"/>
      <c r="AI225" s="207"/>
      <c r="AJ225" s="208"/>
      <c r="AK225" s="209"/>
      <c r="AL225" s="209"/>
      <c r="AM225" s="206"/>
      <c r="AN225" s="207"/>
      <c r="AO225" s="208"/>
      <c r="AP225" s="209"/>
      <c r="AQ225" s="209"/>
      <c r="AR225" s="207"/>
      <c r="AS225" s="207"/>
      <c r="AT225" s="209"/>
      <c r="AU225" s="209"/>
      <c r="AV225" s="209"/>
      <c r="AW225" s="466" t="s">
        <v>1313</v>
      </c>
      <c r="AX225" s="466" t="s">
        <v>1313</v>
      </c>
      <c r="AY225" s="466" t="s">
        <v>1313</v>
      </c>
      <c r="AZ225" s="466" t="s">
        <v>1313</v>
      </c>
      <c r="BA225" s="466" t="s">
        <v>1313</v>
      </c>
      <c r="BB225" s="466" t="s">
        <v>1313</v>
      </c>
      <c r="BC225" s="207" t="s">
        <v>82</v>
      </c>
      <c r="BD225" s="210"/>
      <c r="BE225" s="210"/>
      <c r="BF225" s="207"/>
      <c r="BG225" s="207"/>
      <c r="BH225" s="207"/>
      <c r="BI225" s="207"/>
      <c r="BJ225" s="207"/>
      <c r="BK225" s="206"/>
      <c r="BL225" s="206"/>
      <c r="BM225" s="206"/>
      <c r="BN225" s="206"/>
      <c r="BO225" s="211"/>
      <c r="BP225" s="207"/>
      <c r="BQ225" s="207"/>
      <c r="BR225" s="206"/>
      <c r="BS225" s="206"/>
      <c r="BT225" s="212"/>
      <c r="BU225" s="212"/>
      <c r="BV225" s="206"/>
      <c r="BW225" s="212"/>
      <c r="BX225" s="206"/>
      <c r="BY225" s="212"/>
      <c r="BZ225" s="206"/>
      <c r="CA225" s="206">
        <v>41981</v>
      </c>
      <c r="CB225" s="213" t="s">
        <v>1985</v>
      </c>
      <c r="CC225" s="212"/>
      <c r="CD225" s="212">
        <v>60000000</v>
      </c>
      <c r="CE225" s="212"/>
      <c r="CF225" s="212"/>
      <c r="CG225" s="212">
        <v>60000000</v>
      </c>
      <c r="CH225" s="200"/>
      <c r="CI225" s="212"/>
      <c r="CJ225" s="255" t="s">
        <v>2019</v>
      </c>
    </row>
    <row r="226" spans="1:88" s="503" customFormat="1" ht="14.1" hidden="1" customHeight="1">
      <c r="A226" s="483" t="s">
        <v>3424</v>
      </c>
      <c r="B226" s="478" t="s">
        <v>3404</v>
      </c>
      <c r="C226" s="251" t="s">
        <v>3423</v>
      </c>
      <c r="D226" s="517" t="s">
        <v>3423</v>
      </c>
      <c r="E226" s="500">
        <v>37000000</v>
      </c>
      <c r="F226" s="251" t="s">
        <v>3189</v>
      </c>
      <c r="G226" s="501"/>
      <c r="H226" s="502"/>
      <c r="J226" s="199">
        <v>214</v>
      </c>
      <c r="K226" s="200"/>
      <c r="L226" s="200" t="s">
        <v>619</v>
      </c>
      <c r="M226" s="201" t="s">
        <v>109</v>
      </c>
      <c r="N226" s="536"/>
      <c r="O226" s="202">
        <v>1</v>
      </c>
      <c r="P226" s="201" t="s">
        <v>93</v>
      </c>
      <c r="Q226" s="201" t="s">
        <v>128</v>
      </c>
      <c r="R226" s="201" t="s">
        <v>189</v>
      </c>
      <c r="S226" s="201" t="s">
        <v>2020</v>
      </c>
      <c r="T226" s="201" t="s">
        <v>106</v>
      </c>
      <c r="U226" s="203">
        <v>40.446399999999997</v>
      </c>
      <c r="V226" s="203">
        <v>59.903700000000001</v>
      </c>
      <c r="W226" s="204"/>
      <c r="X226" s="205"/>
      <c r="Y226" s="203"/>
      <c r="Z226" s="206">
        <v>39993</v>
      </c>
      <c r="AA226" s="206" t="s">
        <v>79</v>
      </c>
      <c r="AB226" s="207">
        <v>1</v>
      </c>
      <c r="AC226" s="208" t="s">
        <v>80</v>
      </c>
      <c r="AD226" s="209">
        <v>45000000</v>
      </c>
      <c r="AE226" s="209">
        <v>45000000</v>
      </c>
      <c r="AF226" s="207"/>
      <c r="AG226" s="207"/>
      <c r="AH226" s="209"/>
      <c r="AI226" s="207"/>
      <c r="AJ226" s="208"/>
      <c r="AK226" s="209"/>
      <c r="AL226" s="209"/>
      <c r="AM226" s="206"/>
      <c r="AN226" s="207"/>
      <c r="AO226" s="208"/>
      <c r="AP226" s="209"/>
      <c r="AQ226" s="209"/>
      <c r="AR226" s="207"/>
      <c r="AS226" s="207"/>
      <c r="AT226" s="209"/>
      <c r="AU226" s="209"/>
      <c r="AV226" s="209"/>
      <c r="AW226" s="466" t="s">
        <v>1313</v>
      </c>
      <c r="AX226" s="466" t="s">
        <v>1313</v>
      </c>
      <c r="AY226" s="466" t="s">
        <v>1313</v>
      </c>
      <c r="AZ226" s="466" t="s">
        <v>1313</v>
      </c>
      <c r="BA226" s="466" t="s">
        <v>1313</v>
      </c>
      <c r="BB226" s="466" t="s">
        <v>1313</v>
      </c>
      <c r="BC226" s="207" t="s">
        <v>82</v>
      </c>
      <c r="BD226" s="210"/>
      <c r="BE226" s="210"/>
      <c r="BF226" s="207"/>
      <c r="BG226" s="207"/>
      <c r="BH226" s="207"/>
      <c r="BI226" s="207"/>
      <c r="BJ226" s="207"/>
      <c r="BK226" s="206"/>
      <c r="BL226" s="206"/>
      <c r="BM226" s="206"/>
      <c r="BN226" s="206"/>
      <c r="BO226" s="211"/>
      <c r="BP226" s="207"/>
      <c r="BQ226" s="207"/>
      <c r="BR226" s="206"/>
      <c r="BS226" s="206"/>
      <c r="BT226" s="212"/>
      <c r="BU226" s="212"/>
      <c r="BV226" s="206"/>
      <c r="BW226" s="212"/>
      <c r="BX226" s="206"/>
      <c r="BY226" s="212"/>
      <c r="BZ226" s="206"/>
      <c r="CA226" s="206">
        <v>42482</v>
      </c>
      <c r="CB226" s="213" t="s">
        <v>134</v>
      </c>
      <c r="CC226" s="212"/>
      <c r="CD226" s="212">
        <v>165000000</v>
      </c>
      <c r="CE226" s="212"/>
      <c r="CF226" s="212"/>
      <c r="CG226" s="212">
        <v>165000000</v>
      </c>
      <c r="CH226" s="200"/>
      <c r="CI226" s="212"/>
      <c r="CJ226" s="255" t="s">
        <v>2021</v>
      </c>
    </row>
    <row r="227" spans="1:88" s="503" customFormat="1" ht="14.1" hidden="1" customHeight="1">
      <c r="A227" s="483" t="s">
        <v>3424</v>
      </c>
      <c r="B227" s="478" t="s">
        <v>3405</v>
      </c>
      <c r="C227" s="521" t="s">
        <v>3435</v>
      </c>
      <c r="D227" s="521" t="s">
        <v>3435</v>
      </c>
      <c r="E227" s="500">
        <v>36257858</v>
      </c>
      <c r="F227" s="251" t="s">
        <v>3187</v>
      </c>
      <c r="G227" s="501"/>
      <c r="H227" s="502"/>
      <c r="J227" s="199">
        <v>215</v>
      </c>
      <c r="K227" s="200"/>
      <c r="L227" s="200" t="s">
        <v>620</v>
      </c>
      <c r="M227" s="201" t="s">
        <v>661</v>
      </c>
      <c r="N227" s="536"/>
      <c r="O227" s="202">
        <v>1</v>
      </c>
      <c r="P227" s="201" t="s">
        <v>83</v>
      </c>
      <c r="Q227" s="201" t="s">
        <v>184</v>
      </c>
      <c r="R227" s="201" t="s">
        <v>2022</v>
      </c>
      <c r="S227" s="201" t="s">
        <v>2023</v>
      </c>
      <c r="T227" s="201" t="s">
        <v>220</v>
      </c>
      <c r="U227" s="203">
        <v>23</v>
      </c>
      <c r="V227" s="203">
        <v>34.880000000000003</v>
      </c>
      <c r="W227" s="204"/>
      <c r="X227" s="205"/>
      <c r="Y227" s="203"/>
      <c r="Z227" s="206">
        <v>41849</v>
      </c>
      <c r="AA227" s="206" t="s">
        <v>79</v>
      </c>
      <c r="AB227" s="207">
        <v>1</v>
      </c>
      <c r="AC227" s="208" t="s">
        <v>80</v>
      </c>
      <c r="AD227" s="209">
        <v>41760000</v>
      </c>
      <c r="AE227" s="209">
        <v>41760000</v>
      </c>
      <c r="AF227" s="207"/>
      <c r="AG227" s="207"/>
      <c r="AH227" s="209"/>
      <c r="AI227" s="207"/>
      <c r="AJ227" s="208"/>
      <c r="AK227" s="209"/>
      <c r="AL227" s="209"/>
      <c r="AM227" s="206"/>
      <c r="AN227" s="207"/>
      <c r="AO227" s="208"/>
      <c r="AP227" s="209"/>
      <c r="AQ227" s="209"/>
      <c r="AR227" s="207"/>
      <c r="AS227" s="207"/>
      <c r="AT227" s="209"/>
      <c r="AU227" s="209"/>
      <c r="AV227" s="209"/>
      <c r="AW227" s="466" t="s">
        <v>1313</v>
      </c>
      <c r="AX227" s="466" t="s">
        <v>1313</v>
      </c>
      <c r="AY227" s="466" t="s">
        <v>1313</v>
      </c>
      <c r="AZ227" s="466" t="s">
        <v>1313</v>
      </c>
      <c r="BA227" s="466" t="s">
        <v>1313</v>
      </c>
      <c r="BB227" s="466" t="s">
        <v>1313</v>
      </c>
      <c r="BC227" s="207" t="s">
        <v>1320</v>
      </c>
      <c r="BD227" s="210">
        <v>36062634</v>
      </c>
      <c r="BE227" s="210"/>
      <c r="BF227" s="207" t="s">
        <v>101</v>
      </c>
      <c r="BG227" s="207"/>
      <c r="BH227" s="207" t="s">
        <v>87</v>
      </c>
      <c r="BI227" s="207" t="s">
        <v>2024</v>
      </c>
      <c r="BJ227" s="207"/>
      <c r="BK227" s="206">
        <v>42451</v>
      </c>
      <c r="BL227" s="206">
        <v>42522</v>
      </c>
      <c r="BM227" s="206"/>
      <c r="BN227" s="206"/>
      <c r="BO227" s="211"/>
      <c r="BP227" s="207"/>
      <c r="BQ227" s="207"/>
      <c r="BR227" s="206"/>
      <c r="BS227" s="206"/>
      <c r="BT227" s="212"/>
      <c r="BU227" s="212"/>
      <c r="BV227" s="206"/>
      <c r="BW227" s="212"/>
      <c r="BX227" s="206"/>
      <c r="BY227" s="212"/>
      <c r="BZ227" s="206"/>
      <c r="CA227" s="206">
        <v>41843</v>
      </c>
      <c r="CB227" s="213" t="s">
        <v>1976</v>
      </c>
      <c r="CC227" s="212"/>
      <c r="CD227" s="212">
        <v>58000000</v>
      </c>
      <c r="CE227" s="212"/>
      <c r="CF227" s="212"/>
      <c r="CG227" s="212">
        <v>58000000</v>
      </c>
      <c r="CH227" s="200"/>
      <c r="CI227" s="212"/>
      <c r="CJ227" s="255" t="s">
        <v>416</v>
      </c>
    </row>
    <row r="228" spans="1:88" s="503" customFormat="1" ht="14.1" hidden="1" customHeight="1">
      <c r="A228" s="483" t="s">
        <v>3424</v>
      </c>
      <c r="B228" s="478" t="s">
        <v>3406</v>
      </c>
      <c r="C228" s="251" t="s">
        <v>3423</v>
      </c>
      <c r="D228" s="517" t="s">
        <v>3423</v>
      </c>
      <c r="E228" s="500">
        <v>34665328</v>
      </c>
      <c r="F228" s="251" t="s">
        <v>3184</v>
      </c>
      <c r="G228" s="501"/>
      <c r="H228" s="502"/>
      <c r="J228" s="199">
        <v>216</v>
      </c>
      <c r="K228" s="200"/>
      <c r="L228" s="200" t="s">
        <v>621</v>
      </c>
      <c r="M228" s="201" t="s">
        <v>680</v>
      </c>
      <c r="N228" s="536"/>
      <c r="O228" s="202">
        <v>1</v>
      </c>
      <c r="P228" s="201" t="s">
        <v>93</v>
      </c>
      <c r="Q228" s="201" t="s">
        <v>94</v>
      </c>
      <c r="R228" s="201" t="s">
        <v>2025</v>
      </c>
      <c r="S228" s="201" t="s">
        <v>2026</v>
      </c>
      <c r="T228" s="201" t="s">
        <v>106</v>
      </c>
      <c r="U228" s="203">
        <v>33.79</v>
      </c>
      <c r="V228" s="203">
        <v>59.965000000000003</v>
      </c>
      <c r="W228" s="204"/>
      <c r="X228" s="205"/>
      <c r="Y228" s="203"/>
      <c r="Z228" s="206">
        <v>41031</v>
      </c>
      <c r="AA228" s="206" t="s">
        <v>79</v>
      </c>
      <c r="AB228" s="207">
        <v>2</v>
      </c>
      <c r="AC228" s="208" t="s">
        <v>80</v>
      </c>
      <c r="AD228" s="209">
        <v>48000000</v>
      </c>
      <c r="AE228" s="209">
        <v>48000000</v>
      </c>
      <c r="AF228" s="207"/>
      <c r="AG228" s="207"/>
      <c r="AH228" s="209"/>
      <c r="AI228" s="207"/>
      <c r="AJ228" s="208"/>
      <c r="AK228" s="209"/>
      <c r="AL228" s="209"/>
      <c r="AM228" s="206"/>
      <c r="AN228" s="207">
        <v>1</v>
      </c>
      <c r="AO228" s="208" t="s">
        <v>80</v>
      </c>
      <c r="AP228" s="209">
        <v>108000000</v>
      </c>
      <c r="AQ228" s="209">
        <v>108000000</v>
      </c>
      <c r="AR228" s="207"/>
      <c r="AS228" s="207"/>
      <c r="AT228" s="209"/>
      <c r="AU228" s="209"/>
      <c r="AV228" s="209"/>
      <c r="AW228" s="466" t="s">
        <v>1313</v>
      </c>
      <c r="AX228" s="466" t="s">
        <v>1313</v>
      </c>
      <c r="AY228" s="466" t="s">
        <v>1313</v>
      </c>
      <c r="AZ228" s="466" t="s">
        <v>1313</v>
      </c>
      <c r="BA228" s="466" t="s">
        <v>1313</v>
      </c>
      <c r="BB228" s="466" t="s">
        <v>1313</v>
      </c>
      <c r="BC228" s="207" t="s">
        <v>1320</v>
      </c>
      <c r="BD228" s="210"/>
      <c r="BE228" s="210">
        <v>108000000</v>
      </c>
      <c r="BF228" s="207" t="s">
        <v>2027</v>
      </c>
      <c r="BG228" s="207"/>
      <c r="BH228" s="207" t="s">
        <v>217</v>
      </c>
      <c r="BI228" s="207" t="s">
        <v>2028</v>
      </c>
      <c r="BJ228" s="207"/>
      <c r="BK228" s="206">
        <v>42391</v>
      </c>
      <c r="BL228" s="206">
        <v>42471</v>
      </c>
      <c r="BM228" s="206"/>
      <c r="BN228" s="206"/>
      <c r="BO228" s="211"/>
      <c r="BP228" s="207"/>
      <c r="BQ228" s="207"/>
      <c r="BR228" s="206"/>
      <c r="BS228" s="206"/>
      <c r="BT228" s="212"/>
      <c r="BU228" s="212"/>
      <c r="BV228" s="206"/>
      <c r="BW228" s="212"/>
      <c r="BX228" s="206"/>
      <c r="BY228" s="212"/>
      <c r="BZ228" s="206"/>
      <c r="CA228" s="206">
        <v>42482</v>
      </c>
      <c r="CB228" s="213" t="s">
        <v>134</v>
      </c>
      <c r="CC228" s="212"/>
      <c r="CD228" s="212">
        <v>177500000</v>
      </c>
      <c r="CE228" s="212"/>
      <c r="CF228" s="212"/>
      <c r="CG228" s="212">
        <v>177500000</v>
      </c>
      <c r="CH228" s="200"/>
      <c r="CI228" s="212"/>
      <c r="CJ228" s="255" t="s">
        <v>2029</v>
      </c>
    </row>
    <row r="229" spans="1:88" s="503" customFormat="1" ht="14.1" hidden="1" customHeight="1">
      <c r="A229" s="483" t="s">
        <v>3424</v>
      </c>
      <c r="B229" s="478" t="s">
        <v>3407</v>
      </c>
      <c r="C229" s="521" t="s">
        <v>3435</v>
      </c>
      <c r="D229" s="521" t="s">
        <v>3435</v>
      </c>
      <c r="E229" s="500">
        <v>33541091</v>
      </c>
      <c r="F229" s="251" t="s">
        <v>3187</v>
      </c>
      <c r="G229" s="501"/>
      <c r="H229" s="502"/>
      <c r="J229" s="199">
        <v>217</v>
      </c>
      <c r="K229" s="200"/>
      <c r="L229" s="200" t="s">
        <v>622</v>
      </c>
      <c r="M229" s="201" t="s">
        <v>141</v>
      </c>
      <c r="N229" s="536"/>
      <c r="O229" s="202">
        <v>1</v>
      </c>
      <c r="P229" s="201" t="s">
        <v>83</v>
      </c>
      <c r="Q229" s="201" t="s">
        <v>227</v>
      </c>
      <c r="R229" s="201" t="s">
        <v>228</v>
      </c>
      <c r="S229" s="201" t="s">
        <v>2030</v>
      </c>
      <c r="T229" s="201" t="s">
        <v>220</v>
      </c>
      <c r="U229" s="203">
        <v>7.93</v>
      </c>
      <c r="V229" s="203">
        <v>29.76</v>
      </c>
      <c r="W229" s="204"/>
      <c r="X229" s="205"/>
      <c r="Y229" s="203"/>
      <c r="Z229" s="206">
        <v>41879</v>
      </c>
      <c r="AA229" s="206" t="s">
        <v>79</v>
      </c>
      <c r="AB229" s="207">
        <v>1</v>
      </c>
      <c r="AC229" s="208" t="s">
        <v>80</v>
      </c>
      <c r="AD229" s="209">
        <v>39000000</v>
      </c>
      <c r="AE229" s="209">
        <v>39000000</v>
      </c>
      <c r="AF229" s="207"/>
      <c r="AG229" s="207"/>
      <c r="AH229" s="209"/>
      <c r="AI229" s="207"/>
      <c r="AJ229" s="208"/>
      <c r="AK229" s="209"/>
      <c r="AL229" s="209"/>
      <c r="AM229" s="206"/>
      <c r="AN229" s="207"/>
      <c r="AO229" s="208"/>
      <c r="AP229" s="209"/>
      <c r="AQ229" s="209"/>
      <c r="AR229" s="207"/>
      <c r="AS229" s="207"/>
      <c r="AT229" s="209"/>
      <c r="AU229" s="209"/>
      <c r="AV229" s="209"/>
      <c r="AW229" s="466" t="s">
        <v>1313</v>
      </c>
      <c r="AX229" s="466" t="s">
        <v>1313</v>
      </c>
      <c r="AY229" s="466" t="s">
        <v>1313</v>
      </c>
      <c r="AZ229" s="466" t="s">
        <v>1313</v>
      </c>
      <c r="BA229" s="466" t="s">
        <v>1313</v>
      </c>
      <c r="BB229" s="466" t="s">
        <v>1313</v>
      </c>
      <c r="BC229" s="207" t="s">
        <v>1320</v>
      </c>
      <c r="BD229" s="210">
        <v>33146574</v>
      </c>
      <c r="BE229" s="210"/>
      <c r="BF229" s="207" t="s">
        <v>101</v>
      </c>
      <c r="BG229" s="207"/>
      <c r="BH229" s="207" t="s">
        <v>87</v>
      </c>
      <c r="BI229" s="207" t="s">
        <v>2031</v>
      </c>
      <c r="BJ229" s="207"/>
      <c r="BK229" s="206">
        <v>42451</v>
      </c>
      <c r="BL229" s="206">
        <v>42534</v>
      </c>
      <c r="BM229" s="206"/>
      <c r="BN229" s="206"/>
      <c r="BO229" s="211"/>
      <c r="BP229" s="207"/>
      <c r="BQ229" s="207"/>
      <c r="BR229" s="206"/>
      <c r="BS229" s="206"/>
      <c r="BT229" s="212"/>
      <c r="BU229" s="212"/>
      <c r="BV229" s="206"/>
      <c r="BW229" s="212"/>
      <c r="BX229" s="206"/>
      <c r="BY229" s="212"/>
      <c r="BZ229" s="206"/>
      <c r="CA229" s="206">
        <v>41876</v>
      </c>
      <c r="CB229" s="213" t="s">
        <v>1976</v>
      </c>
      <c r="CC229" s="212"/>
      <c r="CD229" s="212">
        <v>50000000</v>
      </c>
      <c r="CE229" s="212"/>
      <c r="CF229" s="212"/>
      <c r="CG229" s="212">
        <v>50000000</v>
      </c>
      <c r="CH229" s="200"/>
      <c r="CI229" s="212"/>
      <c r="CJ229" s="255"/>
    </row>
    <row r="230" spans="1:88" s="503" customFormat="1" ht="14.1" hidden="1" customHeight="1">
      <c r="A230" s="483" t="s">
        <v>3424</v>
      </c>
      <c r="B230" s="478" t="s">
        <v>3408</v>
      </c>
      <c r="C230" s="521" t="s">
        <v>3435</v>
      </c>
      <c r="D230" s="521" t="s">
        <v>3435</v>
      </c>
      <c r="E230" s="500">
        <v>34171480</v>
      </c>
      <c r="F230" s="251" t="s">
        <v>3186</v>
      </c>
      <c r="G230" s="501"/>
      <c r="H230" s="502"/>
      <c r="J230" s="199">
        <v>218</v>
      </c>
      <c r="K230" s="200"/>
      <c r="L230" s="200" t="s">
        <v>623</v>
      </c>
      <c r="M230" s="201" t="s">
        <v>141</v>
      </c>
      <c r="N230" s="536"/>
      <c r="O230" s="202">
        <v>1</v>
      </c>
      <c r="P230" s="201" t="s">
        <v>93</v>
      </c>
      <c r="Q230" s="201" t="s">
        <v>1751</v>
      </c>
      <c r="R230" s="201" t="s">
        <v>1663</v>
      </c>
      <c r="S230" s="201" t="s">
        <v>2032</v>
      </c>
      <c r="T230" s="201" t="s">
        <v>220</v>
      </c>
      <c r="U230" s="203">
        <v>41.88</v>
      </c>
      <c r="V230" s="203">
        <v>43.74</v>
      </c>
      <c r="W230" s="204"/>
      <c r="X230" s="205"/>
      <c r="Y230" s="203"/>
      <c r="Z230" s="206">
        <v>37735</v>
      </c>
      <c r="AA230" s="206" t="s">
        <v>79</v>
      </c>
      <c r="AB230" s="207">
        <v>1</v>
      </c>
      <c r="AC230" s="208" t="s">
        <v>80</v>
      </c>
      <c r="AD230" s="209">
        <v>44400000</v>
      </c>
      <c r="AE230" s="209">
        <v>44400000</v>
      </c>
      <c r="AF230" s="207"/>
      <c r="AG230" s="207"/>
      <c r="AH230" s="209"/>
      <c r="AI230" s="207"/>
      <c r="AJ230" s="208"/>
      <c r="AK230" s="209"/>
      <c r="AL230" s="209"/>
      <c r="AM230" s="206"/>
      <c r="AN230" s="207"/>
      <c r="AO230" s="208"/>
      <c r="AP230" s="209"/>
      <c r="AQ230" s="209"/>
      <c r="AR230" s="207"/>
      <c r="AS230" s="207"/>
      <c r="AT230" s="209"/>
      <c r="AU230" s="209"/>
      <c r="AV230" s="209"/>
      <c r="AW230" s="466" t="s">
        <v>1313</v>
      </c>
      <c r="AX230" s="466" t="s">
        <v>1313</v>
      </c>
      <c r="AY230" s="466" t="s">
        <v>1313</v>
      </c>
      <c r="AZ230" s="466" t="s">
        <v>1313</v>
      </c>
      <c r="BA230" s="466" t="s">
        <v>1313</v>
      </c>
      <c r="BB230" s="466" t="s">
        <v>1313</v>
      </c>
      <c r="BC230" s="207" t="s">
        <v>82</v>
      </c>
      <c r="BD230" s="210"/>
      <c r="BE230" s="210"/>
      <c r="BF230" s="207"/>
      <c r="BG230" s="207"/>
      <c r="BH230" s="207"/>
      <c r="BI230" s="207"/>
      <c r="BJ230" s="207"/>
      <c r="BK230" s="206"/>
      <c r="BL230" s="206"/>
      <c r="BM230" s="206"/>
      <c r="BN230" s="206"/>
      <c r="BO230" s="211"/>
      <c r="BP230" s="207"/>
      <c r="BQ230" s="207"/>
      <c r="BR230" s="206"/>
      <c r="BS230" s="206"/>
      <c r="BT230" s="212"/>
      <c r="BU230" s="212"/>
      <c r="BV230" s="206"/>
      <c r="BW230" s="212"/>
      <c r="BX230" s="206"/>
      <c r="BY230" s="212"/>
      <c r="BZ230" s="206"/>
      <c r="CA230" s="206">
        <v>38096</v>
      </c>
      <c r="CB230" s="213" t="s">
        <v>1388</v>
      </c>
      <c r="CC230" s="212"/>
      <c r="CD230" s="212">
        <v>115200000</v>
      </c>
      <c r="CE230" s="212"/>
      <c r="CF230" s="212"/>
      <c r="CG230" s="212">
        <v>115200000</v>
      </c>
      <c r="CH230" s="200"/>
      <c r="CI230" s="212"/>
      <c r="CJ230" s="255" t="s">
        <v>2033</v>
      </c>
    </row>
    <row r="231" spans="1:88" s="503" customFormat="1" ht="14.1" hidden="1" customHeight="1">
      <c r="A231" s="483" t="s">
        <v>3424</v>
      </c>
      <c r="B231" s="478" t="s">
        <v>3409</v>
      </c>
      <c r="C231" s="521" t="s">
        <v>3435</v>
      </c>
      <c r="D231" s="521" t="s">
        <v>3435</v>
      </c>
      <c r="E231" s="500">
        <v>31444070</v>
      </c>
      <c r="F231" s="251" t="s">
        <v>3185</v>
      </c>
      <c r="G231" s="501"/>
      <c r="H231" s="502"/>
      <c r="J231" s="199">
        <v>219</v>
      </c>
      <c r="K231" s="200"/>
      <c r="L231" s="200" t="s">
        <v>624</v>
      </c>
      <c r="M231" s="201" t="s">
        <v>221</v>
      </c>
      <c r="N231" s="536"/>
      <c r="O231" s="202">
        <v>1</v>
      </c>
      <c r="P231" s="201" t="s">
        <v>125</v>
      </c>
      <c r="Q231" s="201" t="s">
        <v>84</v>
      </c>
      <c r="R231" s="201" t="s">
        <v>2034</v>
      </c>
      <c r="S231" s="201" t="s">
        <v>2035</v>
      </c>
      <c r="T231" s="201" t="s">
        <v>129</v>
      </c>
      <c r="U231" s="203">
        <v>82.5</v>
      </c>
      <c r="V231" s="203">
        <v>41.52</v>
      </c>
      <c r="W231" s="204"/>
      <c r="X231" s="205"/>
      <c r="Y231" s="203"/>
      <c r="Z231" s="206">
        <v>41970</v>
      </c>
      <c r="AA231" s="206" t="s">
        <v>79</v>
      </c>
      <c r="AB231" s="207">
        <v>2</v>
      </c>
      <c r="AC231" s="208" t="s">
        <v>80</v>
      </c>
      <c r="AD231" s="209">
        <v>36000000</v>
      </c>
      <c r="AE231" s="209">
        <v>36000000</v>
      </c>
      <c r="AF231" s="207"/>
      <c r="AG231" s="207"/>
      <c r="AH231" s="209"/>
      <c r="AI231" s="207"/>
      <c r="AJ231" s="208"/>
      <c r="AK231" s="209"/>
      <c r="AL231" s="209"/>
      <c r="AM231" s="206"/>
      <c r="AN231" s="207">
        <v>1</v>
      </c>
      <c r="AO231" s="208" t="s">
        <v>80</v>
      </c>
      <c r="AP231" s="209">
        <v>32400000</v>
      </c>
      <c r="AQ231" s="209">
        <v>32400000</v>
      </c>
      <c r="AR231" s="207"/>
      <c r="AS231" s="207"/>
      <c r="AT231" s="209"/>
      <c r="AU231" s="209"/>
      <c r="AV231" s="209"/>
      <c r="AW231" s="466" t="s">
        <v>1313</v>
      </c>
      <c r="AX231" s="466" t="s">
        <v>1313</v>
      </c>
      <c r="AY231" s="466" t="s">
        <v>1313</v>
      </c>
      <c r="AZ231" s="466" t="s">
        <v>1313</v>
      </c>
      <c r="BA231" s="466" t="s">
        <v>1313</v>
      </c>
      <c r="BB231" s="466" t="s">
        <v>1313</v>
      </c>
      <c r="BC231" s="207" t="s">
        <v>1320</v>
      </c>
      <c r="BD231" s="210">
        <v>31599871</v>
      </c>
      <c r="BE231" s="210">
        <v>32400000</v>
      </c>
      <c r="BF231" s="207" t="s">
        <v>2036</v>
      </c>
      <c r="BG231" s="207" t="s">
        <v>101</v>
      </c>
      <c r="BH231" s="207" t="s">
        <v>1362</v>
      </c>
      <c r="BI231" s="207" t="s">
        <v>2037</v>
      </c>
      <c r="BJ231" s="207" t="s">
        <v>2038</v>
      </c>
      <c r="BK231" s="206">
        <v>42327</v>
      </c>
      <c r="BL231" s="206">
        <v>42401</v>
      </c>
      <c r="BM231" s="206">
        <v>42334</v>
      </c>
      <c r="BN231" s="206"/>
      <c r="BO231" s="211"/>
      <c r="BP231" s="207"/>
      <c r="BQ231" s="207"/>
      <c r="BR231" s="206"/>
      <c r="BS231" s="206"/>
      <c r="BT231" s="212"/>
      <c r="BU231" s="212"/>
      <c r="BV231" s="206"/>
      <c r="BW231" s="212"/>
      <c r="BX231" s="206"/>
      <c r="BY231" s="212"/>
      <c r="BZ231" s="206"/>
      <c r="CA231" s="206">
        <v>41968</v>
      </c>
      <c r="CB231" s="213" t="s">
        <v>1388</v>
      </c>
      <c r="CC231" s="212">
        <v>35244000</v>
      </c>
      <c r="CD231" s="212">
        <v>1863417</v>
      </c>
      <c r="CE231" s="212"/>
      <c r="CF231" s="212"/>
      <c r="CG231" s="212">
        <v>37107417</v>
      </c>
      <c r="CH231" s="200"/>
      <c r="CI231" s="212"/>
      <c r="CJ231" s="255" t="s">
        <v>416</v>
      </c>
    </row>
    <row r="232" spans="1:88" s="503" customFormat="1" ht="14.1" hidden="1" customHeight="1">
      <c r="A232" s="483" t="s">
        <v>3424</v>
      </c>
      <c r="B232" s="478" t="s">
        <v>3410</v>
      </c>
      <c r="C232" s="521" t="s">
        <v>3435</v>
      </c>
      <c r="D232" s="521" t="s">
        <v>3435</v>
      </c>
      <c r="E232" s="500">
        <v>32038102</v>
      </c>
      <c r="F232" s="251" t="s">
        <v>3187</v>
      </c>
      <c r="G232" s="501"/>
      <c r="H232" s="502"/>
      <c r="J232" s="199">
        <v>220</v>
      </c>
      <c r="K232" s="200"/>
      <c r="L232" s="200" t="s">
        <v>625</v>
      </c>
      <c r="M232" s="201" t="s">
        <v>681</v>
      </c>
      <c r="N232" s="536"/>
      <c r="O232" s="202">
        <v>1</v>
      </c>
      <c r="P232" s="201" t="s">
        <v>83</v>
      </c>
      <c r="Q232" s="201" t="s">
        <v>184</v>
      </c>
      <c r="R232" s="201" t="s">
        <v>219</v>
      </c>
      <c r="S232" s="201" t="s">
        <v>2039</v>
      </c>
      <c r="T232" s="201" t="s">
        <v>220</v>
      </c>
      <c r="U232" s="203">
        <v>12.64</v>
      </c>
      <c r="V232" s="203">
        <v>31.7</v>
      </c>
      <c r="W232" s="204"/>
      <c r="X232" s="205"/>
      <c r="Y232" s="203"/>
      <c r="Z232" s="206">
        <v>41927</v>
      </c>
      <c r="AA232" s="206" t="s">
        <v>79</v>
      </c>
      <c r="AB232" s="207">
        <v>1</v>
      </c>
      <c r="AC232" s="208" t="s">
        <v>80</v>
      </c>
      <c r="AD232" s="209">
        <v>37440000</v>
      </c>
      <c r="AE232" s="209">
        <v>37440000</v>
      </c>
      <c r="AF232" s="207"/>
      <c r="AG232" s="207"/>
      <c r="AH232" s="209"/>
      <c r="AI232" s="207"/>
      <c r="AJ232" s="208"/>
      <c r="AK232" s="209"/>
      <c r="AL232" s="209"/>
      <c r="AM232" s="206"/>
      <c r="AN232" s="207"/>
      <c r="AO232" s="208"/>
      <c r="AP232" s="209"/>
      <c r="AQ232" s="209"/>
      <c r="AR232" s="207"/>
      <c r="AS232" s="207"/>
      <c r="AT232" s="209"/>
      <c r="AU232" s="209"/>
      <c r="AV232" s="209"/>
      <c r="AW232" s="466" t="s">
        <v>1313</v>
      </c>
      <c r="AX232" s="466" t="s">
        <v>1313</v>
      </c>
      <c r="AY232" s="466" t="s">
        <v>1313</v>
      </c>
      <c r="AZ232" s="466" t="s">
        <v>1313</v>
      </c>
      <c r="BA232" s="466" t="s">
        <v>1313</v>
      </c>
      <c r="BB232" s="466" t="s">
        <v>1313</v>
      </c>
      <c r="BC232" s="207" t="s">
        <v>82</v>
      </c>
      <c r="BD232" s="210"/>
      <c r="BE232" s="210"/>
      <c r="BF232" s="207"/>
      <c r="BG232" s="207"/>
      <c r="BH232" s="207"/>
      <c r="BI232" s="207"/>
      <c r="BJ232" s="207"/>
      <c r="BK232" s="206"/>
      <c r="BL232" s="206"/>
      <c r="BM232" s="206"/>
      <c r="BN232" s="206"/>
      <c r="BO232" s="211"/>
      <c r="BP232" s="207"/>
      <c r="BQ232" s="207"/>
      <c r="BR232" s="206"/>
      <c r="BS232" s="206"/>
      <c r="BT232" s="212"/>
      <c r="BU232" s="212"/>
      <c r="BV232" s="206"/>
      <c r="BW232" s="212"/>
      <c r="BX232" s="206"/>
      <c r="BY232" s="212"/>
      <c r="BZ232" s="206"/>
      <c r="CA232" s="206">
        <v>41919</v>
      </c>
      <c r="CB232" s="213" t="s">
        <v>1981</v>
      </c>
      <c r="CC232" s="212"/>
      <c r="CD232" s="212">
        <v>48000000</v>
      </c>
      <c r="CE232" s="212"/>
      <c r="CF232" s="212"/>
      <c r="CG232" s="212">
        <v>48000000</v>
      </c>
      <c r="CH232" s="200"/>
      <c r="CI232" s="212"/>
      <c r="CJ232" s="255" t="s">
        <v>416</v>
      </c>
    </row>
    <row r="233" spans="1:88" s="503" customFormat="1" ht="14.1" hidden="1" customHeight="1">
      <c r="A233" s="483" t="s">
        <v>3424</v>
      </c>
      <c r="B233" s="478" t="s">
        <v>3411</v>
      </c>
      <c r="C233" s="521" t="s">
        <v>3435</v>
      </c>
      <c r="D233" s="521" t="s">
        <v>3435</v>
      </c>
      <c r="E233" s="500">
        <v>29449910</v>
      </c>
      <c r="F233" s="251" t="s">
        <v>3185</v>
      </c>
      <c r="G233" s="501"/>
      <c r="H233" s="502"/>
      <c r="J233" s="199">
        <v>221</v>
      </c>
      <c r="K233" s="200"/>
      <c r="L233" s="200" t="s">
        <v>626</v>
      </c>
      <c r="M233" s="201" t="s">
        <v>137</v>
      </c>
      <c r="N233" s="536"/>
      <c r="O233" s="202">
        <v>1</v>
      </c>
      <c r="P233" s="201" t="s">
        <v>103</v>
      </c>
      <c r="Q233" s="201" t="s">
        <v>212</v>
      </c>
      <c r="R233" s="201" t="s">
        <v>2040</v>
      </c>
      <c r="S233" s="201" t="s">
        <v>2041</v>
      </c>
      <c r="T233" s="201" t="s">
        <v>220</v>
      </c>
      <c r="U233" s="203">
        <v>18.875</v>
      </c>
      <c r="V233" s="203">
        <v>40.159999999999997</v>
      </c>
      <c r="W233" s="204"/>
      <c r="X233" s="205"/>
      <c r="Y233" s="203"/>
      <c r="Z233" s="206">
        <v>42041</v>
      </c>
      <c r="AA233" s="206" t="s">
        <v>79</v>
      </c>
      <c r="AB233" s="207">
        <v>1</v>
      </c>
      <c r="AC233" s="208" t="s">
        <v>80</v>
      </c>
      <c r="AD233" s="209">
        <v>36000000</v>
      </c>
      <c r="AE233" s="209">
        <v>36000000</v>
      </c>
      <c r="AF233" s="207"/>
      <c r="AG233" s="207"/>
      <c r="AH233" s="209"/>
      <c r="AI233" s="207"/>
      <c r="AJ233" s="208"/>
      <c r="AK233" s="209"/>
      <c r="AL233" s="209"/>
      <c r="AM233" s="206"/>
      <c r="AN233" s="207"/>
      <c r="AO233" s="208"/>
      <c r="AP233" s="209"/>
      <c r="AQ233" s="209"/>
      <c r="AR233" s="207"/>
      <c r="AS233" s="207"/>
      <c r="AT233" s="209"/>
      <c r="AU233" s="209"/>
      <c r="AV233" s="209"/>
      <c r="AW233" s="466" t="s">
        <v>1313</v>
      </c>
      <c r="AX233" s="466" t="s">
        <v>1313</v>
      </c>
      <c r="AY233" s="466" t="s">
        <v>1313</v>
      </c>
      <c r="AZ233" s="466" t="s">
        <v>1313</v>
      </c>
      <c r="BA233" s="466" t="s">
        <v>1313</v>
      </c>
      <c r="BB233" s="466" t="s">
        <v>1313</v>
      </c>
      <c r="BC233" s="207" t="s">
        <v>1320</v>
      </c>
      <c r="BD233" s="210">
        <v>29829691</v>
      </c>
      <c r="BE233" s="210">
        <v>20000000</v>
      </c>
      <c r="BF233" s="207" t="s">
        <v>2042</v>
      </c>
      <c r="BG233" s="207" t="s">
        <v>101</v>
      </c>
      <c r="BH233" s="207" t="s">
        <v>213</v>
      </c>
      <c r="BI233" s="207" t="s">
        <v>2043</v>
      </c>
      <c r="BJ233" s="207" t="s">
        <v>2044</v>
      </c>
      <c r="BK233" s="206">
        <v>42375</v>
      </c>
      <c r="BL233" s="206">
        <v>42447</v>
      </c>
      <c r="BM233" s="206">
        <v>42458</v>
      </c>
      <c r="BN233" s="206"/>
      <c r="BO233" s="211"/>
      <c r="BP233" s="207"/>
      <c r="BQ233" s="207"/>
      <c r="BR233" s="206"/>
      <c r="BS233" s="206"/>
      <c r="BT233" s="212"/>
      <c r="BU233" s="212"/>
      <c r="BV233" s="206"/>
      <c r="BW233" s="212"/>
      <c r="BX233" s="206"/>
      <c r="BY233" s="212"/>
      <c r="BZ233" s="206"/>
      <c r="CA233" s="206">
        <v>42039</v>
      </c>
      <c r="CB233" s="213" t="s">
        <v>1388</v>
      </c>
      <c r="CC233" s="212"/>
      <c r="CD233" s="212">
        <v>90000000</v>
      </c>
      <c r="CE233" s="212"/>
      <c r="CF233" s="212"/>
      <c r="CG233" s="212">
        <v>90000000</v>
      </c>
      <c r="CH233" s="200"/>
      <c r="CI233" s="212"/>
      <c r="CJ233" s="255" t="s">
        <v>416</v>
      </c>
    </row>
    <row r="234" spans="1:88" s="503" customFormat="1" ht="14.1" hidden="1" customHeight="1">
      <c r="A234" s="483" t="s">
        <v>3424</v>
      </c>
      <c r="B234" s="478" t="s">
        <v>3412</v>
      </c>
      <c r="C234" s="251" t="s">
        <v>3423</v>
      </c>
      <c r="D234" s="517" t="s">
        <v>3423</v>
      </c>
      <c r="E234" s="500">
        <v>27919600</v>
      </c>
      <c r="F234" s="251" t="s">
        <v>3185</v>
      </c>
      <c r="G234" s="501"/>
      <c r="H234" s="502"/>
      <c r="J234" s="199">
        <v>222</v>
      </c>
      <c r="K234" s="200"/>
      <c r="L234" s="200" t="s">
        <v>627</v>
      </c>
      <c r="M234" s="201" t="s">
        <v>109</v>
      </c>
      <c r="N234" s="536"/>
      <c r="O234" s="202">
        <v>1</v>
      </c>
      <c r="P234" s="201" t="s">
        <v>243</v>
      </c>
      <c r="Q234" s="201" t="s">
        <v>2045</v>
      </c>
      <c r="R234" s="201" t="s">
        <v>2046</v>
      </c>
      <c r="S234" s="201" t="s">
        <v>2047</v>
      </c>
      <c r="T234" s="201" t="s">
        <v>106</v>
      </c>
      <c r="U234" s="203">
        <v>53.99</v>
      </c>
      <c r="V234" s="203">
        <v>39.991199999999999</v>
      </c>
      <c r="W234" s="204"/>
      <c r="X234" s="205"/>
      <c r="Y234" s="203"/>
      <c r="Z234" s="206">
        <v>42200</v>
      </c>
      <c r="AA234" s="206" t="s">
        <v>79</v>
      </c>
      <c r="AB234" s="207">
        <v>1</v>
      </c>
      <c r="AC234" s="208" t="s">
        <v>80</v>
      </c>
      <c r="AD234" s="209">
        <v>31920000</v>
      </c>
      <c r="AE234" s="209">
        <v>31920000</v>
      </c>
      <c r="AF234" s="207"/>
      <c r="AG234" s="207"/>
      <c r="AH234" s="209"/>
      <c r="AI234" s="207"/>
      <c r="AJ234" s="208"/>
      <c r="AK234" s="209"/>
      <c r="AL234" s="209"/>
      <c r="AM234" s="206"/>
      <c r="AN234" s="207"/>
      <c r="AO234" s="208"/>
      <c r="AP234" s="209"/>
      <c r="AQ234" s="209"/>
      <c r="AR234" s="207"/>
      <c r="AS234" s="207"/>
      <c r="AT234" s="209"/>
      <c r="AU234" s="209"/>
      <c r="AV234" s="209"/>
      <c r="AW234" s="466" t="s">
        <v>1313</v>
      </c>
      <c r="AX234" s="466" t="s">
        <v>1313</v>
      </c>
      <c r="AY234" s="466" t="s">
        <v>1313</v>
      </c>
      <c r="AZ234" s="466" t="s">
        <v>1313</v>
      </c>
      <c r="BA234" s="466" t="s">
        <v>1313</v>
      </c>
      <c r="BB234" s="466" t="s">
        <v>1313</v>
      </c>
      <c r="BC234" s="207" t="s">
        <v>1320</v>
      </c>
      <c r="BD234" s="210">
        <v>27779005</v>
      </c>
      <c r="BE234" s="210"/>
      <c r="BF234" s="207" t="s">
        <v>101</v>
      </c>
      <c r="BG234" s="207"/>
      <c r="BH234" s="207" t="s">
        <v>2048</v>
      </c>
      <c r="BI234" s="207" t="s">
        <v>2049</v>
      </c>
      <c r="BJ234" s="207"/>
      <c r="BK234" s="206">
        <v>42457</v>
      </c>
      <c r="BL234" s="206">
        <v>42529</v>
      </c>
      <c r="BM234" s="206"/>
      <c r="BN234" s="206"/>
      <c r="BO234" s="211"/>
      <c r="BP234" s="207"/>
      <c r="BQ234" s="207"/>
      <c r="BR234" s="206"/>
      <c r="BS234" s="206"/>
      <c r="BT234" s="212"/>
      <c r="BU234" s="212"/>
      <c r="BV234" s="206"/>
      <c r="BW234" s="212"/>
      <c r="BX234" s="206"/>
      <c r="BY234" s="212"/>
      <c r="BZ234" s="206"/>
      <c r="CA234" s="206">
        <v>42482</v>
      </c>
      <c r="CB234" s="213" t="s">
        <v>134</v>
      </c>
      <c r="CC234" s="212"/>
      <c r="CD234" s="212">
        <v>39000000</v>
      </c>
      <c r="CE234" s="212"/>
      <c r="CF234" s="212"/>
      <c r="CG234" s="212">
        <v>39000000</v>
      </c>
      <c r="CH234" s="200"/>
      <c r="CI234" s="212"/>
      <c r="CJ234" s="255"/>
    </row>
    <row r="235" spans="1:88" s="503" customFormat="1" ht="14.1" hidden="1" customHeight="1">
      <c r="A235" s="483" t="s">
        <v>3424</v>
      </c>
      <c r="B235" s="478" t="s">
        <v>3413</v>
      </c>
      <c r="C235" s="521" t="s">
        <v>3435</v>
      </c>
      <c r="D235" s="521" t="s">
        <v>3435</v>
      </c>
      <c r="E235" s="500">
        <v>26954375</v>
      </c>
      <c r="F235" s="251" t="s">
        <v>3187</v>
      </c>
      <c r="G235" s="501"/>
      <c r="H235" s="502"/>
      <c r="J235" s="199">
        <v>223</v>
      </c>
      <c r="K235" s="200"/>
      <c r="L235" s="200" t="s">
        <v>628</v>
      </c>
      <c r="M235" s="201" t="s">
        <v>152</v>
      </c>
      <c r="N235" s="536"/>
      <c r="O235" s="202">
        <v>1</v>
      </c>
      <c r="P235" s="201" t="s">
        <v>83</v>
      </c>
      <c r="Q235" s="201" t="s">
        <v>155</v>
      </c>
      <c r="R235" s="201" t="s">
        <v>1904</v>
      </c>
      <c r="S235" s="201" t="s">
        <v>2050</v>
      </c>
      <c r="T235" s="201" t="s">
        <v>220</v>
      </c>
      <c r="U235" s="203">
        <v>17.5</v>
      </c>
      <c r="V235" s="203">
        <v>38.64</v>
      </c>
      <c r="W235" s="204"/>
      <c r="X235" s="205"/>
      <c r="Y235" s="203"/>
      <c r="Z235" s="206">
        <v>41775</v>
      </c>
      <c r="AA235" s="206" t="s">
        <v>79</v>
      </c>
      <c r="AB235" s="207">
        <v>1</v>
      </c>
      <c r="AC235" s="208" t="s">
        <v>80</v>
      </c>
      <c r="AD235" s="209">
        <v>32400000</v>
      </c>
      <c r="AE235" s="209">
        <v>32400000</v>
      </c>
      <c r="AF235" s="207"/>
      <c r="AG235" s="207"/>
      <c r="AH235" s="209"/>
      <c r="AI235" s="207"/>
      <c r="AJ235" s="208"/>
      <c r="AK235" s="209"/>
      <c r="AL235" s="209"/>
      <c r="AM235" s="206"/>
      <c r="AN235" s="207"/>
      <c r="AO235" s="208"/>
      <c r="AP235" s="209"/>
      <c r="AQ235" s="209"/>
      <c r="AR235" s="207"/>
      <c r="AS235" s="207"/>
      <c r="AT235" s="209"/>
      <c r="AU235" s="209"/>
      <c r="AV235" s="209"/>
      <c r="AW235" s="466" t="s">
        <v>1313</v>
      </c>
      <c r="AX235" s="466" t="s">
        <v>1313</v>
      </c>
      <c r="AY235" s="466" t="s">
        <v>1313</v>
      </c>
      <c r="AZ235" s="466" t="s">
        <v>1313</v>
      </c>
      <c r="BA235" s="466" t="s">
        <v>1313</v>
      </c>
      <c r="BB235" s="466" t="s">
        <v>1313</v>
      </c>
      <c r="BC235" s="207" t="s">
        <v>1320</v>
      </c>
      <c r="BD235" s="210">
        <v>26380376</v>
      </c>
      <c r="BE235" s="210"/>
      <c r="BF235" s="207" t="s">
        <v>101</v>
      </c>
      <c r="BG235" s="207"/>
      <c r="BH235" s="207" t="s">
        <v>87</v>
      </c>
      <c r="BI235" s="207" t="s">
        <v>2051</v>
      </c>
      <c r="BJ235" s="207"/>
      <c r="BK235" s="206">
        <v>42467</v>
      </c>
      <c r="BL235" s="206">
        <v>42534</v>
      </c>
      <c r="BM235" s="206"/>
      <c r="BN235" s="206"/>
      <c r="BO235" s="211"/>
      <c r="BP235" s="207"/>
      <c r="BQ235" s="207"/>
      <c r="BR235" s="206"/>
      <c r="BS235" s="206"/>
      <c r="BT235" s="212"/>
      <c r="BU235" s="212"/>
      <c r="BV235" s="206"/>
      <c r="BW235" s="212"/>
      <c r="BX235" s="206"/>
      <c r="BY235" s="212"/>
      <c r="BZ235" s="206"/>
      <c r="CA235" s="206">
        <v>41772</v>
      </c>
      <c r="CB235" s="213" t="s">
        <v>1981</v>
      </c>
      <c r="CC235" s="212"/>
      <c r="CD235" s="212">
        <v>45000000</v>
      </c>
      <c r="CE235" s="212"/>
      <c r="CF235" s="212"/>
      <c r="CG235" s="212">
        <v>45000000</v>
      </c>
      <c r="CH235" s="200"/>
      <c r="CI235" s="212"/>
      <c r="CJ235" s="255" t="s">
        <v>416</v>
      </c>
    </row>
    <row r="236" spans="1:88" s="503" customFormat="1" ht="14.1" hidden="1" customHeight="1">
      <c r="A236" s="483" t="s">
        <v>3424</v>
      </c>
      <c r="B236" s="478" t="s">
        <v>3414</v>
      </c>
      <c r="C236" s="521" t="s">
        <v>3435</v>
      </c>
      <c r="D236" s="521" t="s">
        <v>3435</v>
      </c>
      <c r="E236" s="500">
        <v>26211000</v>
      </c>
      <c r="F236" s="251" t="s">
        <v>3187</v>
      </c>
      <c r="G236" s="501"/>
      <c r="H236" s="502"/>
      <c r="J236" s="199">
        <v>224</v>
      </c>
      <c r="K236" s="200"/>
      <c r="L236" s="200" t="s">
        <v>629</v>
      </c>
      <c r="M236" s="201" t="s">
        <v>234</v>
      </c>
      <c r="N236" s="536"/>
      <c r="O236" s="202">
        <v>1</v>
      </c>
      <c r="P236" s="201" t="s">
        <v>83</v>
      </c>
      <c r="Q236" s="201" t="s">
        <v>184</v>
      </c>
      <c r="R236" s="201" t="s">
        <v>233</v>
      </c>
      <c r="S236" s="201" t="s">
        <v>2052</v>
      </c>
      <c r="T236" s="201" t="s">
        <v>220</v>
      </c>
      <c r="U236" s="203">
        <v>14.7</v>
      </c>
      <c r="V236" s="203">
        <v>43.29</v>
      </c>
      <c r="W236" s="204"/>
      <c r="X236" s="205"/>
      <c r="Y236" s="203"/>
      <c r="Z236" s="206">
        <v>41934</v>
      </c>
      <c r="AA236" s="206" t="s">
        <v>79</v>
      </c>
      <c r="AB236" s="207">
        <v>1</v>
      </c>
      <c r="AC236" s="208" t="s">
        <v>80</v>
      </c>
      <c r="AD236" s="209">
        <v>30000000</v>
      </c>
      <c r="AE236" s="209">
        <v>30000000</v>
      </c>
      <c r="AF236" s="207"/>
      <c r="AG236" s="207"/>
      <c r="AH236" s="209"/>
      <c r="AI236" s="207"/>
      <c r="AJ236" s="208"/>
      <c r="AK236" s="209"/>
      <c r="AL236" s="209"/>
      <c r="AM236" s="206"/>
      <c r="AN236" s="207"/>
      <c r="AO236" s="208"/>
      <c r="AP236" s="209"/>
      <c r="AQ236" s="209"/>
      <c r="AR236" s="207"/>
      <c r="AS236" s="207"/>
      <c r="AT236" s="209"/>
      <c r="AU236" s="209"/>
      <c r="AV236" s="209"/>
      <c r="AW236" s="466" t="s">
        <v>1313</v>
      </c>
      <c r="AX236" s="466" t="s">
        <v>1313</v>
      </c>
      <c r="AY236" s="466" t="s">
        <v>1313</v>
      </c>
      <c r="AZ236" s="466" t="s">
        <v>1313</v>
      </c>
      <c r="BA236" s="466" t="s">
        <v>1313</v>
      </c>
      <c r="BB236" s="466" t="s">
        <v>1313</v>
      </c>
      <c r="BC236" s="207" t="s">
        <v>1320</v>
      </c>
      <c r="BD236" s="210">
        <v>25516638</v>
      </c>
      <c r="BE236" s="210"/>
      <c r="BF236" s="207" t="s">
        <v>101</v>
      </c>
      <c r="BG236" s="207"/>
      <c r="BH236" s="207" t="s">
        <v>87</v>
      </c>
      <c r="BI236" s="207" t="s">
        <v>2053</v>
      </c>
      <c r="BJ236" s="207"/>
      <c r="BK236" s="206">
        <v>42447</v>
      </c>
      <c r="BL236" s="206">
        <v>42530</v>
      </c>
      <c r="BM236" s="206"/>
      <c r="BN236" s="206"/>
      <c r="BO236" s="211"/>
      <c r="BP236" s="207"/>
      <c r="BQ236" s="207"/>
      <c r="BR236" s="206"/>
      <c r="BS236" s="206"/>
      <c r="BT236" s="212"/>
      <c r="BU236" s="212"/>
      <c r="BV236" s="206"/>
      <c r="BW236" s="212"/>
      <c r="BX236" s="206"/>
      <c r="BY236" s="212"/>
      <c r="BZ236" s="206"/>
      <c r="CA236" s="206">
        <v>41929</v>
      </c>
      <c r="CB236" s="213" t="s">
        <v>1976</v>
      </c>
      <c r="CC236" s="212"/>
      <c r="CD236" s="212">
        <v>43000000</v>
      </c>
      <c r="CE236" s="212"/>
      <c r="CF236" s="212"/>
      <c r="CG236" s="212">
        <v>43000000</v>
      </c>
      <c r="CH236" s="200"/>
      <c r="CI236" s="212"/>
      <c r="CJ236" s="255" t="s">
        <v>416</v>
      </c>
    </row>
    <row r="237" spans="1:88" s="503" customFormat="1" ht="14.1" hidden="1" customHeight="1">
      <c r="A237" s="483" t="s">
        <v>3424</v>
      </c>
      <c r="B237" s="478" t="s">
        <v>3415</v>
      </c>
      <c r="C237" s="251" t="s">
        <v>3423</v>
      </c>
      <c r="D237" s="517" t="s">
        <v>3423</v>
      </c>
      <c r="E237" s="500">
        <v>21068960</v>
      </c>
      <c r="F237" s="251" t="s">
        <v>3189</v>
      </c>
      <c r="G237" s="501"/>
      <c r="H237" s="502"/>
      <c r="J237" s="199">
        <v>225</v>
      </c>
      <c r="K237" s="200"/>
      <c r="L237" s="200" t="s">
        <v>630</v>
      </c>
      <c r="M237" s="201" t="s">
        <v>168</v>
      </c>
      <c r="N237" s="536"/>
      <c r="O237" s="202">
        <v>1</v>
      </c>
      <c r="P237" s="201" t="s">
        <v>2054</v>
      </c>
      <c r="Q237" s="201" t="s">
        <v>2055</v>
      </c>
      <c r="R237" s="201" t="s">
        <v>2056</v>
      </c>
      <c r="S237" s="201" t="s">
        <v>2057</v>
      </c>
      <c r="T237" s="201" t="s">
        <v>106</v>
      </c>
      <c r="U237" s="203">
        <v>21.11</v>
      </c>
      <c r="V237" s="203">
        <v>49.5</v>
      </c>
      <c r="W237" s="204"/>
      <c r="X237" s="205"/>
      <c r="Y237" s="203"/>
      <c r="Z237" s="206">
        <v>40556</v>
      </c>
      <c r="AA237" s="206" t="s">
        <v>79</v>
      </c>
      <c r="AB237" s="207" t="s">
        <v>89</v>
      </c>
      <c r="AC237" s="208" t="s">
        <v>80</v>
      </c>
      <c r="AD237" s="209">
        <v>30240000</v>
      </c>
      <c r="AE237" s="209">
        <v>30240000</v>
      </c>
      <c r="AF237" s="207"/>
      <c r="AG237" s="207"/>
      <c r="AH237" s="209"/>
      <c r="AI237" s="207"/>
      <c r="AJ237" s="208"/>
      <c r="AK237" s="209"/>
      <c r="AL237" s="209"/>
      <c r="AM237" s="206"/>
      <c r="AN237" s="207"/>
      <c r="AO237" s="208"/>
      <c r="AP237" s="209"/>
      <c r="AQ237" s="209"/>
      <c r="AR237" s="207"/>
      <c r="AS237" s="207"/>
      <c r="AT237" s="209"/>
      <c r="AU237" s="209"/>
      <c r="AV237" s="209"/>
      <c r="AW237" s="466" t="s">
        <v>1313</v>
      </c>
      <c r="AX237" s="466" t="s">
        <v>1313</v>
      </c>
      <c r="AY237" s="466" t="s">
        <v>1313</v>
      </c>
      <c r="AZ237" s="466" t="s">
        <v>1313</v>
      </c>
      <c r="BA237" s="466" t="s">
        <v>1313</v>
      </c>
      <c r="BB237" s="466" t="s">
        <v>1313</v>
      </c>
      <c r="BC237" s="207" t="s">
        <v>1320</v>
      </c>
      <c r="BD237" s="210">
        <v>20397520</v>
      </c>
      <c r="BE237" s="210"/>
      <c r="BF237" s="207" t="s">
        <v>101</v>
      </c>
      <c r="BG237" s="207"/>
      <c r="BH237" s="207" t="s">
        <v>2058</v>
      </c>
      <c r="BI237" s="207" t="s">
        <v>2059</v>
      </c>
      <c r="BJ237" s="207"/>
      <c r="BK237" s="206">
        <v>42453</v>
      </c>
      <c r="BL237" s="206">
        <v>42528</v>
      </c>
      <c r="BM237" s="206"/>
      <c r="BN237" s="206"/>
      <c r="BO237" s="211"/>
      <c r="BP237" s="207"/>
      <c r="BQ237" s="207"/>
      <c r="BR237" s="206"/>
      <c r="BS237" s="206"/>
      <c r="BT237" s="212"/>
      <c r="BU237" s="212"/>
      <c r="BV237" s="206"/>
      <c r="BW237" s="212"/>
      <c r="BX237" s="206"/>
      <c r="BY237" s="212"/>
      <c r="BZ237" s="206"/>
      <c r="CA237" s="206">
        <v>42482</v>
      </c>
      <c r="CB237" s="213" t="s">
        <v>134</v>
      </c>
      <c r="CC237" s="212"/>
      <c r="CD237" s="212">
        <v>58000000</v>
      </c>
      <c r="CE237" s="212"/>
      <c r="CF237" s="212"/>
      <c r="CG237" s="212">
        <v>58000000</v>
      </c>
      <c r="CH237" s="200"/>
      <c r="CI237" s="212"/>
      <c r="CJ237" s="255"/>
    </row>
    <row r="238" spans="1:88" s="503" customFormat="1" ht="14.1" hidden="1" customHeight="1">
      <c r="A238" s="483" t="s">
        <v>3424</v>
      </c>
      <c r="B238" s="478" t="s">
        <v>3416</v>
      </c>
      <c r="C238" s="521" t="s">
        <v>3435</v>
      </c>
      <c r="D238" s="521" t="s">
        <v>3435</v>
      </c>
      <c r="E238" s="500">
        <v>21201440</v>
      </c>
      <c r="F238" s="251" t="s">
        <v>3187</v>
      </c>
      <c r="G238" s="501"/>
      <c r="H238" s="502"/>
      <c r="J238" s="199">
        <v>226</v>
      </c>
      <c r="K238" s="200"/>
      <c r="L238" s="200" t="s">
        <v>631</v>
      </c>
      <c r="M238" s="201" t="s">
        <v>151</v>
      </c>
      <c r="N238" s="536"/>
      <c r="O238" s="202">
        <v>1</v>
      </c>
      <c r="P238" s="201" t="s">
        <v>103</v>
      </c>
      <c r="Q238" s="201" t="s">
        <v>185</v>
      </c>
      <c r="R238" s="201" t="s">
        <v>1735</v>
      </c>
      <c r="S238" s="201" t="s">
        <v>2060</v>
      </c>
      <c r="T238" s="201" t="s">
        <v>112</v>
      </c>
      <c r="U238" s="203">
        <v>15.39</v>
      </c>
      <c r="V238" s="203">
        <v>22.5</v>
      </c>
      <c r="W238" s="204"/>
      <c r="X238" s="205"/>
      <c r="Y238" s="203"/>
      <c r="Z238" s="206">
        <v>41900</v>
      </c>
      <c r="AA238" s="206" t="s">
        <v>79</v>
      </c>
      <c r="AB238" s="207">
        <v>1</v>
      </c>
      <c r="AC238" s="208" t="s">
        <v>80</v>
      </c>
      <c r="AD238" s="209">
        <v>12000000</v>
      </c>
      <c r="AE238" s="209">
        <v>12000000</v>
      </c>
      <c r="AF238" s="207"/>
      <c r="AG238" s="207"/>
      <c r="AH238" s="209"/>
      <c r="AI238" s="207"/>
      <c r="AJ238" s="208"/>
      <c r="AK238" s="209"/>
      <c r="AL238" s="209"/>
      <c r="AM238" s="206"/>
      <c r="AN238" s="207"/>
      <c r="AO238" s="208"/>
      <c r="AP238" s="209"/>
      <c r="AQ238" s="209"/>
      <c r="AR238" s="207"/>
      <c r="AS238" s="207"/>
      <c r="AT238" s="209"/>
      <c r="AU238" s="209"/>
      <c r="AV238" s="209"/>
      <c r="AW238" s="466" t="s">
        <v>1313</v>
      </c>
      <c r="AX238" s="466" t="s">
        <v>1313</v>
      </c>
      <c r="AY238" s="466" t="s">
        <v>1313</v>
      </c>
      <c r="AZ238" s="466" t="s">
        <v>1313</v>
      </c>
      <c r="BA238" s="466" t="s">
        <v>1313</v>
      </c>
      <c r="BB238" s="466" t="s">
        <v>1313</v>
      </c>
      <c r="BC238" s="207" t="s">
        <v>82</v>
      </c>
      <c r="BD238" s="210"/>
      <c r="BE238" s="210"/>
      <c r="BF238" s="207"/>
      <c r="BG238" s="207"/>
      <c r="BH238" s="207"/>
      <c r="BI238" s="207"/>
      <c r="BJ238" s="207"/>
      <c r="BK238" s="206"/>
      <c r="BL238" s="206"/>
      <c r="BM238" s="206"/>
      <c r="BN238" s="206"/>
      <c r="BO238" s="211"/>
      <c r="BP238" s="207"/>
      <c r="BQ238" s="207"/>
      <c r="BR238" s="206"/>
      <c r="BS238" s="206"/>
      <c r="BT238" s="212"/>
      <c r="BU238" s="212"/>
      <c r="BV238" s="206"/>
      <c r="BW238" s="212"/>
      <c r="BX238" s="206"/>
      <c r="BY238" s="212"/>
      <c r="BZ238" s="206"/>
      <c r="CA238" s="206">
        <v>41883</v>
      </c>
      <c r="CB238" s="213" t="s">
        <v>1388</v>
      </c>
      <c r="CC238" s="212"/>
      <c r="CD238" s="212">
        <v>53000000</v>
      </c>
      <c r="CE238" s="212"/>
      <c r="CF238" s="212"/>
      <c r="CG238" s="212">
        <v>53000000</v>
      </c>
      <c r="CH238" s="200"/>
      <c r="CI238" s="212"/>
      <c r="CJ238" s="255" t="s">
        <v>2061</v>
      </c>
    </row>
    <row r="239" spans="1:88" s="503" customFormat="1" ht="14.1" hidden="1" customHeight="1">
      <c r="A239" s="483" t="s">
        <v>3424</v>
      </c>
      <c r="B239" s="478" t="s">
        <v>3417</v>
      </c>
      <c r="C239" s="251" t="s">
        <v>3423</v>
      </c>
      <c r="D239" s="517" t="s">
        <v>3423</v>
      </c>
      <c r="E239" s="500">
        <v>20000000</v>
      </c>
      <c r="F239" s="251" t="s">
        <v>3186</v>
      </c>
      <c r="G239" s="501"/>
      <c r="H239" s="502"/>
      <c r="J239" s="199">
        <v>227</v>
      </c>
      <c r="K239" s="200"/>
      <c r="L239" s="200" t="s">
        <v>632</v>
      </c>
      <c r="M239" s="201" t="s">
        <v>205</v>
      </c>
      <c r="N239" s="536"/>
      <c r="O239" s="202">
        <v>1</v>
      </c>
      <c r="P239" s="201" t="s">
        <v>103</v>
      </c>
      <c r="Q239" s="201" t="s">
        <v>195</v>
      </c>
      <c r="R239" s="201" t="s">
        <v>2062</v>
      </c>
      <c r="S239" s="201" t="s">
        <v>2063</v>
      </c>
      <c r="T239" s="201" t="s">
        <v>106</v>
      </c>
      <c r="U239" s="203">
        <v>28.222000000000001</v>
      </c>
      <c r="V239" s="203">
        <v>49.8</v>
      </c>
      <c r="W239" s="204"/>
      <c r="X239" s="205"/>
      <c r="Y239" s="203"/>
      <c r="Z239" s="206">
        <v>39021</v>
      </c>
      <c r="AA239" s="206" t="s">
        <v>79</v>
      </c>
      <c r="AB239" s="207">
        <v>2</v>
      </c>
      <c r="AC239" s="208" t="s">
        <v>80</v>
      </c>
      <c r="AD239" s="209">
        <v>60000000</v>
      </c>
      <c r="AE239" s="209">
        <v>60000000</v>
      </c>
      <c r="AF239" s="207"/>
      <c r="AG239" s="207"/>
      <c r="AH239" s="209"/>
      <c r="AI239" s="207"/>
      <c r="AJ239" s="208"/>
      <c r="AK239" s="209"/>
      <c r="AL239" s="209"/>
      <c r="AM239" s="206"/>
      <c r="AN239" s="207">
        <v>1</v>
      </c>
      <c r="AO239" s="208" t="s">
        <v>80</v>
      </c>
      <c r="AP239" s="209">
        <v>133200000</v>
      </c>
      <c r="AQ239" s="209">
        <v>133200000</v>
      </c>
      <c r="AR239" s="207"/>
      <c r="AS239" s="207"/>
      <c r="AT239" s="209"/>
      <c r="AU239" s="209"/>
      <c r="AV239" s="209"/>
      <c r="AW239" s="466" t="s">
        <v>1313</v>
      </c>
      <c r="AX239" s="466" t="s">
        <v>1313</v>
      </c>
      <c r="AY239" s="466" t="s">
        <v>1313</v>
      </c>
      <c r="AZ239" s="466" t="s">
        <v>1313</v>
      </c>
      <c r="BA239" s="466" t="s">
        <v>1313</v>
      </c>
      <c r="BB239" s="466" t="s">
        <v>1313</v>
      </c>
      <c r="BC239" s="207" t="s">
        <v>82</v>
      </c>
      <c r="BD239" s="210"/>
      <c r="BE239" s="210"/>
      <c r="BF239" s="207"/>
      <c r="BG239" s="207"/>
      <c r="BH239" s="207"/>
      <c r="BI239" s="207"/>
      <c r="BJ239" s="207"/>
      <c r="BK239" s="206"/>
      <c r="BL239" s="206"/>
      <c r="BM239" s="206"/>
      <c r="BN239" s="206"/>
      <c r="BO239" s="211"/>
      <c r="BP239" s="207"/>
      <c r="BQ239" s="207"/>
      <c r="BR239" s="206"/>
      <c r="BS239" s="206"/>
      <c r="BT239" s="212"/>
      <c r="BU239" s="212"/>
      <c r="BV239" s="206"/>
      <c r="BW239" s="212"/>
      <c r="BX239" s="206"/>
      <c r="BY239" s="212"/>
      <c r="BZ239" s="206"/>
      <c r="CA239" s="206">
        <v>42482</v>
      </c>
      <c r="CB239" s="213" t="s">
        <v>134</v>
      </c>
      <c r="CC239" s="212"/>
      <c r="CD239" s="212">
        <v>335000000</v>
      </c>
      <c r="CE239" s="212"/>
      <c r="CF239" s="212"/>
      <c r="CG239" s="212">
        <v>335000000</v>
      </c>
      <c r="CH239" s="200"/>
      <c r="CI239" s="212"/>
      <c r="CJ239" s="255" t="s">
        <v>2064</v>
      </c>
    </row>
    <row r="240" spans="1:88" s="503" customFormat="1" ht="14.1" hidden="1" customHeight="1">
      <c r="A240" s="483" t="s">
        <v>3424</v>
      </c>
      <c r="B240" s="478" t="s">
        <v>3418</v>
      </c>
      <c r="C240" s="521" t="s">
        <v>3435</v>
      </c>
      <c r="D240" s="521" t="s">
        <v>3435</v>
      </c>
      <c r="E240" s="500">
        <v>16536376</v>
      </c>
      <c r="F240" s="251" t="s">
        <v>3184</v>
      </c>
      <c r="G240" s="501"/>
      <c r="H240" s="502"/>
      <c r="J240" s="199">
        <v>228</v>
      </c>
      <c r="K240" s="200"/>
      <c r="L240" s="200" t="s">
        <v>633</v>
      </c>
      <c r="M240" s="201" t="s">
        <v>152</v>
      </c>
      <c r="N240" s="536"/>
      <c r="O240" s="202">
        <v>1</v>
      </c>
      <c r="P240" s="201" t="s">
        <v>164</v>
      </c>
      <c r="Q240" s="201" t="s">
        <v>203</v>
      </c>
      <c r="R240" s="201" t="s">
        <v>2065</v>
      </c>
      <c r="S240" s="201" t="s">
        <v>2066</v>
      </c>
      <c r="T240" s="201" t="s">
        <v>129</v>
      </c>
      <c r="U240" s="203">
        <v>798</v>
      </c>
      <c r="V240" s="203">
        <v>125.29</v>
      </c>
      <c r="W240" s="204"/>
      <c r="X240" s="205"/>
      <c r="Y240" s="203"/>
      <c r="Z240" s="206">
        <v>41417</v>
      </c>
      <c r="AA240" s="206" t="s">
        <v>79</v>
      </c>
      <c r="AB240" s="207">
        <v>1</v>
      </c>
      <c r="AC240" s="208" t="s">
        <v>80</v>
      </c>
      <c r="AD240" s="209">
        <v>36000000</v>
      </c>
      <c r="AE240" s="209">
        <v>36000000</v>
      </c>
      <c r="AF240" s="207"/>
      <c r="AG240" s="207"/>
      <c r="AH240" s="209"/>
      <c r="AI240" s="207"/>
      <c r="AJ240" s="208"/>
      <c r="AK240" s="209"/>
      <c r="AL240" s="209"/>
      <c r="AM240" s="206"/>
      <c r="AN240" s="207"/>
      <c r="AO240" s="208"/>
      <c r="AP240" s="209"/>
      <c r="AQ240" s="209"/>
      <c r="AR240" s="207"/>
      <c r="AS240" s="207"/>
      <c r="AT240" s="209"/>
      <c r="AU240" s="209"/>
      <c r="AV240" s="209"/>
      <c r="AW240" s="466" t="s">
        <v>1313</v>
      </c>
      <c r="AX240" s="466" t="s">
        <v>1313</v>
      </c>
      <c r="AY240" s="466" t="s">
        <v>1313</v>
      </c>
      <c r="AZ240" s="466" t="s">
        <v>1313</v>
      </c>
      <c r="BA240" s="466" t="s">
        <v>1313</v>
      </c>
      <c r="BB240" s="466" t="s">
        <v>1313</v>
      </c>
      <c r="BC240" s="207" t="s">
        <v>1320</v>
      </c>
      <c r="BD240" s="210">
        <v>15933383</v>
      </c>
      <c r="BE240" s="210"/>
      <c r="BF240" s="207" t="s">
        <v>101</v>
      </c>
      <c r="BG240" s="207"/>
      <c r="BH240" s="207" t="s">
        <v>167</v>
      </c>
      <c r="BI240" s="207" t="s">
        <v>2067</v>
      </c>
      <c r="BJ240" s="207"/>
      <c r="BK240" s="206">
        <v>42461</v>
      </c>
      <c r="BL240" s="206">
        <v>42529</v>
      </c>
      <c r="BM240" s="206"/>
      <c r="BN240" s="206"/>
      <c r="BO240" s="211"/>
      <c r="BP240" s="207"/>
      <c r="BQ240" s="207"/>
      <c r="BR240" s="206"/>
      <c r="BS240" s="206"/>
      <c r="BT240" s="212"/>
      <c r="BU240" s="212"/>
      <c r="BV240" s="206"/>
      <c r="BW240" s="212"/>
      <c r="BX240" s="206"/>
      <c r="BY240" s="212"/>
      <c r="BZ240" s="206"/>
      <c r="CA240" s="206" t="s">
        <v>2068</v>
      </c>
      <c r="CB240" s="213" t="s">
        <v>1388</v>
      </c>
      <c r="CC240" s="212">
        <v>27850200</v>
      </c>
      <c r="CD240" s="212">
        <v>4379964</v>
      </c>
      <c r="CE240" s="212"/>
      <c r="CF240" s="212"/>
      <c r="CG240" s="212">
        <v>32230164</v>
      </c>
      <c r="CH240" s="200"/>
      <c r="CI240" s="212"/>
      <c r="CJ240" s="255" t="s">
        <v>416</v>
      </c>
    </row>
    <row r="241" spans="1:249" s="503" customFormat="1" ht="14.1" hidden="1" customHeight="1">
      <c r="A241" s="483" t="s">
        <v>3424</v>
      </c>
      <c r="B241" s="478" t="s">
        <v>3419</v>
      </c>
      <c r="C241" s="251" t="s">
        <v>3423</v>
      </c>
      <c r="D241" s="517" t="s">
        <v>3423</v>
      </c>
      <c r="E241" s="500">
        <v>15425545</v>
      </c>
      <c r="F241" s="251" t="s">
        <v>3189</v>
      </c>
      <c r="G241" s="501"/>
      <c r="H241" s="502"/>
      <c r="J241" s="199">
        <v>229</v>
      </c>
      <c r="K241" s="200"/>
      <c r="L241" s="200" t="s">
        <v>634</v>
      </c>
      <c r="M241" s="201" t="s">
        <v>152</v>
      </c>
      <c r="N241" s="536"/>
      <c r="O241" s="202">
        <v>1</v>
      </c>
      <c r="P241" s="201" t="s">
        <v>93</v>
      </c>
      <c r="Q241" s="201" t="s">
        <v>218</v>
      </c>
      <c r="R241" s="201" t="s">
        <v>2069</v>
      </c>
      <c r="S241" s="201" t="s">
        <v>2070</v>
      </c>
      <c r="T241" s="201" t="s">
        <v>106</v>
      </c>
      <c r="U241" s="203">
        <v>17.670000000000002</v>
      </c>
      <c r="V241" s="203">
        <v>84.89</v>
      </c>
      <c r="W241" s="204"/>
      <c r="X241" s="205"/>
      <c r="Y241" s="203"/>
      <c r="Z241" s="206">
        <v>38701</v>
      </c>
      <c r="AA241" s="206" t="s">
        <v>79</v>
      </c>
      <c r="AB241" s="207">
        <v>1</v>
      </c>
      <c r="AC241" s="208" t="s">
        <v>80</v>
      </c>
      <c r="AD241" s="209">
        <v>24000000</v>
      </c>
      <c r="AE241" s="209">
        <v>24000000</v>
      </c>
      <c r="AF241" s="207"/>
      <c r="AG241" s="207"/>
      <c r="AH241" s="209"/>
      <c r="AI241" s="207"/>
      <c r="AJ241" s="208"/>
      <c r="AK241" s="209"/>
      <c r="AL241" s="209"/>
      <c r="AM241" s="206"/>
      <c r="AN241" s="207"/>
      <c r="AO241" s="208"/>
      <c r="AP241" s="209"/>
      <c r="AQ241" s="209"/>
      <c r="AR241" s="207"/>
      <c r="AS241" s="207"/>
      <c r="AT241" s="209"/>
      <c r="AU241" s="209"/>
      <c r="AV241" s="209"/>
      <c r="AW241" s="466" t="s">
        <v>1313</v>
      </c>
      <c r="AX241" s="466" t="s">
        <v>1313</v>
      </c>
      <c r="AY241" s="466" t="s">
        <v>1313</v>
      </c>
      <c r="AZ241" s="466" t="s">
        <v>1313</v>
      </c>
      <c r="BA241" s="466" t="s">
        <v>1313</v>
      </c>
      <c r="BB241" s="466" t="s">
        <v>1313</v>
      </c>
      <c r="BC241" s="207" t="s">
        <v>1320</v>
      </c>
      <c r="BD241" s="210">
        <v>14865140</v>
      </c>
      <c r="BE241" s="210"/>
      <c r="BF241" s="207" t="s">
        <v>101</v>
      </c>
      <c r="BG241" s="207"/>
      <c r="BH241" s="207" t="s">
        <v>115</v>
      </c>
      <c r="BI241" s="207" t="s">
        <v>2071</v>
      </c>
      <c r="BJ241" s="207"/>
      <c r="BK241" s="206">
        <v>42461</v>
      </c>
      <c r="BL241" s="206">
        <v>42541</v>
      </c>
      <c r="BM241" s="206"/>
      <c r="BN241" s="206"/>
      <c r="BO241" s="211"/>
      <c r="BP241" s="207"/>
      <c r="BQ241" s="207"/>
      <c r="BR241" s="206"/>
      <c r="BS241" s="206"/>
      <c r="BT241" s="212"/>
      <c r="BU241" s="212"/>
      <c r="BV241" s="206"/>
      <c r="BW241" s="212"/>
      <c r="BX241" s="206"/>
      <c r="BY241" s="212"/>
      <c r="BZ241" s="206"/>
      <c r="CA241" s="206">
        <v>42482</v>
      </c>
      <c r="CB241" s="213" t="s">
        <v>134</v>
      </c>
      <c r="CC241" s="212"/>
      <c r="CD241" s="212">
        <v>250000000</v>
      </c>
      <c r="CE241" s="212"/>
      <c r="CF241" s="212"/>
      <c r="CG241" s="212">
        <v>250000000</v>
      </c>
      <c r="CH241" s="200"/>
      <c r="CI241" s="212"/>
      <c r="CJ241" s="255" t="s">
        <v>2072</v>
      </c>
    </row>
    <row r="242" spans="1:249" s="503" customFormat="1" ht="14.1" hidden="1" customHeight="1">
      <c r="A242" s="483" t="s">
        <v>3424</v>
      </c>
      <c r="B242" s="478" t="s">
        <v>3420</v>
      </c>
      <c r="C242" s="251" t="s">
        <v>3423</v>
      </c>
      <c r="D242" s="517" t="s">
        <v>3423</v>
      </c>
      <c r="E242" s="500">
        <v>14368477</v>
      </c>
      <c r="F242" s="251" t="s">
        <v>3187</v>
      </c>
      <c r="G242" s="501"/>
      <c r="H242" s="502"/>
      <c r="J242" s="199">
        <v>230</v>
      </c>
      <c r="K242" s="200"/>
      <c r="L242" s="200" t="s">
        <v>635</v>
      </c>
      <c r="M242" s="201" t="s">
        <v>152</v>
      </c>
      <c r="N242" s="536"/>
      <c r="O242" s="202">
        <v>1</v>
      </c>
      <c r="P242" s="201" t="s">
        <v>83</v>
      </c>
      <c r="Q242" s="201" t="s">
        <v>188</v>
      </c>
      <c r="R242" s="201" t="s">
        <v>201</v>
      </c>
      <c r="S242" s="201" t="s">
        <v>2073</v>
      </c>
      <c r="T242" s="201" t="s">
        <v>106</v>
      </c>
      <c r="U242" s="203">
        <v>47.2</v>
      </c>
      <c r="V242" s="203">
        <v>58.32</v>
      </c>
      <c r="W242" s="204"/>
      <c r="X242" s="205"/>
      <c r="Y242" s="203"/>
      <c r="Z242" s="206">
        <v>38929</v>
      </c>
      <c r="AA242" s="206" t="s">
        <v>79</v>
      </c>
      <c r="AB242" s="207">
        <v>1</v>
      </c>
      <c r="AC242" s="208" t="s">
        <v>80</v>
      </c>
      <c r="AD242" s="209">
        <v>30000000</v>
      </c>
      <c r="AE242" s="209">
        <v>30000000</v>
      </c>
      <c r="AF242" s="207"/>
      <c r="AG242" s="207"/>
      <c r="AH242" s="209"/>
      <c r="AI242" s="207"/>
      <c r="AJ242" s="208"/>
      <c r="AK242" s="209"/>
      <c r="AL242" s="209"/>
      <c r="AM242" s="206"/>
      <c r="AN242" s="207"/>
      <c r="AO242" s="208"/>
      <c r="AP242" s="209"/>
      <c r="AQ242" s="209"/>
      <c r="AR242" s="207"/>
      <c r="AS242" s="207"/>
      <c r="AT242" s="209"/>
      <c r="AU242" s="209"/>
      <c r="AV242" s="209"/>
      <c r="AW242" s="466" t="s">
        <v>1313</v>
      </c>
      <c r="AX242" s="466" t="s">
        <v>1313</v>
      </c>
      <c r="AY242" s="466" t="s">
        <v>1313</v>
      </c>
      <c r="AZ242" s="466" t="s">
        <v>1313</v>
      </c>
      <c r="BA242" s="466" t="s">
        <v>1313</v>
      </c>
      <c r="BB242" s="466" t="s">
        <v>1313</v>
      </c>
      <c r="BC242" s="207" t="s">
        <v>1320</v>
      </c>
      <c r="BD242" s="210"/>
      <c r="BE242" s="210">
        <v>111153608</v>
      </c>
      <c r="BF242" s="207" t="s">
        <v>2074</v>
      </c>
      <c r="BG242" s="207"/>
      <c r="BH242" s="207" t="s">
        <v>87</v>
      </c>
      <c r="BI242" s="207" t="s">
        <v>2075</v>
      </c>
      <c r="BJ242" s="207"/>
      <c r="BK242" s="206">
        <v>42355</v>
      </c>
      <c r="BL242" s="206">
        <v>42426</v>
      </c>
      <c r="BM242" s="206"/>
      <c r="BN242" s="206"/>
      <c r="BO242" s="211"/>
      <c r="BP242" s="207"/>
      <c r="BQ242" s="207"/>
      <c r="BR242" s="206"/>
      <c r="BS242" s="206"/>
      <c r="BT242" s="212"/>
      <c r="BU242" s="212"/>
      <c r="BV242" s="206"/>
      <c r="BW242" s="212"/>
      <c r="BX242" s="206"/>
      <c r="BY242" s="212"/>
      <c r="BZ242" s="206"/>
      <c r="CA242" s="206">
        <v>42482</v>
      </c>
      <c r="CB242" s="213" t="s">
        <v>134</v>
      </c>
      <c r="CC242" s="212"/>
      <c r="CD242" s="212">
        <v>112500000</v>
      </c>
      <c r="CE242" s="212"/>
      <c r="CF242" s="212"/>
      <c r="CG242" s="212">
        <v>112500000</v>
      </c>
      <c r="CH242" s="200"/>
      <c r="CI242" s="212"/>
      <c r="CJ242" s="255" t="s">
        <v>416</v>
      </c>
    </row>
    <row r="243" spans="1:249" s="503" customFormat="1" ht="14.1" hidden="1" customHeight="1">
      <c r="A243" s="483" t="s">
        <v>3424</v>
      </c>
      <c r="B243" s="478" t="s">
        <v>3421</v>
      </c>
      <c r="C243" s="521" t="s">
        <v>3435</v>
      </c>
      <c r="D243" s="521" t="s">
        <v>3435</v>
      </c>
      <c r="E243" s="500">
        <v>8400000</v>
      </c>
      <c r="F243" s="251" t="s">
        <v>3184</v>
      </c>
      <c r="G243" s="501"/>
      <c r="H243" s="502"/>
      <c r="J243" s="199">
        <v>231</v>
      </c>
      <c r="K243" s="200"/>
      <c r="L243" s="200" t="s">
        <v>636</v>
      </c>
      <c r="M243" s="201" t="s">
        <v>138</v>
      </c>
      <c r="N243" s="536"/>
      <c r="O243" s="202">
        <v>1</v>
      </c>
      <c r="P243" s="201" t="s">
        <v>164</v>
      </c>
      <c r="Q243" s="201" t="s">
        <v>203</v>
      </c>
      <c r="R243" s="201" t="s">
        <v>2076</v>
      </c>
      <c r="S243" s="201" t="s">
        <v>2077</v>
      </c>
      <c r="T243" s="201" t="s">
        <v>220</v>
      </c>
      <c r="U243" s="203">
        <v>33.11</v>
      </c>
      <c r="V243" s="203">
        <v>49.59</v>
      </c>
      <c r="W243" s="204"/>
      <c r="X243" s="205"/>
      <c r="Y243" s="203"/>
      <c r="Z243" s="206">
        <v>41859</v>
      </c>
      <c r="AA243" s="206" t="s">
        <v>79</v>
      </c>
      <c r="AB243" s="207">
        <v>1</v>
      </c>
      <c r="AC243" s="208" t="s">
        <v>80</v>
      </c>
      <c r="AD243" s="209">
        <v>14400000</v>
      </c>
      <c r="AE243" s="209">
        <v>14400000</v>
      </c>
      <c r="AF243" s="207"/>
      <c r="AG243" s="207"/>
      <c r="AH243" s="209"/>
      <c r="AI243" s="207"/>
      <c r="AJ243" s="208"/>
      <c r="AK243" s="209"/>
      <c r="AL243" s="209"/>
      <c r="AM243" s="206"/>
      <c r="AN243" s="207"/>
      <c r="AO243" s="208"/>
      <c r="AP243" s="209"/>
      <c r="AQ243" s="209"/>
      <c r="AR243" s="207"/>
      <c r="AS243" s="207"/>
      <c r="AT243" s="209"/>
      <c r="AU243" s="209"/>
      <c r="AV243" s="209"/>
      <c r="AW243" s="466" t="s">
        <v>1313</v>
      </c>
      <c r="AX243" s="466" t="s">
        <v>1313</v>
      </c>
      <c r="AY243" s="466" t="s">
        <v>1313</v>
      </c>
      <c r="AZ243" s="466" t="s">
        <v>1313</v>
      </c>
      <c r="BA243" s="466" t="s">
        <v>1313</v>
      </c>
      <c r="BB243" s="466" t="s">
        <v>1313</v>
      </c>
      <c r="BC243" s="207" t="s">
        <v>82</v>
      </c>
      <c r="BD243" s="210"/>
      <c r="BE243" s="210"/>
      <c r="BF243" s="207"/>
      <c r="BG243" s="207"/>
      <c r="BH243" s="207"/>
      <c r="BI243" s="207"/>
      <c r="BJ243" s="207"/>
      <c r="BK243" s="206"/>
      <c r="BL243" s="206"/>
      <c r="BM243" s="206"/>
      <c r="BN243" s="206"/>
      <c r="BO243" s="211"/>
      <c r="BP243" s="207"/>
      <c r="BQ243" s="207"/>
      <c r="BR243" s="206"/>
      <c r="BS243" s="206"/>
      <c r="BT243" s="212"/>
      <c r="BU243" s="212"/>
      <c r="BV243" s="206"/>
      <c r="BW243" s="212"/>
      <c r="BX243" s="206"/>
      <c r="BY243" s="212"/>
      <c r="BZ243" s="206"/>
      <c r="CA243" s="206">
        <v>41856</v>
      </c>
      <c r="CB243" s="213" t="s">
        <v>1388</v>
      </c>
      <c r="CC243" s="212"/>
      <c r="CD243" s="212">
        <v>40000000</v>
      </c>
      <c r="CE243" s="212"/>
      <c r="CF243" s="212"/>
      <c r="CG243" s="212">
        <v>40000000</v>
      </c>
      <c r="CH243" s="200"/>
      <c r="CI243" s="212"/>
      <c r="CJ243" s="255" t="s">
        <v>416</v>
      </c>
    </row>
    <row r="244" spans="1:249" s="503" customFormat="1" ht="14.1" hidden="1" customHeight="1" thickBot="1">
      <c r="A244" s="483" t="s">
        <v>3424</v>
      </c>
      <c r="B244" s="479" t="s">
        <v>3422</v>
      </c>
      <c r="C244" s="480" t="s">
        <v>3434</v>
      </c>
      <c r="D244" s="518" t="s">
        <v>3434</v>
      </c>
      <c r="E244" s="504">
        <v>2992000000</v>
      </c>
      <c r="F244" s="480" t="s">
        <v>3185</v>
      </c>
      <c r="G244" s="505"/>
      <c r="H244" s="506"/>
      <c r="J244" s="318">
        <v>232</v>
      </c>
      <c r="K244" s="319"/>
      <c r="L244" s="319" t="s">
        <v>637</v>
      </c>
      <c r="M244" s="320" t="s">
        <v>682</v>
      </c>
      <c r="N244" s="537"/>
      <c r="O244" s="321">
        <v>1</v>
      </c>
      <c r="P244" s="320" t="s">
        <v>243</v>
      </c>
      <c r="Q244" s="320" t="s">
        <v>2078</v>
      </c>
      <c r="R244" s="320" t="s">
        <v>2079</v>
      </c>
      <c r="S244" s="320" t="s">
        <v>2080</v>
      </c>
      <c r="T244" s="320" t="s">
        <v>96</v>
      </c>
      <c r="U244" s="322">
        <v>3327</v>
      </c>
      <c r="V244" s="322">
        <v>4072.45</v>
      </c>
      <c r="W244" s="323">
        <v>13</v>
      </c>
      <c r="X244" s="324" t="s">
        <v>97</v>
      </c>
      <c r="Y244" s="322"/>
      <c r="Z244" s="325">
        <v>41565</v>
      </c>
      <c r="AA244" s="325" t="s">
        <v>79</v>
      </c>
      <c r="AB244" s="327">
        <v>1</v>
      </c>
      <c r="AC244" s="326" t="s">
        <v>80</v>
      </c>
      <c r="AD244" s="328">
        <v>4200000000</v>
      </c>
      <c r="AE244" s="328">
        <v>4200000000</v>
      </c>
      <c r="AF244" s="327"/>
      <c r="AG244" s="327"/>
      <c r="AH244" s="328"/>
      <c r="AI244" s="327"/>
      <c r="AJ244" s="326"/>
      <c r="AK244" s="328"/>
      <c r="AL244" s="328"/>
      <c r="AM244" s="325"/>
      <c r="AN244" s="327"/>
      <c r="AO244" s="326"/>
      <c r="AP244" s="328"/>
      <c r="AQ244" s="328"/>
      <c r="AR244" s="327"/>
      <c r="AS244" s="327"/>
      <c r="AT244" s="328"/>
      <c r="AU244" s="328"/>
      <c r="AV244" s="328"/>
      <c r="AW244" s="467" t="s">
        <v>1313</v>
      </c>
      <c r="AX244" s="467" t="s">
        <v>1313</v>
      </c>
      <c r="AY244" s="467" t="s">
        <v>1313</v>
      </c>
      <c r="AZ244" s="467" t="s">
        <v>1313</v>
      </c>
      <c r="BA244" s="467" t="s">
        <v>1313</v>
      </c>
      <c r="BB244" s="467" t="s">
        <v>1313</v>
      </c>
      <c r="BC244" s="327" t="s">
        <v>82</v>
      </c>
      <c r="BD244" s="329"/>
      <c r="BE244" s="329"/>
      <c r="BF244" s="327"/>
      <c r="BG244" s="327"/>
      <c r="BH244" s="327"/>
      <c r="BI244" s="327"/>
      <c r="BJ244" s="327"/>
      <c r="BK244" s="325"/>
      <c r="BL244" s="325"/>
      <c r="BM244" s="325"/>
      <c r="BN244" s="325"/>
      <c r="BO244" s="330"/>
      <c r="BP244" s="327"/>
      <c r="BQ244" s="327"/>
      <c r="BR244" s="325"/>
      <c r="BS244" s="325"/>
      <c r="BT244" s="331"/>
      <c r="BU244" s="331"/>
      <c r="BV244" s="325"/>
      <c r="BW244" s="331"/>
      <c r="BX244" s="325"/>
      <c r="BY244" s="331"/>
      <c r="BZ244" s="325"/>
      <c r="CA244" s="325" t="s">
        <v>2081</v>
      </c>
      <c r="CB244" s="333" t="s">
        <v>2082</v>
      </c>
      <c r="CC244" s="331">
        <v>555006000</v>
      </c>
      <c r="CD244" s="331">
        <v>1465786770</v>
      </c>
      <c r="CE244" s="331">
        <v>1530372000</v>
      </c>
      <c r="CF244" s="331"/>
      <c r="CG244" s="331">
        <v>3551164770</v>
      </c>
      <c r="CH244" s="319"/>
      <c r="CI244" s="331"/>
      <c r="CJ244" s="334" t="s">
        <v>2083</v>
      </c>
    </row>
    <row r="245" spans="1:249" s="503" customFormat="1" ht="15" customHeight="1">
      <c r="A245" s="483"/>
      <c r="I245" s="214"/>
      <c r="J245" s="214"/>
      <c r="K245" s="214"/>
      <c r="L245" s="214"/>
      <c r="M245" s="215"/>
      <c r="N245" s="538"/>
      <c r="O245" s="214"/>
      <c r="P245" s="216"/>
      <c r="Q245" s="217"/>
      <c r="R245" s="217"/>
      <c r="S245" s="217"/>
      <c r="T245" s="217"/>
      <c r="U245" s="217"/>
      <c r="V245" s="216"/>
      <c r="W245" s="216"/>
      <c r="X245" s="216"/>
      <c r="Y245" s="218"/>
      <c r="Z245" s="216"/>
      <c r="AA245" s="216"/>
      <c r="AB245" s="216"/>
      <c r="AC245" s="216"/>
      <c r="AD245" s="216"/>
      <c r="AE245" s="216"/>
      <c r="AF245" s="219"/>
      <c r="AG245" s="216"/>
      <c r="AH245" s="216"/>
      <c r="AI245" s="216"/>
      <c r="AJ245" s="216"/>
      <c r="AK245" s="216"/>
      <c r="AL245" s="216"/>
      <c r="AM245" s="219"/>
      <c r="AN245" s="219"/>
      <c r="AO245" s="219"/>
      <c r="AP245" s="219"/>
      <c r="AQ245" s="219"/>
      <c r="AR245" s="220"/>
      <c r="AS245" s="218"/>
      <c r="AT245" s="218"/>
      <c r="AU245" s="218"/>
      <c r="AV245" s="218"/>
      <c r="AW245" s="218"/>
      <c r="AX245" s="218"/>
      <c r="AY245" s="218"/>
      <c r="AZ245" s="221"/>
      <c r="BA245" s="221"/>
      <c r="BB245" s="221"/>
      <c r="BC245" s="221"/>
      <c r="BD245" s="221"/>
      <c r="BE245" s="221"/>
      <c r="BF245" s="218"/>
      <c r="BG245" s="221"/>
      <c r="BH245" s="221"/>
      <c r="BI245" s="221"/>
      <c r="BJ245" s="221"/>
      <c r="BK245" s="221"/>
      <c r="BL245" s="215"/>
      <c r="BM245" s="222"/>
      <c r="BN245" s="218"/>
      <c r="BO245" s="214"/>
      <c r="BP245" s="214"/>
      <c r="BQ245" s="214"/>
      <c r="BR245" s="214"/>
      <c r="BS245" s="214"/>
      <c r="BT245" s="214"/>
      <c r="BU245" s="214"/>
      <c r="BV245" s="214"/>
      <c r="BW245" s="214"/>
      <c r="BX245" s="214"/>
      <c r="BY245" s="214"/>
      <c r="BZ245" s="214"/>
      <c r="CA245" s="214"/>
      <c r="CB245" s="214"/>
      <c r="CC245" s="218"/>
      <c r="CD245" s="218"/>
      <c r="CE245" s="218"/>
      <c r="CF245" s="218"/>
      <c r="CG245" s="218"/>
      <c r="CH245" s="214"/>
      <c r="CI245" s="214"/>
      <c r="CJ245" s="220"/>
      <c r="CK245" s="485"/>
      <c r="CL245" s="485"/>
      <c r="CM245" s="485"/>
      <c r="CN245" s="485"/>
      <c r="CO245" s="485"/>
      <c r="CP245" s="485"/>
      <c r="CQ245" s="485"/>
      <c r="CR245" s="485"/>
      <c r="CS245" s="485"/>
      <c r="CT245" s="485"/>
      <c r="CU245" s="485"/>
      <c r="CV245" s="485"/>
      <c r="CW245" s="485"/>
      <c r="CX245" s="485"/>
      <c r="CY245" s="485"/>
      <c r="CZ245" s="485"/>
      <c r="DA245" s="485"/>
      <c r="DB245" s="485"/>
      <c r="DC245" s="485"/>
      <c r="DD245" s="485"/>
      <c r="DE245" s="485"/>
      <c r="DF245" s="485"/>
      <c r="DG245" s="485"/>
      <c r="DH245" s="485"/>
      <c r="DI245" s="485"/>
      <c r="DJ245" s="485"/>
      <c r="DK245" s="485"/>
      <c r="DL245" s="485"/>
      <c r="DM245" s="485"/>
      <c r="DN245" s="485"/>
      <c r="DO245" s="485"/>
      <c r="DP245" s="485"/>
      <c r="DQ245" s="485"/>
      <c r="DR245" s="485"/>
      <c r="DS245" s="485"/>
      <c r="DT245" s="485"/>
      <c r="DU245" s="485"/>
      <c r="DV245" s="485"/>
      <c r="DW245" s="485"/>
      <c r="DX245" s="485"/>
      <c r="DY245" s="485"/>
      <c r="DZ245" s="485"/>
      <c r="EA245" s="485"/>
      <c r="EB245" s="485"/>
      <c r="EC245" s="485"/>
      <c r="ED245" s="485"/>
      <c r="EE245" s="485"/>
      <c r="EF245" s="485"/>
      <c r="EG245" s="485"/>
      <c r="EH245" s="485"/>
      <c r="EI245" s="485"/>
      <c r="EJ245" s="485"/>
      <c r="EK245" s="485"/>
      <c r="EL245" s="485"/>
      <c r="EM245" s="485"/>
      <c r="EN245" s="485"/>
      <c r="EO245" s="485"/>
      <c r="EP245" s="485"/>
      <c r="EQ245" s="485"/>
      <c r="ER245" s="485"/>
      <c r="ES245" s="485"/>
      <c r="ET245" s="485"/>
      <c r="EU245" s="485"/>
      <c r="EV245" s="485"/>
      <c r="EW245" s="485"/>
      <c r="EX245" s="485"/>
      <c r="EY245" s="485"/>
      <c r="EZ245" s="485"/>
      <c r="FA245" s="485"/>
      <c r="FB245" s="485"/>
      <c r="FC245" s="485"/>
      <c r="FD245" s="485"/>
      <c r="FE245" s="485"/>
      <c r="FF245" s="485"/>
      <c r="FG245" s="485"/>
      <c r="FH245" s="485"/>
      <c r="FI245" s="485"/>
      <c r="FJ245" s="485"/>
      <c r="FK245" s="485"/>
      <c r="FL245" s="485"/>
      <c r="FM245" s="485"/>
      <c r="FN245" s="485"/>
      <c r="FO245" s="485"/>
      <c r="FP245" s="485"/>
      <c r="FQ245" s="485"/>
      <c r="FR245" s="485"/>
      <c r="FS245" s="485"/>
      <c r="FT245" s="485"/>
      <c r="FU245" s="485"/>
      <c r="FV245" s="485"/>
      <c r="FW245" s="485"/>
      <c r="FX245" s="485"/>
      <c r="FY245" s="485"/>
      <c r="FZ245" s="485"/>
      <c r="GA245" s="485"/>
      <c r="GB245" s="485"/>
      <c r="GC245" s="485"/>
      <c r="GD245" s="485"/>
      <c r="GE245" s="485"/>
      <c r="GF245" s="485"/>
      <c r="GG245" s="485"/>
      <c r="GH245" s="485"/>
      <c r="GI245" s="485"/>
      <c r="GJ245" s="485"/>
      <c r="GK245" s="485"/>
      <c r="GL245" s="485"/>
      <c r="GM245" s="485"/>
      <c r="GN245" s="485"/>
      <c r="GO245" s="485"/>
      <c r="GP245" s="485"/>
      <c r="GQ245" s="485"/>
      <c r="GR245" s="485"/>
      <c r="GS245" s="485"/>
      <c r="GT245" s="485"/>
      <c r="GU245" s="485"/>
      <c r="GV245" s="485"/>
      <c r="GW245" s="485"/>
      <c r="GX245" s="485"/>
      <c r="GY245" s="485"/>
      <c r="GZ245" s="485"/>
      <c r="HA245" s="485"/>
      <c r="HB245" s="485"/>
      <c r="HC245" s="485"/>
      <c r="HD245" s="485"/>
      <c r="HE245" s="485"/>
      <c r="HF245" s="485"/>
      <c r="HG245" s="485"/>
      <c r="HH245" s="485"/>
      <c r="HI245" s="485"/>
      <c r="HJ245" s="485"/>
      <c r="HK245" s="485"/>
      <c r="HL245" s="485"/>
      <c r="HM245" s="485"/>
      <c r="HN245" s="485"/>
      <c r="HO245" s="485"/>
      <c r="HP245" s="485"/>
      <c r="HQ245" s="485"/>
      <c r="HR245" s="485"/>
      <c r="HS245" s="485"/>
      <c r="HT245" s="485"/>
      <c r="HU245" s="485"/>
      <c r="HV245" s="485"/>
      <c r="HW245" s="485"/>
      <c r="HX245" s="485"/>
      <c r="HY245" s="485"/>
      <c r="HZ245" s="485"/>
      <c r="IA245" s="485"/>
      <c r="IB245" s="485"/>
      <c r="IC245" s="485"/>
      <c r="ID245" s="485"/>
      <c r="IE245" s="485"/>
      <c r="IF245" s="485"/>
      <c r="IG245" s="485"/>
      <c r="IH245" s="485"/>
      <c r="II245" s="485"/>
      <c r="IJ245" s="485"/>
      <c r="IK245" s="485"/>
      <c r="IL245" s="485"/>
      <c r="IM245" s="485"/>
      <c r="IN245" s="485"/>
      <c r="IO245" s="485"/>
    </row>
    <row r="246" spans="1:249" s="499" customFormat="1" ht="13.5">
      <c r="A246" s="482"/>
      <c r="I246" s="214"/>
      <c r="J246" s="214"/>
      <c r="K246" s="214"/>
      <c r="L246" s="214"/>
      <c r="M246" s="215"/>
      <c r="N246" s="538"/>
      <c r="O246" s="214"/>
      <c r="P246" s="216"/>
      <c r="Q246" s="217"/>
      <c r="R246" s="217"/>
      <c r="S246" s="217"/>
      <c r="T246" s="217"/>
      <c r="U246" s="217"/>
      <c r="V246" s="216"/>
      <c r="W246" s="216"/>
      <c r="X246" s="216"/>
      <c r="Y246" s="218"/>
      <c r="Z246" s="216"/>
      <c r="AA246" s="216"/>
      <c r="AB246" s="216"/>
      <c r="AC246" s="216"/>
      <c r="AD246" s="216"/>
      <c r="AE246" s="216"/>
      <c r="AF246" s="219"/>
      <c r="AG246" s="216"/>
      <c r="AH246" s="216"/>
      <c r="AI246" s="216"/>
      <c r="AJ246" s="216"/>
      <c r="AK246" s="216"/>
      <c r="AL246" s="216"/>
      <c r="AM246" s="219"/>
      <c r="AN246" s="219"/>
      <c r="AO246" s="219"/>
      <c r="AP246" s="219"/>
      <c r="AQ246" s="219"/>
      <c r="AR246" s="220"/>
      <c r="AS246" s="218"/>
      <c r="AT246" s="218"/>
      <c r="AU246" s="218"/>
      <c r="AV246" s="218"/>
      <c r="AW246" s="218"/>
      <c r="AX246" s="218"/>
      <c r="AY246" s="218"/>
      <c r="AZ246" s="218"/>
      <c r="BA246" s="218"/>
      <c r="BB246" s="218"/>
      <c r="BC246" s="221"/>
      <c r="BD246" s="221"/>
      <c r="BE246" s="221"/>
      <c r="BF246" s="218"/>
      <c r="BG246" s="221"/>
      <c r="BH246" s="221"/>
      <c r="BI246" s="221"/>
      <c r="BJ246" s="221"/>
      <c r="BK246" s="221"/>
      <c r="BL246" s="215"/>
      <c r="BM246" s="222"/>
      <c r="BN246" s="218"/>
      <c r="BO246" s="214"/>
      <c r="BP246" s="214"/>
      <c r="BQ246" s="214"/>
      <c r="BR246" s="214"/>
      <c r="BS246" s="214"/>
      <c r="BT246" s="214"/>
      <c r="BU246" s="214"/>
      <c r="BV246" s="214"/>
      <c r="BW246" s="214"/>
      <c r="BX246" s="214"/>
      <c r="BY246" s="214"/>
      <c r="BZ246" s="214"/>
      <c r="CA246" s="214"/>
      <c r="CB246" s="214"/>
      <c r="CC246" s="214"/>
      <c r="CD246" s="214"/>
      <c r="CE246" s="214"/>
      <c r="CF246" s="214"/>
      <c r="CG246" s="214"/>
      <c r="CH246" s="214"/>
      <c r="CI246" s="214"/>
      <c r="CJ246" s="220"/>
      <c r="CK246" s="485"/>
      <c r="CL246" s="485"/>
      <c r="CM246" s="485"/>
      <c r="CN246" s="485"/>
      <c r="CO246" s="485"/>
      <c r="CP246" s="485"/>
      <c r="CQ246" s="485"/>
      <c r="CR246" s="485"/>
      <c r="CS246" s="485"/>
      <c r="CT246" s="485"/>
      <c r="CU246" s="485"/>
      <c r="CV246" s="485"/>
      <c r="CW246" s="485"/>
      <c r="CX246" s="485"/>
      <c r="CY246" s="485"/>
      <c r="CZ246" s="485"/>
      <c r="DA246" s="485"/>
      <c r="DB246" s="485"/>
      <c r="DC246" s="485"/>
      <c r="DD246" s="485"/>
      <c r="DE246" s="485"/>
      <c r="DF246" s="485"/>
      <c r="DG246" s="485"/>
      <c r="DH246" s="485"/>
      <c r="DI246" s="485"/>
      <c r="DJ246" s="485"/>
      <c r="DK246" s="485"/>
      <c r="DL246" s="485"/>
      <c r="DM246" s="485"/>
      <c r="DN246" s="485"/>
      <c r="DO246" s="485"/>
      <c r="DP246" s="485"/>
      <c r="DQ246" s="485"/>
      <c r="DR246" s="485"/>
      <c r="DS246" s="485"/>
      <c r="DT246" s="485"/>
      <c r="DU246" s="485"/>
      <c r="DV246" s="485"/>
      <c r="DW246" s="485"/>
      <c r="DX246" s="485"/>
      <c r="DY246" s="485"/>
      <c r="DZ246" s="485"/>
      <c r="EA246" s="485"/>
      <c r="EB246" s="485"/>
      <c r="EC246" s="485"/>
      <c r="ED246" s="485"/>
      <c r="EE246" s="485"/>
      <c r="EF246" s="485"/>
      <c r="EG246" s="485"/>
      <c r="EH246" s="485"/>
      <c r="EI246" s="485"/>
      <c r="EJ246" s="485"/>
      <c r="EK246" s="485"/>
      <c r="EL246" s="485"/>
      <c r="EM246" s="485"/>
      <c r="EN246" s="485"/>
      <c r="EO246" s="485"/>
      <c r="EP246" s="485"/>
      <c r="EQ246" s="485"/>
      <c r="ER246" s="485"/>
      <c r="ES246" s="485"/>
      <c r="ET246" s="485"/>
      <c r="EU246" s="485"/>
      <c r="EV246" s="485"/>
      <c r="EW246" s="485"/>
      <c r="EX246" s="485"/>
      <c r="EY246" s="485"/>
      <c r="EZ246" s="485"/>
      <c r="FA246" s="485"/>
      <c r="FB246" s="485"/>
      <c r="FC246" s="485"/>
      <c r="FD246" s="485"/>
      <c r="FE246" s="485"/>
      <c r="FF246" s="485"/>
      <c r="FG246" s="485"/>
      <c r="FH246" s="485"/>
      <c r="FI246" s="485"/>
      <c r="FJ246" s="485"/>
      <c r="FK246" s="485"/>
      <c r="FL246" s="485"/>
      <c r="FM246" s="485"/>
      <c r="FN246" s="485"/>
      <c r="FO246" s="485"/>
      <c r="FP246" s="485"/>
      <c r="FQ246" s="485"/>
      <c r="FR246" s="485"/>
      <c r="FS246" s="485"/>
      <c r="FT246" s="485"/>
      <c r="FU246" s="485"/>
      <c r="FV246" s="485"/>
      <c r="FW246" s="485"/>
      <c r="FX246" s="485"/>
      <c r="FY246" s="485"/>
      <c r="FZ246" s="485"/>
      <c r="GA246" s="485"/>
      <c r="GB246" s="485"/>
      <c r="GC246" s="485"/>
      <c r="GD246" s="485"/>
      <c r="GE246" s="485"/>
      <c r="GF246" s="485"/>
      <c r="GG246" s="485"/>
      <c r="GH246" s="485"/>
      <c r="GI246" s="485"/>
      <c r="GJ246" s="485"/>
      <c r="GK246" s="485"/>
      <c r="GL246" s="485"/>
      <c r="GM246" s="485"/>
      <c r="GN246" s="485"/>
      <c r="GO246" s="485"/>
      <c r="GP246" s="485"/>
      <c r="GQ246" s="485"/>
      <c r="GR246" s="485"/>
      <c r="GS246" s="485"/>
      <c r="GT246" s="485"/>
      <c r="GU246" s="485"/>
      <c r="GV246" s="485"/>
      <c r="GW246" s="485"/>
      <c r="GX246" s="485"/>
      <c r="GY246" s="485"/>
      <c r="GZ246" s="485"/>
      <c r="HA246" s="485"/>
      <c r="HB246" s="485"/>
      <c r="HC246" s="485"/>
      <c r="HD246" s="485"/>
      <c r="HE246" s="485"/>
      <c r="HF246" s="485"/>
      <c r="HG246" s="485"/>
      <c r="HH246" s="485"/>
      <c r="HI246" s="485"/>
      <c r="HJ246" s="485"/>
      <c r="HK246" s="485"/>
      <c r="HL246" s="485"/>
      <c r="HM246" s="485"/>
      <c r="HN246" s="485"/>
      <c r="HO246" s="485"/>
      <c r="HP246" s="485"/>
      <c r="HQ246" s="485"/>
      <c r="HR246" s="485"/>
      <c r="HS246" s="485"/>
      <c r="HT246" s="485"/>
      <c r="HU246" s="485"/>
      <c r="HV246" s="485"/>
      <c r="HW246" s="485"/>
      <c r="HX246" s="485"/>
      <c r="HY246" s="485"/>
      <c r="HZ246" s="485"/>
      <c r="IA246" s="485"/>
      <c r="IB246" s="485"/>
      <c r="IC246" s="485"/>
      <c r="ID246" s="485"/>
      <c r="IE246" s="485"/>
      <c r="IF246" s="485"/>
      <c r="IG246" s="485"/>
      <c r="IH246" s="485"/>
      <c r="II246" s="485"/>
      <c r="IJ246" s="485"/>
      <c r="IK246" s="485"/>
      <c r="IL246" s="485"/>
      <c r="IM246" s="485"/>
      <c r="IN246" s="485"/>
      <c r="IO246" s="485"/>
    </row>
    <row r="247" spans="1:249" ht="14.1" customHeight="1">
      <c r="AZ247" s="218"/>
      <c r="BA247" s="218"/>
      <c r="BB247" s="218"/>
      <c r="CC247" s="214"/>
      <c r="CD247" s="214"/>
      <c r="CE247" s="214"/>
      <c r="CF247" s="214"/>
      <c r="CG247" s="214"/>
    </row>
    <row r="248" spans="1:249" ht="14.1" customHeight="1">
      <c r="AZ248" s="218"/>
      <c r="BA248" s="218"/>
      <c r="BB248" s="218"/>
      <c r="CC248" s="214"/>
      <c r="CD248" s="214"/>
      <c r="CE248" s="214"/>
      <c r="CF248" s="214"/>
      <c r="CG248" s="214"/>
    </row>
  </sheetData>
  <autoFilter ref="B12:CJ244">
    <filterColumn colId="10">
      <filters>
        <filter val="R-001"/>
      </filters>
    </filterColumn>
  </autoFilter>
  <mergeCells count="4">
    <mergeCell ref="U9:Y9"/>
    <mergeCell ref="Z9:AM9"/>
    <mergeCell ref="AN9:BB9"/>
    <mergeCell ref="BC9:BZ9"/>
  </mergeCells>
  <phoneticPr fontId="4" type="noConversion"/>
  <conditionalFormatting sqref="K2:K6">
    <cfRule type="top10" dxfId="11" priority="4" rank="1"/>
  </conditionalFormatting>
  <conditionalFormatting sqref="L2:L6">
    <cfRule type="top10" dxfId="10" priority="3" rank="1"/>
  </conditionalFormatting>
  <conditionalFormatting sqref="N2:N6">
    <cfRule type="top10" dxfId="9" priority="2" rank="1"/>
  </conditionalFormatting>
  <conditionalFormatting sqref="M2:M6">
    <cfRule type="top10" dxfId="8" priority="5" rank="1"/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FF0000"/>
  </sheetPr>
  <dimension ref="A1:AH365"/>
  <sheetViews>
    <sheetView showGridLines="0" workbookViewId="0">
      <selection activeCell="M12" sqref="M12:M18"/>
    </sheetView>
  </sheetViews>
  <sheetFormatPr defaultColWidth="9" defaultRowHeight="14.1" customHeight="1"/>
  <cols>
    <col min="1" max="1" width="3" style="234" customWidth="1"/>
    <col min="2" max="2" width="8" style="235" customWidth="1"/>
    <col min="3" max="3" width="11.375" style="235" customWidth="1"/>
    <col min="4" max="4" width="10.5" style="235" bestFit="1" customWidth="1"/>
    <col min="5" max="5" width="16.625" style="235" customWidth="1"/>
    <col min="6" max="6" width="7.25" style="235" customWidth="1"/>
    <col min="7" max="7" width="8.25" style="235" customWidth="1"/>
    <col min="8" max="9" width="12.625" style="235" customWidth="1"/>
    <col min="10" max="10" width="19" style="236" customWidth="1"/>
    <col min="11" max="11" width="47" style="237" customWidth="1"/>
    <col min="12" max="12" width="17.875" style="238" customWidth="1"/>
    <col min="13" max="14" width="16.125" style="238" customWidth="1"/>
    <col min="15" max="15" width="13.875" style="238" customWidth="1"/>
    <col min="16" max="16" width="21.625" style="238" customWidth="1"/>
    <col min="17" max="17" width="25.75" style="239" customWidth="1"/>
    <col min="18" max="18" width="29.625" style="235" customWidth="1"/>
    <col min="19" max="19" width="21.625" style="240" customWidth="1"/>
    <col min="20" max="20" width="8" style="235" bestFit="1" customWidth="1"/>
    <col min="21" max="21" width="8.25" style="235" customWidth="1"/>
    <col min="22" max="23" width="15.625" style="235" customWidth="1"/>
    <col min="24" max="24" width="9.75" style="235" customWidth="1"/>
    <col min="25" max="25" width="9.625" style="235" customWidth="1"/>
    <col min="26" max="27" width="15.625" style="235" customWidth="1"/>
    <col min="28" max="29" width="8.625" style="235" customWidth="1"/>
    <col min="30" max="31" width="15.625" style="235" customWidth="1"/>
    <col min="32" max="32" width="15.25" style="235" customWidth="1"/>
    <col min="33" max="33" width="15.625" style="241" customWidth="1"/>
    <col min="34" max="34" width="50.625" style="235" customWidth="1"/>
    <col min="35" max="16384" width="9" style="235"/>
  </cols>
  <sheetData>
    <row r="1" spans="1:34" s="165" customFormat="1" ht="20.100000000000001" customHeight="1">
      <c r="A1" s="155"/>
      <c r="B1" s="156"/>
      <c r="C1" s="156"/>
      <c r="D1" s="157"/>
      <c r="E1" s="158"/>
      <c r="F1" s="159"/>
      <c r="G1" s="159"/>
      <c r="H1" s="159"/>
      <c r="I1" s="160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61"/>
      <c r="V1" s="162"/>
      <c r="W1" s="163"/>
      <c r="X1" s="164"/>
      <c r="Y1" s="164"/>
      <c r="Z1" s="164"/>
      <c r="AA1" s="164"/>
      <c r="AB1" s="164"/>
    </row>
    <row r="2" spans="1:34" s="165" customFormat="1" ht="31.5" customHeight="1">
      <c r="A2" s="155"/>
      <c r="B2" s="166" t="s">
        <v>2084</v>
      </c>
      <c r="C2" s="167"/>
      <c r="D2" s="168"/>
      <c r="E2" s="168"/>
      <c r="F2" s="169"/>
      <c r="G2" s="170"/>
      <c r="H2" s="170"/>
      <c r="I2" s="170"/>
      <c r="J2" s="171"/>
      <c r="K2" s="172"/>
      <c r="L2" s="173"/>
      <c r="M2" s="173"/>
      <c r="N2" s="173"/>
      <c r="O2" s="158"/>
      <c r="P2" s="158"/>
      <c r="Q2" s="158"/>
      <c r="R2" s="158"/>
      <c r="S2" s="158"/>
      <c r="T2" s="158"/>
      <c r="U2" s="161"/>
      <c r="V2" s="162"/>
      <c r="W2" s="163"/>
      <c r="X2" s="164"/>
      <c r="Y2" s="164"/>
      <c r="Z2" s="164"/>
      <c r="AA2" s="164"/>
      <c r="AB2" s="164"/>
    </row>
    <row r="3" spans="1:34" s="180" customFormat="1" ht="20.100000000000001" customHeight="1">
      <c r="A3" s="174"/>
      <c r="B3" s="175" t="s">
        <v>245</v>
      </c>
      <c r="C3" s="176"/>
      <c r="D3" s="162"/>
      <c r="E3" s="177"/>
      <c r="F3" s="177"/>
      <c r="G3" s="169"/>
      <c r="H3" s="169"/>
      <c r="I3" s="169"/>
      <c r="J3" s="169"/>
      <c r="K3" s="169"/>
      <c r="L3" s="178"/>
      <c r="M3" s="178"/>
      <c r="N3" s="178"/>
      <c r="O3" s="178"/>
      <c r="P3" s="178"/>
      <c r="Q3" s="178"/>
      <c r="R3" s="178"/>
      <c r="S3" s="158"/>
      <c r="T3" s="178"/>
      <c r="U3" s="178"/>
      <c r="V3" s="162"/>
      <c r="W3" s="177"/>
      <c r="X3" s="179"/>
      <c r="Y3" s="179"/>
      <c r="Z3" s="179"/>
      <c r="AA3" s="179"/>
      <c r="AB3" s="179"/>
    </row>
    <row r="4" spans="1:34" s="180" customFormat="1" ht="20.100000000000001" customHeight="1">
      <c r="A4" s="174"/>
      <c r="B4" s="175" t="s">
        <v>246</v>
      </c>
      <c r="C4" s="176"/>
      <c r="D4" s="168"/>
      <c r="E4" s="177"/>
      <c r="F4" s="177" t="s">
        <v>192</v>
      </c>
      <c r="G4" s="169"/>
      <c r="H4" s="160"/>
      <c r="I4" s="160"/>
      <c r="J4" s="160"/>
      <c r="K4" s="160"/>
      <c r="L4" s="178"/>
      <c r="M4" s="178"/>
      <c r="N4" s="178"/>
      <c r="O4" s="178"/>
      <c r="P4" s="178"/>
      <c r="Q4" s="178"/>
      <c r="R4" s="178"/>
      <c r="S4" s="178"/>
      <c r="T4" s="178"/>
      <c r="U4" s="181"/>
      <c r="V4" s="162"/>
      <c r="W4" s="177"/>
      <c r="X4" s="179"/>
      <c r="Y4" s="179"/>
      <c r="Z4" s="179"/>
      <c r="AA4" s="179"/>
      <c r="AB4" s="179"/>
    </row>
    <row r="5" spans="1:34" s="165" customFormat="1" ht="20.100000000000001" customHeight="1" thickBot="1">
      <c r="A5" s="155"/>
      <c r="B5" s="155"/>
      <c r="C5" s="182"/>
      <c r="D5" s="183"/>
      <c r="E5" s="183"/>
      <c r="F5" s="184"/>
      <c r="G5" s="172"/>
      <c r="H5" s="172"/>
      <c r="I5" s="172"/>
      <c r="J5" s="185"/>
      <c r="K5" s="185"/>
      <c r="L5" s="185"/>
      <c r="M5" s="185"/>
      <c r="N5" s="185"/>
      <c r="O5" s="185"/>
      <c r="P5" s="185"/>
      <c r="Q5" s="185"/>
      <c r="R5" s="185"/>
      <c r="S5" s="185"/>
      <c r="T5" s="185"/>
      <c r="U5" s="186"/>
      <c r="V5" s="162"/>
      <c r="W5" s="163"/>
      <c r="X5" s="164"/>
      <c r="Y5" s="164"/>
      <c r="Z5" s="164"/>
      <c r="AA5" s="164"/>
      <c r="AB5" s="164"/>
    </row>
    <row r="6" spans="1:34" s="224" customFormat="1" ht="13.5" customHeight="1">
      <c r="B6" s="420" t="s">
        <v>2</v>
      </c>
      <c r="C6" s="421"/>
      <c r="D6" s="421"/>
      <c r="E6" s="422"/>
      <c r="F6" s="420" t="s">
        <v>2085</v>
      </c>
      <c r="G6" s="421"/>
      <c r="H6" s="421"/>
      <c r="I6" s="421"/>
      <c r="J6" s="421"/>
      <c r="K6" s="421"/>
      <c r="L6" s="423"/>
      <c r="M6" s="420" t="s">
        <v>2086</v>
      </c>
      <c r="N6" s="424"/>
      <c r="O6" s="424"/>
      <c r="P6" s="424"/>
      <c r="Q6" s="425"/>
      <c r="R6" s="420" t="s">
        <v>2087</v>
      </c>
      <c r="S6" s="425"/>
      <c r="T6" s="420" t="s">
        <v>2088</v>
      </c>
      <c r="U6" s="426"/>
      <c r="V6" s="426"/>
      <c r="W6" s="426"/>
      <c r="X6" s="426"/>
      <c r="Y6" s="426"/>
      <c r="Z6" s="426"/>
      <c r="AA6" s="427"/>
      <c r="AB6" s="420" t="s">
        <v>46</v>
      </c>
      <c r="AC6" s="424"/>
      <c r="AD6" s="424"/>
      <c r="AE6" s="424"/>
      <c r="AF6" s="428"/>
      <c r="AG6" s="425"/>
      <c r="AH6" s="429" t="s">
        <v>49</v>
      </c>
    </row>
    <row r="7" spans="1:34" s="224" customFormat="1" ht="13.5" customHeight="1">
      <c r="B7" s="191">
        <v>1</v>
      </c>
      <c r="C7" s="225">
        <v>2</v>
      </c>
      <c r="D7" s="225">
        <v>3</v>
      </c>
      <c r="E7" s="430">
        <v>4</v>
      </c>
      <c r="F7" s="191">
        <v>5</v>
      </c>
      <c r="G7" s="225">
        <v>6</v>
      </c>
      <c r="H7" s="225">
        <v>7</v>
      </c>
      <c r="I7" s="225">
        <v>8</v>
      </c>
      <c r="J7" s="225">
        <v>9</v>
      </c>
      <c r="K7" s="225">
        <v>10</v>
      </c>
      <c r="L7" s="226">
        <v>11</v>
      </c>
      <c r="M7" s="191">
        <v>12</v>
      </c>
      <c r="N7" s="225">
        <v>13</v>
      </c>
      <c r="O7" s="225">
        <v>14</v>
      </c>
      <c r="P7" s="225">
        <v>15</v>
      </c>
      <c r="Q7" s="226">
        <v>16</v>
      </c>
      <c r="R7" s="191">
        <v>17</v>
      </c>
      <c r="S7" s="226">
        <v>18</v>
      </c>
      <c r="T7" s="191">
        <v>19</v>
      </c>
      <c r="U7" s="225">
        <v>20</v>
      </c>
      <c r="V7" s="225">
        <v>21</v>
      </c>
      <c r="W7" s="225">
        <v>22</v>
      </c>
      <c r="X7" s="225">
        <v>23</v>
      </c>
      <c r="Y7" s="225">
        <v>24</v>
      </c>
      <c r="Z7" s="225">
        <v>25</v>
      </c>
      <c r="AA7" s="226">
        <v>26</v>
      </c>
      <c r="AB7" s="191">
        <v>27</v>
      </c>
      <c r="AC7" s="225">
        <v>28</v>
      </c>
      <c r="AD7" s="225">
        <v>29</v>
      </c>
      <c r="AE7" s="225">
        <v>30</v>
      </c>
      <c r="AF7" s="430">
        <v>31</v>
      </c>
      <c r="AG7" s="226">
        <v>32</v>
      </c>
      <c r="AH7" s="431">
        <v>33</v>
      </c>
    </row>
    <row r="8" spans="1:34" s="232" customFormat="1" ht="36">
      <c r="B8" s="227" t="s">
        <v>20</v>
      </c>
      <c r="C8" s="228" t="s">
        <v>21</v>
      </c>
      <c r="D8" s="559" t="s">
        <v>2089</v>
      </c>
      <c r="E8" s="560" t="s">
        <v>23</v>
      </c>
      <c r="F8" s="561" t="s">
        <v>2090</v>
      </c>
      <c r="G8" s="229" t="s">
        <v>2091</v>
      </c>
      <c r="H8" s="553" t="s">
        <v>247</v>
      </c>
      <c r="I8" s="553" t="s">
        <v>248</v>
      </c>
      <c r="J8" s="553" t="s">
        <v>249</v>
      </c>
      <c r="K8" s="553" t="s">
        <v>250</v>
      </c>
      <c r="L8" s="554" t="s">
        <v>2092</v>
      </c>
      <c r="M8" s="555" t="s">
        <v>2093</v>
      </c>
      <c r="N8" s="553" t="s">
        <v>2094</v>
      </c>
      <c r="O8" s="553" t="s">
        <v>2095</v>
      </c>
      <c r="P8" s="230" t="s">
        <v>251</v>
      </c>
      <c r="Q8" s="554" t="s">
        <v>252</v>
      </c>
      <c r="R8" s="555" t="s">
        <v>253</v>
      </c>
      <c r="S8" s="231" t="s">
        <v>2096</v>
      </c>
      <c r="T8" s="432" t="s">
        <v>254</v>
      </c>
      <c r="U8" s="230" t="s">
        <v>36</v>
      </c>
      <c r="V8" s="230" t="s">
        <v>255</v>
      </c>
      <c r="W8" s="230" t="s">
        <v>256</v>
      </c>
      <c r="X8" s="230" t="s">
        <v>257</v>
      </c>
      <c r="Y8" s="230" t="s">
        <v>2097</v>
      </c>
      <c r="Z8" s="230" t="s">
        <v>2098</v>
      </c>
      <c r="AA8" s="231" t="s">
        <v>2099</v>
      </c>
      <c r="AB8" s="432" t="s">
        <v>258</v>
      </c>
      <c r="AC8" s="230" t="s">
        <v>36</v>
      </c>
      <c r="AD8" s="230" t="s">
        <v>259</v>
      </c>
      <c r="AE8" s="230" t="s">
        <v>260</v>
      </c>
      <c r="AF8" s="196" t="s">
        <v>2100</v>
      </c>
      <c r="AG8" s="196" t="s">
        <v>52</v>
      </c>
      <c r="AH8" s="433" t="s">
        <v>261</v>
      </c>
    </row>
    <row r="9" spans="1:34" s="232" customFormat="1" ht="84.75" thickBot="1">
      <c r="B9" s="434" t="s">
        <v>24</v>
      </c>
      <c r="C9" s="435" t="s">
        <v>25</v>
      </c>
      <c r="D9" s="562" t="s">
        <v>26</v>
      </c>
      <c r="E9" s="563" t="s">
        <v>2101</v>
      </c>
      <c r="F9" s="558" t="s">
        <v>262</v>
      </c>
      <c r="G9" s="414" t="s">
        <v>263</v>
      </c>
      <c r="H9" s="556" t="s">
        <v>264</v>
      </c>
      <c r="I9" s="556" t="s">
        <v>265</v>
      </c>
      <c r="J9" s="556" t="s">
        <v>266</v>
      </c>
      <c r="K9" s="556" t="s">
        <v>267</v>
      </c>
      <c r="L9" s="557" t="s">
        <v>268</v>
      </c>
      <c r="M9" s="558" t="s">
        <v>269</v>
      </c>
      <c r="N9" s="556" t="s">
        <v>270</v>
      </c>
      <c r="O9" s="556" t="s">
        <v>271</v>
      </c>
      <c r="P9" s="414" t="s">
        <v>272</v>
      </c>
      <c r="Q9" s="557" t="s">
        <v>273</v>
      </c>
      <c r="R9" s="558" t="s">
        <v>274</v>
      </c>
      <c r="S9" s="417" t="s">
        <v>275</v>
      </c>
      <c r="T9" s="416" t="s">
        <v>276</v>
      </c>
      <c r="U9" s="414" t="s">
        <v>277</v>
      </c>
      <c r="V9" s="414" t="s">
        <v>278</v>
      </c>
      <c r="W9" s="414" t="s">
        <v>279</v>
      </c>
      <c r="X9" s="414" t="s">
        <v>280</v>
      </c>
      <c r="Y9" s="414" t="s">
        <v>2102</v>
      </c>
      <c r="Z9" s="414" t="s">
        <v>2103</v>
      </c>
      <c r="AA9" s="417" t="s">
        <v>2104</v>
      </c>
      <c r="AB9" s="416" t="s">
        <v>281</v>
      </c>
      <c r="AC9" s="414" t="s">
        <v>277</v>
      </c>
      <c r="AD9" s="414" t="s">
        <v>282</v>
      </c>
      <c r="AE9" s="414" t="s">
        <v>283</v>
      </c>
      <c r="AF9" s="409" t="s">
        <v>55</v>
      </c>
      <c r="AG9" s="409" t="s">
        <v>56</v>
      </c>
      <c r="AH9" s="436" t="s">
        <v>76</v>
      </c>
    </row>
    <row r="10" spans="1:34" s="198" customFormat="1" ht="14.1" hidden="1" customHeight="1">
      <c r="B10" s="199">
        <v>1</v>
      </c>
      <c r="C10" s="200"/>
      <c r="D10" s="200" t="s">
        <v>430</v>
      </c>
      <c r="E10" s="437" t="s">
        <v>208</v>
      </c>
      <c r="F10" s="200">
        <v>1</v>
      </c>
      <c r="G10" s="200">
        <v>1</v>
      </c>
      <c r="H10" s="201" t="s">
        <v>2131</v>
      </c>
      <c r="I10" s="201" t="s">
        <v>2132</v>
      </c>
      <c r="J10" s="201" t="s">
        <v>2133</v>
      </c>
      <c r="K10" s="201" t="s">
        <v>2134</v>
      </c>
      <c r="L10" s="201" t="s">
        <v>2135</v>
      </c>
      <c r="M10" s="233">
        <v>61080</v>
      </c>
      <c r="N10" s="233">
        <v>99.857399999999998</v>
      </c>
      <c r="O10" s="438"/>
      <c r="P10" s="60"/>
      <c r="Q10" s="441" t="s">
        <v>2136</v>
      </c>
      <c r="R10" s="200"/>
      <c r="S10" s="439" t="s">
        <v>208</v>
      </c>
      <c r="T10" s="200" t="s">
        <v>2118</v>
      </c>
      <c r="U10" s="208" t="s">
        <v>1059</v>
      </c>
      <c r="V10" s="252">
        <v>504000000</v>
      </c>
      <c r="W10" s="252">
        <v>504000000</v>
      </c>
      <c r="X10" s="200"/>
      <c r="Y10" s="209"/>
      <c r="Z10" s="209"/>
      <c r="AA10" s="209"/>
      <c r="AB10" s="200"/>
      <c r="AC10" s="209"/>
      <c r="AD10" s="209"/>
      <c r="AE10" s="209"/>
      <c r="AF10" s="209"/>
      <c r="AG10" s="440"/>
      <c r="AH10" s="255"/>
    </row>
    <row r="11" spans="1:34" s="198" customFormat="1" ht="14.1" hidden="1" customHeight="1">
      <c r="B11" s="199">
        <v>2</v>
      </c>
      <c r="C11" s="200"/>
      <c r="D11" s="200" t="s">
        <v>431</v>
      </c>
      <c r="E11" s="437" t="s">
        <v>186</v>
      </c>
      <c r="F11" s="200">
        <v>1</v>
      </c>
      <c r="G11" s="200">
        <v>1</v>
      </c>
      <c r="H11" s="201" t="s">
        <v>2107</v>
      </c>
      <c r="I11" s="201" t="s">
        <v>2141</v>
      </c>
      <c r="J11" s="201" t="s">
        <v>2142</v>
      </c>
      <c r="K11" s="201" t="s">
        <v>2143</v>
      </c>
      <c r="L11" s="201" t="s">
        <v>2144</v>
      </c>
      <c r="M11" s="233">
        <v>35217.4</v>
      </c>
      <c r="N11" s="233">
        <v>84.882999999999996</v>
      </c>
      <c r="O11" s="438"/>
      <c r="P11" s="60"/>
      <c r="Q11" s="441" t="s">
        <v>2145</v>
      </c>
      <c r="R11" s="200"/>
      <c r="S11" s="439" t="s">
        <v>186</v>
      </c>
      <c r="T11" s="200">
        <v>1</v>
      </c>
      <c r="U11" s="209" t="s">
        <v>1059</v>
      </c>
      <c r="V11" s="252">
        <v>84000000</v>
      </c>
      <c r="W11" s="252">
        <v>84000000</v>
      </c>
      <c r="X11" s="200"/>
      <c r="Y11" s="209"/>
      <c r="Z11" s="209"/>
      <c r="AA11" s="209"/>
      <c r="AB11" s="200"/>
      <c r="AC11" s="209"/>
      <c r="AD11" s="209"/>
      <c r="AE11" s="209"/>
      <c r="AF11" s="209"/>
      <c r="AG11" s="440"/>
      <c r="AH11" s="255"/>
    </row>
    <row r="12" spans="1:34" s="198" customFormat="1" ht="14.1" customHeight="1">
      <c r="B12" s="199">
        <v>3</v>
      </c>
      <c r="C12" s="200"/>
      <c r="D12" s="200" t="s">
        <v>432</v>
      </c>
      <c r="E12" s="437" t="s">
        <v>638</v>
      </c>
      <c r="F12" s="200">
        <v>1</v>
      </c>
      <c r="G12" s="200">
        <v>1</v>
      </c>
      <c r="H12" s="201" t="s">
        <v>2107</v>
      </c>
      <c r="I12" s="201" t="s">
        <v>2124</v>
      </c>
      <c r="J12" s="201" t="s">
        <v>2146</v>
      </c>
      <c r="K12" s="201" t="s">
        <v>2147</v>
      </c>
      <c r="L12" s="201" t="s">
        <v>2106</v>
      </c>
      <c r="M12" s="233">
        <v>846</v>
      </c>
      <c r="N12" s="233"/>
      <c r="O12" s="438"/>
      <c r="P12" s="60"/>
      <c r="Q12" s="200"/>
      <c r="R12" s="200"/>
      <c r="S12" s="439" t="s">
        <v>638</v>
      </c>
      <c r="T12" s="200">
        <v>1</v>
      </c>
      <c r="U12" s="209" t="s">
        <v>1059</v>
      </c>
      <c r="V12" s="252">
        <v>7320000000</v>
      </c>
      <c r="W12" s="252">
        <v>7320000000</v>
      </c>
      <c r="X12" s="200"/>
      <c r="Y12" s="209"/>
      <c r="Z12" s="209"/>
      <c r="AA12" s="209"/>
      <c r="AB12" s="200"/>
      <c r="AC12" s="209"/>
      <c r="AD12" s="209"/>
      <c r="AE12" s="209"/>
      <c r="AF12" s="209"/>
      <c r="AG12" s="440"/>
      <c r="AH12" s="255"/>
    </row>
    <row r="13" spans="1:34" s="198" customFormat="1" ht="14.1" customHeight="1">
      <c r="B13" s="199">
        <v>4</v>
      </c>
      <c r="C13" s="200"/>
      <c r="D13" s="200" t="s">
        <v>432</v>
      </c>
      <c r="E13" s="437" t="s">
        <v>638</v>
      </c>
      <c r="F13" s="200">
        <v>1</v>
      </c>
      <c r="G13" s="200">
        <v>2</v>
      </c>
      <c r="H13" s="201" t="s">
        <v>2107</v>
      </c>
      <c r="I13" s="201" t="s">
        <v>2124</v>
      </c>
      <c r="J13" s="201" t="s">
        <v>2146</v>
      </c>
      <c r="K13" s="201" t="s">
        <v>2148</v>
      </c>
      <c r="L13" s="201" t="s">
        <v>2106</v>
      </c>
      <c r="M13" s="233">
        <v>7459</v>
      </c>
      <c r="N13" s="233"/>
      <c r="O13" s="438"/>
      <c r="P13" s="60"/>
      <c r="Q13" s="200"/>
      <c r="R13" s="200"/>
      <c r="S13" s="439" t="s">
        <v>638</v>
      </c>
      <c r="T13" s="200">
        <v>1</v>
      </c>
      <c r="U13" s="209" t="s">
        <v>1059</v>
      </c>
      <c r="V13" s="252">
        <v>7320000000</v>
      </c>
      <c r="W13" s="252">
        <v>7320000000</v>
      </c>
      <c r="X13" s="200"/>
      <c r="Y13" s="209"/>
      <c r="Z13" s="209"/>
      <c r="AA13" s="209"/>
      <c r="AB13" s="200"/>
      <c r="AC13" s="209"/>
      <c r="AD13" s="209"/>
      <c r="AE13" s="209"/>
      <c r="AF13" s="209"/>
      <c r="AG13" s="440"/>
      <c r="AH13" s="255"/>
    </row>
    <row r="14" spans="1:34" s="198" customFormat="1" ht="14.1" customHeight="1">
      <c r="B14" s="199">
        <v>5</v>
      </c>
      <c r="C14" s="200"/>
      <c r="D14" s="200" t="s">
        <v>432</v>
      </c>
      <c r="E14" s="437" t="s">
        <v>638</v>
      </c>
      <c r="F14" s="200">
        <v>1</v>
      </c>
      <c r="G14" s="200">
        <v>3</v>
      </c>
      <c r="H14" s="201" t="s">
        <v>2107</v>
      </c>
      <c r="I14" s="201" t="s">
        <v>2124</v>
      </c>
      <c r="J14" s="201" t="s">
        <v>2146</v>
      </c>
      <c r="K14" s="201" t="s">
        <v>2149</v>
      </c>
      <c r="L14" s="201" t="s">
        <v>2106</v>
      </c>
      <c r="M14" s="233">
        <v>888</v>
      </c>
      <c r="N14" s="233"/>
      <c r="O14" s="438"/>
      <c r="P14" s="60"/>
      <c r="Q14" s="200"/>
      <c r="R14" s="200"/>
      <c r="S14" s="439" t="s">
        <v>638</v>
      </c>
      <c r="T14" s="200">
        <v>1</v>
      </c>
      <c r="U14" s="209" t="s">
        <v>1059</v>
      </c>
      <c r="V14" s="252">
        <v>7320000000</v>
      </c>
      <c r="W14" s="252">
        <v>7320000000</v>
      </c>
      <c r="X14" s="200"/>
      <c r="Y14" s="209"/>
      <c r="Z14" s="209"/>
      <c r="AA14" s="209"/>
      <c r="AB14" s="200"/>
      <c r="AC14" s="209"/>
      <c r="AD14" s="209"/>
      <c r="AE14" s="209"/>
      <c r="AF14" s="209"/>
      <c r="AG14" s="440"/>
      <c r="AH14" s="255"/>
    </row>
    <row r="15" spans="1:34" s="198" customFormat="1" ht="14.1" customHeight="1">
      <c r="B15" s="199">
        <v>6</v>
      </c>
      <c r="C15" s="200"/>
      <c r="D15" s="200" t="s">
        <v>432</v>
      </c>
      <c r="E15" s="437" t="s">
        <v>638</v>
      </c>
      <c r="F15" s="200">
        <v>1</v>
      </c>
      <c r="G15" s="200">
        <v>4</v>
      </c>
      <c r="H15" s="201" t="s">
        <v>2107</v>
      </c>
      <c r="I15" s="201" t="s">
        <v>2124</v>
      </c>
      <c r="J15" s="201" t="s">
        <v>2146</v>
      </c>
      <c r="K15" s="201" t="s">
        <v>2150</v>
      </c>
      <c r="L15" s="201" t="s">
        <v>2151</v>
      </c>
      <c r="M15" s="233"/>
      <c r="N15" s="233">
        <v>4454.76</v>
      </c>
      <c r="O15" s="438">
        <v>8</v>
      </c>
      <c r="P15" s="60"/>
      <c r="Q15" s="200"/>
      <c r="R15" s="200"/>
      <c r="S15" s="439" t="s">
        <v>638</v>
      </c>
      <c r="T15" s="200">
        <v>1</v>
      </c>
      <c r="U15" s="209" t="s">
        <v>1059</v>
      </c>
      <c r="V15" s="252">
        <v>7320000000</v>
      </c>
      <c r="W15" s="252">
        <v>7320000000</v>
      </c>
      <c r="X15" s="200"/>
      <c r="Y15" s="209"/>
      <c r="Z15" s="209"/>
      <c r="AA15" s="209"/>
      <c r="AB15" s="200"/>
      <c r="AC15" s="209"/>
      <c r="AD15" s="209"/>
      <c r="AE15" s="209"/>
      <c r="AF15" s="209"/>
      <c r="AG15" s="440"/>
      <c r="AH15" s="255"/>
    </row>
    <row r="16" spans="1:34" s="198" customFormat="1" ht="14.1" customHeight="1">
      <c r="B16" s="199">
        <v>7</v>
      </c>
      <c r="C16" s="200"/>
      <c r="D16" s="200" t="s">
        <v>432</v>
      </c>
      <c r="E16" s="437" t="s">
        <v>638</v>
      </c>
      <c r="F16" s="200">
        <v>1</v>
      </c>
      <c r="G16" s="200">
        <v>5</v>
      </c>
      <c r="H16" s="201" t="s">
        <v>2107</v>
      </c>
      <c r="I16" s="201" t="s">
        <v>2124</v>
      </c>
      <c r="J16" s="201" t="s">
        <v>2146</v>
      </c>
      <c r="K16" s="201" t="s">
        <v>2152</v>
      </c>
      <c r="L16" s="201" t="s">
        <v>2106</v>
      </c>
      <c r="M16" s="233">
        <v>182</v>
      </c>
      <c r="N16" s="233"/>
      <c r="O16" s="438"/>
      <c r="P16" s="60"/>
      <c r="Q16" s="200"/>
      <c r="R16" s="200"/>
      <c r="S16" s="439" t="s">
        <v>638</v>
      </c>
      <c r="T16" s="200">
        <v>1</v>
      </c>
      <c r="U16" s="209" t="s">
        <v>1059</v>
      </c>
      <c r="V16" s="252">
        <v>7320000000</v>
      </c>
      <c r="W16" s="252">
        <v>7320000000</v>
      </c>
      <c r="X16" s="200"/>
      <c r="Y16" s="209"/>
      <c r="Z16" s="209"/>
      <c r="AA16" s="209"/>
      <c r="AB16" s="200"/>
      <c r="AC16" s="209"/>
      <c r="AD16" s="209"/>
      <c r="AE16" s="209"/>
      <c r="AF16" s="209"/>
      <c r="AG16" s="440"/>
      <c r="AH16" s="255"/>
    </row>
    <row r="17" spans="2:34" s="198" customFormat="1" ht="14.1" customHeight="1">
      <c r="B17" s="199">
        <v>8</v>
      </c>
      <c r="C17" s="200"/>
      <c r="D17" s="200" t="s">
        <v>432</v>
      </c>
      <c r="E17" s="437" t="s">
        <v>638</v>
      </c>
      <c r="F17" s="200">
        <v>1</v>
      </c>
      <c r="G17" s="200">
        <v>6</v>
      </c>
      <c r="H17" s="201" t="s">
        <v>2107</v>
      </c>
      <c r="I17" s="201" t="s">
        <v>2124</v>
      </c>
      <c r="J17" s="201" t="s">
        <v>2146</v>
      </c>
      <c r="K17" s="201" t="s">
        <v>2153</v>
      </c>
      <c r="L17" s="201" t="s">
        <v>2106</v>
      </c>
      <c r="M17" s="233">
        <v>137</v>
      </c>
      <c r="N17" s="233"/>
      <c r="O17" s="438"/>
      <c r="P17" s="60"/>
      <c r="Q17" s="200"/>
      <c r="R17" s="200"/>
      <c r="S17" s="439" t="s">
        <v>638</v>
      </c>
      <c r="T17" s="200">
        <v>1</v>
      </c>
      <c r="U17" s="209" t="s">
        <v>1059</v>
      </c>
      <c r="V17" s="252">
        <v>7320000000</v>
      </c>
      <c r="W17" s="252">
        <v>7320000000</v>
      </c>
      <c r="X17" s="200"/>
      <c r="Y17" s="209"/>
      <c r="Z17" s="209"/>
      <c r="AA17" s="209"/>
      <c r="AB17" s="200"/>
      <c r="AC17" s="209"/>
      <c r="AD17" s="209"/>
      <c r="AE17" s="209"/>
      <c r="AF17" s="209"/>
      <c r="AG17" s="440"/>
      <c r="AH17" s="255"/>
    </row>
    <row r="18" spans="2:34" s="198" customFormat="1" ht="14.1" customHeight="1">
      <c r="B18" s="199">
        <v>9</v>
      </c>
      <c r="C18" s="200"/>
      <c r="D18" s="200" t="s">
        <v>432</v>
      </c>
      <c r="E18" s="437" t="s">
        <v>638</v>
      </c>
      <c r="F18" s="200">
        <v>1</v>
      </c>
      <c r="G18" s="200">
        <v>7</v>
      </c>
      <c r="H18" s="201" t="s">
        <v>2107</v>
      </c>
      <c r="I18" s="201" t="s">
        <v>2124</v>
      </c>
      <c r="J18" s="201" t="s">
        <v>2146</v>
      </c>
      <c r="K18" s="201" t="s">
        <v>2154</v>
      </c>
      <c r="L18" s="201" t="s">
        <v>2115</v>
      </c>
      <c r="M18" s="233">
        <v>113</v>
      </c>
      <c r="N18" s="233"/>
      <c r="O18" s="438"/>
      <c r="P18" s="60"/>
      <c r="Q18" s="200"/>
      <c r="R18" s="200"/>
      <c r="S18" s="439" t="s">
        <v>638</v>
      </c>
      <c r="T18" s="200">
        <v>1</v>
      </c>
      <c r="U18" s="209" t="s">
        <v>1059</v>
      </c>
      <c r="V18" s="252">
        <v>7320000000</v>
      </c>
      <c r="W18" s="252">
        <v>7320000000</v>
      </c>
      <c r="X18" s="200"/>
      <c r="Y18" s="209"/>
      <c r="Z18" s="209"/>
      <c r="AA18" s="209"/>
      <c r="AB18" s="200"/>
      <c r="AC18" s="209"/>
      <c r="AD18" s="209"/>
      <c r="AE18" s="209"/>
      <c r="AF18" s="209"/>
      <c r="AG18" s="440"/>
      <c r="AH18" s="255" t="s">
        <v>2155</v>
      </c>
    </row>
    <row r="19" spans="2:34" s="198" customFormat="1" ht="14.1" hidden="1" customHeight="1">
      <c r="B19" s="199">
        <v>10</v>
      </c>
      <c r="C19" s="200"/>
      <c r="D19" s="200" t="s">
        <v>433</v>
      </c>
      <c r="E19" s="437" t="s">
        <v>639</v>
      </c>
      <c r="F19" s="200">
        <v>1</v>
      </c>
      <c r="G19" s="200">
        <v>1</v>
      </c>
      <c r="H19" s="201" t="s">
        <v>2107</v>
      </c>
      <c r="I19" s="201" t="s">
        <v>2124</v>
      </c>
      <c r="J19" s="201" t="s">
        <v>2156</v>
      </c>
      <c r="K19" s="201" t="s">
        <v>2157</v>
      </c>
      <c r="L19" s="201" t="s">
        <v>2106</v>
      </c>
      <c r="M19" s="233">
        <v>6223</v>
      </c>
      <c r="N19" s="233"/>
      <c r="O19" s="438"/>
      <c r="P19" s="60"/>
      <c r="Q19" s="200"/>
      <c r="R19" s="200"/>
      <c r="S19" s="439" t="s">
        <v>639</v>
      </c>
      <c r="T19" s="200" t="s">
        <v>2118</v>
      </c>
      <c r="U19" s="209" t="s">
        <v>1059</v>
      </c>
      <c r="V19" s="252">
        <v>5220000000</v>
      </c>
      <c r="W19" s="252">
        <v>5220000000</v>
      </c>
      <c r="X19" s="200"/>
      <c r="Y19" s="209"/>
      <c r="Z19" s="209"/>
      <c r="AA19" s="209"/>
      <c r="AB19" s="200"/>
      <c r="AC19" s="209"/>
      <c r="AD19" s="209"/>
      <c r="AE19" s="209"/>
      <c r="AF19" s="209"/>
      <c r="AG19" s="440"/>
      <c r="AH19" s="255"/>
    </row>
    <row r="20" spans="2:34" s="198" customFormat="1" ht="14.1" hidden="1" customHeight="1">
      <c r="B20" s="199">
        <v>11</v>
      </c>
      <c r="C20" s="200"/>
      <c r="D20" s="200" t="s">
        <v>433</v>
      </c>
      <c r="E20" s="437" t="s">
        <v>639</v>
      </c>
      <c r="F20" s="200">
        <v>1</v>
      </c>
      <c r="G20" s="200">
        <v>2</v>
      </c>
      <c r="H20" s="201" t="s">
        <v>2107</v>
      </c>
      <c r="I20" s="201" t="s">
        <v>2124</v>
      </c>
      <c r="J20" s="201" t="s">
        <v>2156</v>
      </c>
      <c r="K20" s="201" t="s">
        <v>2158</v>
      </c>
      <c r="L20" s="201" t="s">
        <v>2109</v>
      </c>
      <c r="M20" s="233">
        <v>52</v>
      </c>
      <c r="N20" s="233"/>
      <c r="O20" s="438"/>
      <c r="P20" s="60"/>
      <c r="Q20" s="200"/>
      <c r="R20" s="200"/>
      <c r="S20" s="439" t="s">
        <v>639</v>
      </c>
      <c r="T20" s="200" t="s">
        <v>2118</v>
      </c>
      <c r="U20" s="209" t="s">
        <v>1059</v>
      </c>
      <c r="V20" s="252">
        <v>5220000000</v>
      </c>
      <c r="W20" s="252">
        <v>5220000000</v>
      </c>
      <c r="X20" s="200"/>
      <c r="Y20" s="209"/>
      <c r="Z20" s="209"/>
      <c r="AA20" s="209"/>
      <c r="AB20" s="200"/>
      <c r="AC20" s="209"/>
      <c r="AD20" s="209"/>
      <c r="AE20" s="209"/>
      <c r="AF20" s="209"/>
      <c r="AG20" s="440"/>
      <c r="AH20" s="255"/>
    </row>
    <row r="21" spans="2:34" s="198" customFormat="1" ht="14.1" hidden="1" customHeight="1">
      <c r="B21" s="199">
        <v>12</v>
      </c>
      <c r="C21" s="200"/>
      <c r="D21" s="200" t="s">
        <v>433</v>
      </c>
      <c r="E21" s="437" t="s">
        <v>639</v>
      </c>
      <c r="F21" s="200">
        <v>1</v>
      </c>
      <c r="G21" s="200">
        <v>3</v>
      </c>
      <c r="H21" s="201" t="s">
        <v>2107</v>
      </c>
      <c r="I21" s="201" t="s">
        <v>2124</v>
      </c>
      <c r="J21" s="201" t="s">
        <v>2156</v>
      </c>
      <c r="K21" s="201" t="s">
        <v>2159</v>
      </c>
      <c r="L21" s="201" t="s">
        <v>2160</v>
      </c>
      <c r="M21" s="233"/>
      <c r="N21" s="233">
        <v>860</v>
      </c>
      <c r="O21" s="438">
        <v>53</v>
      </c>
      <c r="P21" s="60"/>
      <c r="Q21" s="200"/>
      <c r="R21" s="200"/>
      <c r="S21" s="439" t="s">
        <v>639</v>
      </c>
      <c r="T21" s="200" t="s">
        <v>2118</v>
      </c>
      <c r="U21" s="209" t="s">
        <v>1059</v>
      </c>
      <c r="V21" s="252">
        <v>5220000000</v>
      </c>
      <c r="W21" s="252">
        <v>5220000000</v>
      </c>
      <c r="X21" s="200"/>
      <c r="Y21" s="209"/>
      <c r="Z21" s="209"/>
      <c r="AA21" s="209"/>
      <c r="AB21" s="200"/>
      <c r="AC21" s="209"/>
      <c r="AD21" s="209"/>
      <c r="AE21" s="209"/>
      <c r="AF21" s="209"/>
      <c r="AG21" s="440"/>
      <c r="AH21" s="255" t="s">
        <v>2161</v>
      </c>
    </row>
    <row r="22" spans="2:34" s="198" customFormat="1" ht="14.1" hidden="1" customHeight="1">
      <c r="B22" s="199">
        <v>13</v>
      </c>
      <c r="C22" s="200"/>
      <c r="D22" s="200" t="s">
        <v>433</v>
      </c>
      <c r="E22" s="437" t="s">
        <v>639</v>
      </c>
      <c r="F22" s="200">
        <v>1</v>
      </c>
      <c r="G22" s="200">
        <v>4</v>
      </c>
      <c r="H22" s="201" t="s">
        <v>2107</v>
      </c>
      <c r="I22" s="201" t="s">
        <v>2124</v>
      </c>
      <c r="J22" s="201" t="s">
        <v>2156</v>
      </c>
      <c r="K22" s="201" t="s">
        <v>2162</v>
      </c>
      <c r="L22" s="201" t="s">
        <v>2160</v>
      </c>
      <c r="M22" s="233"/>
      <c r="N22" s="233">
        <v>875</v>
      </c>
      <c r="O22" s="438"/>
      <c r="P22" s="60"/>
      <c r="Q22" s="200"/>
      <c r="R22" s="200"/>
      <c r="S22" s="439" t="s">
        <v>639</v>
      </c>
      <c r="T22" s="200" t="s">
        <v>2118</v>
      </c>
      <c r="U22" s="209" t="s">
        <v>1059</v>
      </c>
      <c r="V22" s="252">
        <v>5220000000</v>
      </c>
      <c r="W22" s="252">
        <v>5220000000</v>
      </c>
      <c r="X22" s="200"/>
      <c r="Y22" s="209"/>
      <c r="Z22" s="209"/>
      <c r="AA22" s="209"/>
      <c r="AB22" s="200"/>
      <c r="AC22" s="209"/>
      <c r="AD22" s="209"/>
      <c r="AE22" s="209"/>
      <c r="AF22" s="209"/>
      <c r="AG22" s="440"/>
      <c r="AH22" s="255" t="s">
        <v>2161</v>
      </c>
    </row>
    <row r="23" spans="2:34" s="198" customFormat="1" ht="14.1" hidden="1" customHeight="1">
      <c r="B23" s="199">
        <v>14</v>
      </c>
      <c r="C23" s="200"/>
      <c r="D23" s="200" t="s">
        <v>433</v>
      </c>
      <c r="E23" s="437" t="s">
        <v>639</v>
      </c>
      <c r="F23" s="200">
        <v>1</v>
      </c>
      <c r="G23" s="200">
        <v>5</v>
      </c>
      <c r="H23" s="201" t="s">
        <v>2107</v>
      </c>
      <c r="I23" s="201" t="s">
        <v>2124</v>
      </c>
      <c r="J23" s="201" t="s">
        <v>2156</v>
      </c>
      <c r="K23" s="201" t="s">
        <v>2163</v>
      </c>
      <c r="L23" s="201" t="s">
        <v>2164</v>
      </c>
      <c r="M23" s="233"/>
      <c r="N23" s="233">
        <v>434</v>
      </c>
      <c r="O23" s="438"/>
      <c r="P23" s="60"/>
      <c r="Q23" s="200"/>
      <c r="R23" s="200"/>
      <c r="S23" s="439" t="s">
        <v>639</v>
      </c>
      <c r="T23" s="200" t="s">
        <v>2118</v>
      </c>
      <c r="U23" s="209" t="s">
        <v>1059</v>
      </c>
      <c r="V23" s="252">
        <v>5220000000</v>
      </c>
      <c r="W23" s="252">
        <v>5220000000</v>
      </c>
      <c r="X23" s="200"/>
      <c r="Y23" s="209"/>
      <c r="Z23" s="209"/>
      <c r="AA23" s="209"/>
      <c r="AB23" s="200"/>
      <c r="AC23" s="209"/>
      <c r="AD23" s="209"/>
      <c r="AE23" s="209"/>
      <c r="AF23" s="209"/>
      <c r="AG23" s="440"/>
      <c r="AH23" s="255" t="s">
        <v>2161</v>
      </c>
    </row>
    <row r="24" spans="2:34" s="198" customFormat="1" ht="14.1" hidden="1" customHeight="1">
      <c r="B24" s="199">
        <v>15</v>
      </c>
      <c r="C24" s="200"/>
      <c r="D24" s="200" t="s">
        <v>434</v>
      </c>
      <c r="E24" s="437" t="s">
        <v>640</v>
      </c>
      <c r="F24" s="200">
        <v>1</v>
      </c>
      <c r="G24" s="200">
        <v>1</v>
      </c>
      <c r="H24" s="201" t="s">
        <v>2114</v>
      </c>
      <c r="I24" s="201" t="s">
        <v>2165</v>
      </c>
      <c r="J24" s="201" t="s">
        <v>2166</v>
      </c>
      <c r="K24" s="201" t="s">
        <v>2167</v>
      </c>
      <c r="L24" s="201" t="s">
        <v>2106</v>
      </c>
      <c r="M24" s="233">
        <v>4983.6000000000004</v>
      </c>
      <c r="N24" s="233"/>
      <c r="O24" s="438"/>
      <c r="P24" s="60"/>
      <c r="Q24" s="200"/>
      <c r="R24" s="200"/>
      <c r="S24" s="439" t="s">
        <v>640</v>
      </c>
      <c r="T24" s="200" t="s">
        <v>2123</v>
      </c>
      <c r="U24" s="209" t="s">
        <v>1059</v>
      </c>
      <c r="V24" s="252">
        <v>4380000000</v>
      </c>
      <c r="W24" s="252">
        <v>4380000000</v>
      </c>
      <c r="X24" s="200">
        <v>2</v>
      </c>
      <c r="Y24" s="209" t="s">
        <v>1059</v>
      </c>
      <c r="Z24" s="209">
        <v>1052672646</v>
      </c>
      <c r="AA24" s="209">
        <v>1052672646</v>
      </c>
      <c r="AB24" s="200"/>
      <c r="AC24" s="209"/>
      <c r="AD24" s="209"/>
      <c r="AE24" s="209"/>
      <c r="AF24" s="209"/>
      <c r="AG24" s="440"/>
      <c r="AH24" s="255" t="s">
        <v>2168</v>
      </c>
    </row>
    <row r="25" spans="2:34" s="198" customFormat="1" ht="14.1" hidden="1" customHeight="1">
      <c r="B25" s="199">
        <v>16</v>
      </c>
      <c r="C25" s="200"/>
      <c r="D25" s="200" t="s">
        <v>434</v>
      </c>
      <c r="E25" s="437" t="s">
        <v>640</v>
      </c>
      <c r="F25" s="200">
        <v>1</v>
      </c>
      <c r="G25" s="200">
        <v>2</v>
      </c>
      <c r="H25" s="201" t="s">
        <v>2114</v>
      </c>
      <c r="I25" s="201" t="s">
        <v>2165</v>
      </c>
      <c r="J25" s="201" t="s">
        <v>2166</v>
      </c>
      <c r="K25" s="201" t="s">
        <v>2169</v>
      </c>
      <c r="L25" s="201" t="s">
        <v>2170</v>
      </c>
      <c r="M25" s="233"/>
      <c r="N25" s="233">
        <v>2406.1</v>
      </c>
      <c r="O25" s="438">
        <v>12</v>
      </c>
      <c r="P25" s="60"/>
      <c r="Q25" s="200"/>
      <c r="R25" s="200"/>
      <c r="S25" s="439" t="s">
        <v>640</v>
      </c>
      <c r="T25" s="200" t="s">
        <v>2123</v>
      </c>
      <c r="U25" s="209" t="s">
        <v>1059</v>
      </c>
      <c r="V25" s="252">
        <v>4380000000</v>
      </c>
      <c r="W25" s="252">
        <v>4380000000</v>
      </c>
      <c r="X25" s="200">
        <v>2</v>
      </c>
      <c r="Y25" s="209" t="s">
        <v>1059</v>
      </c>
      <c r="Z25" s="209">
        <v>1052672646</v>
      </c>
      <c r="AA25" s="209">
        <v>1052672646</v>
      </c>
      <c r="AB25" s="200"/>
      <c r="AC25" s="209"/>
      <c r="AD25" s="209"/>
      <c r="AE25" s="209"/>
      <c r="AF25" s="209"/>
      <c r="AG25" s="440"/>
      <c r="AH25" s="255" t="s">
        <v>2168</v>
      </c>
    </row>
    <row r="26" spans="2:34" s="198" customFormat="1" ht="14.1" hidden="1" customHeight="1">
      <c r="B26" s="199">
        <v>17</v>
      </c>
      <c r="C26" s="200"/>
      <c r="D26" s="200" t="s">
        <v>435</v>
      </c>
      <c r="E26" s="437" t="s">
        <v>641</v>
      </c>
      <c r="F26" s="200">
        <v>1</v>
      </c>
      <c r="G26" s="200">
        <v>1</v>
      </c>
      <c r="H26" s="201" t="s">
        <v>2114</v>
      </c>
      <c r="I26" s="201" t="s">
        <v>2171</v>
      </c>
      <c r="J26" s="201" t="s">
        <v>2172</v>
      </c>
      <c r="K26" s="201" t="s">
        <v>2173</v>
      </c>
      <c r="L26" s="201" t="s">
        <v>2106</v>
      </c>
      <c r="M26" s="233">
        <v>2744</v>
      </c>
      <c r="N26" s="233"/>
      <c r="O26" s="438"/>
      <c r="P26" s="60"/>
      <c r="Q26" s="200"/>
      <c r="R26" s="200"/>
      <c r="S26" s="303" t="s">
        <v>2174</v>
      </c>
      <c r="T26" s="200" t="s">
        <v>2123</v>
      </c>
      <c r="U26" s="209" t="s">
        <v>1059</v>
      </c>
      <c r="V26" s="252">
        <v>3300000000</v>
      </c>
      <c r="W26" s="252">
        <v>3300000000</v>
      </c>
      <c r="X26" s="200"/>
      <c r="Y26" s="209"/>
      <c r="Z26" s="209"/>
      <c r="AA26" s="209"/>
      <c r="AB26" s="200"/>
      <c r="AC26" s="209"/>
      <c r="AD26" s="209"/>
      <c r="AE26" s="209"/>
      <c r="AF26" s="209"/>
      <c r="AG26" s="440"/>
      <c r="AH26" s="255"/>
    </row>
    <row r="27" spans="2:34" s="198" customFormat="1" ht="14.1" hidden="1" customHeight="1">
      <c r="B27" s="199">
        <v>18</v>
      </c>
      <c r="C27" s="200"/>
      <c r="D27" s="200" t="s">
        <v>435</v>
      </c>
      <c r="E27" s="437" t="s">
        <v>641</v>
      </c>
      <c r="F27" s="200">
        <v>1</v>
      </c>
      <c r="G27" s="200">
        <v>2</v>
      </c>
      <c r="H27" s="201" t="s">
        <v>2114</v>
      </c>
      <c r="I27" s="201" t="s">
        <v>2171</v>
      </c>
      <c r="J27" s="201" t="s">
        <v>2172</v>
      </c>
      <c r="K27" s="201" t="s">
        <v>2175</v>
      </c>
      <c r="L27" s="201" t="s">
        <v>2106</v>
      </c>
      <c r="M27" s="233">
        <v>469</v>
      </c>
      <c r="N27" s="233"/>
      <c r="O27" s="438"/>
      <c r="P27" s="60"/>
      <c r="Q27" s="200"/>
      <c r="R27" s="200"/>
      <c r="S27" s="303" t="s">
        <v>2174</v>
      </c>
      <c r="T27" s="200" t="s">
        <v>2123</v>
      </c>
      <c r="U27" s="209" t="s">
        <v>1059</v>
      </c>
      <c r="V27" s="252">
        <v>3300000000</v>
      </c>
      <c r="W27" s="252">
        <v>3300000000</v>
      </c>
      <c r="X27" s="200"/>
      <c r="Y27" s="209"/>
      <c r="Z27" s="209"/>
      <c r="AA27" s="209"/>
      <c r="AB27" s="200"/>
      <c r="AC27" s="209"/>
      <c r="AD27" s="209"/>
      <c r="AE27" s="209"/>
      <c r="AF27" s="209"/>
      <c r="AG27" s="440"/>
      <c r="AH27" s="255"/>
    </row>
    <row r="28" spans="2:34" s="198" customFormat="1" ht="14.1" hidden="1" customHeight="1">
      <c r="B28" s="199">
        <v>19</v>
      </c>
      <c r="C28" s="200"/>
      <c r="D28" s="200" t="s">
        <v>435</v>
      </c>
      <c r="E28" s="437" t="s">
        <v>641</v>
      </c>
      <c r="F28" s="200">
        <v>1</v>
      </c>
      <c r="G28" s="200">
        <v>3</v>
      </c>
      <c r="H28" s="201" t="s">
        <v>2114</v>
      </c>
      <c r="I28" s="201" t="s">
        <v>2171</v>
      </c>
      <c r="J28" s="201" t="s">
        <v>2172</v>
      </c>
      <c r="K28" s="201" t="s">
        <v>2176</v>
      </c>
      <c r="L28" s="201" t="s">
        <v>2106</v>
      </c>
      <c r="M28" s="233">
        <v>12091</v>
      </c>
      <c r="N28" s="233"/>
      <c r="O28" s="438"/>
      <c r="P28" s="60"/>
      <c r="Q28" s="200"/>
      <c r="R28" s="200"/>
      <c r="S28" s="303" t="s">
        <v>2174</v>
      </c>
      <c r="T28" s="200" t="s">
        <v>2123</v>
      </c>
      <c r="U28" s="209" t="s">
        <v>1059</v>
      </c>
      <c r="V28" s="252">
        <v>3300000000</v>
      </c>
      <c r="W28" s="252">
        <v>3300000000</v>
      </c>
      <c r="X28" s="200"/>
      <c r="Y28" s="209"/>
      <c r="Z28" s="209"/>
      <c r="AA28" s="209"/>
      <c r="AB28" s="200"/>
      <c r="AC28" s="209"/>
      <c r="AD28" s="209"/>
      <c r="AE28" s="209"/>
      <c r="AF28" s="209"/>
      <c r="AG28" s="440"/>
      <c r="AH28" s="255"/>
    </row>
    <row r="29" spans="2:34" s="198" customFormat="1" ht="14.1" hidden="1" customHeight="1">
      <c r="B29" s="199">
        <v>20</v>
      </c>
      <c r="C29" s="200"/>
      <c r="D29" s="200" t="s">
        <v>435</v>
      </c>
      <c r="E29" s="437" t="s">
        <v>641</v>
      </c>
      <c r="F29" s="200">
        <v>1</v>
      </c>
      <c r="G29" s="200">
        <v>4</v>
      </c>
      <c r="H29" s="201" t="s">
        <v>2114</v>
      </c>
      <c r="I29" s="201" t="s">
        <v>2171</v>
      </c>
      <c r="J29" s="201" t="s">
        <v>2172</v>
      </c>
      <c r="K29" s="201" t="s">
        <v>2177</v>
      </c>
      <c r="L29" s="201" t="s">
        <v>2160</v>
      </c>
      <c r="M29" s="233"/>
      <c r="N29" s="233">
        <v>990</v>
      </c>
      <c r="O29" s="438">
        <v>1</v>
      </c>
      <c r="P29" s="60"/>
      <c r="Q29" s="200"/>
      <c r="R29" s="200"/>
      <c r="S29" s="303" t="s">
        <v>2174</v>
      </c>
      <c r="T29" s="200" t="s">
        <v>2123</v>
      </c>
      <c r="U29" s="209" t="s">
        <v>1059</v>
      </c>
      <c r="V29" s="252">
        <v>3300000000</v>
      </c>
      <c r="W29" s="252">
        <v>3300000000</v>
      </c>
      <c r="X29" s="200"/>
      <c r="Y29" s="209"/>
      <c r="Z29" s="209"/>
      <c r="AA29" s="209"/>
      <c r="AB29" s="200"/>
      <c r="AC29" s="209"/>
      <c r="AD29" s="209"/>
      <c r="AE29" s="209"/>
      <c r="AF29" s="209"/>
      <c r="AG29" s="440"/>
      <c r="AH29" s="255" t="s">
        <v>2178</v>
      </c>
    </row>
    <row r="30" spans="2:34" s="198" customFormat="1" ht="14.1" hidden="1" customHeight="1">
      <c r="B30" s="199">
        <v>21</v>
      </c>
      <c r="C30" s="200"/>
      <c r="D30" s="200" t="s">
        <v>435</v>
      </c>
      <c r="E30" s="437" t="s">
        <v>641</v>
      </c>
      <c r="F30" s="200">
        <v>1</v>
      </c>
      <c r="G30" s="200">
        <v>5</v>
      </c>
      <c r="H30" s="201" t="s">
        <v>2114</v>
      </c>
      <c r="I30" s="201" t="s">
        <v>2171</v>
      </c>
      <c r="J30" s="201" t="s">
        <v>2172</v>
      </c>
      <c r="K30" s="201" t="s">
        <v>2179</v>
      </c>
      <c r="L30" s="201" t="s">
        <v>2160</v>
      </c>
      <c r="M30" s="233"/>
      <c r="N30" s="233">
        <v>990</v>
      </c>
      <c r="O30" s="438"/>
      <c r="P30" s="60"/>
      <c r="Q30" s="200"/>
      <c r="R30" s="200"/>
      <c r="S30" s="303" t="s">
        <v>2174</v>
      </c>
      <c r="T30" s="200" t="s">
        <v>2123</v>
      </c>
      <c r="U30" s="209" t="s">
        <v>1059</v>
      </c>
      <c r="V30" s="252">
        <v>3300000000</v>
      </c>
      <c r="W30" s="252">
        <v>3300000000</v>
      </c>
      <c r="X30" s="200"/>
      <c r="Y30" s="209"/>
      <c r="Z30" s="209"/>
      <c r="AA30" s="209"/>
      <c r="AB30" s="200"/>
      <c r="AC30" s="209"/>
      <c r="AD30" s="209"/>
      <c r="AE30" s="209"/>
      <c r="AF30" s="209"/>
      <c r="AG30" s="440"/>
      <c r="AH30" s="255" t="s">
        <v>2178</v>
      </c>
    </row>
    <row r="31" spans="2:34" s="198" customFormat="1" ht="14.1" hidden="1" customHeight="1">
      <c r="B31" s="199">
        <v>22</v>
      </c>
      <c r="C31" s="200"/>
      <c r="D31" s="200" t="s">
        <v>435</v>
      </c>
      <c r="E31" s="437" t="s">
        <v>641</v>
      </c>
      <c r="F31" s="200">
        <v>1</v>
      </c>
      <c r="G31" s="200">
        <v>6</v>
      </c>
      <c r="H31" s="201" t="s">
        <v>2114</v>
      </c>
      <c r="I31" s="201" t="s">
        <v>2171</v>
      </c>
      <c r="J31" s="201" t="s">
        <v>2172</v>
      </c>
      <c r="K31" s="201" t="s">
        <v>2180</v>
      </c>
      <c r="L31" s="201" t="s">
        <v>2160</v>
      </c>
      <c r="M31" s="233"/>
      <c r="N31" s="233">
        <v>164.34</v>
      </c>
      <c r="O31" s="438"/>
      <c r="P31" s="60"/>
      <c r="Q31" s="200"/>
      <c r="R31" s="200"/>
      <c r="S31" s="303" t="s">
        <v>2174</v>
      </c>
      <c r="T31" s="200" t="s">
        <v>2123</v>
      </c>
      <c r="U31" s="209" t="s">
        <v>1059</v>
      </c>
      <c r="V31" s="252">
        <v>3300000000</v>
      </c>
      <c r="W31" s="252">
        <v>3300000000</v>
      </c>
      <c r="X31" s="200"/>
      <c r="Y31" s="209"/>
      <c r="Z31" s="209"/>
      <c r="AA31" s="209"/>
      <c r="AB31" s="200"/>
      <c r="AC31" s="209"/>
      <c r="AD31" s="209"/>
      <c r="AE31" s="209"/>
      <c r="AF31" s="209"/>
      <c r="AG31" s="440"/>
      <c r="AH31" s="255" t="s">
        <v>2178</v>
      </c>
    </row>
    <row r="32" spans="2:34" s="198" customFormat="1" ht="14.1" hidden="1" customHeight="1">
      <c r="B32" s="199">
        <v>23</v>
      </c>
      <c r="C32" s="200"/>
      <c r="D32" s="200" t="s">
        <v>435</v>
      </c>
      <c r="E32" s="437" t="s">
        <v>641</v>
      </c>
      <c r="F32" s="200">
        <v>1</v>
      </c>
      <c r="G32" s="200">
        <v>7</v>
      </c>
      <c r="H32" s="201" t="s">
        <v>2114</v>
      </c>
      <c r="I32" s="201" t="s">
        <v>2171</v>
      </c>
      <c r="J32" s="201" t="s">
        <v>2172</v>
      </c>
      <c r="K32" s="201" t="s">
        <v>2181</v>
      </c>
      <c r="L32" s="201" t="s">
        <v>2113</v>
      </c>
      <c r="M32" s="233">
        <v>2624</v>
      </c>
      <c r="N32" s="233"/>
      <c r="O32" s="438"/>
      <c r="P32" s="60"/>
      <c r="Q32" s="200"/>
      <c r="R32" s="200"/>
      <c r="S32" s="303" t="s">
        <v>2174</v>
      </c>
      <c r="T32" s="200" t="s">
        <v>2123</v>
      </c>
      <c r="U32" s="209" t="s">
        <v>1059</v>
      </c>
      <c r="V32" s="252">
        <v>3300000000</v>
      </c>
      <c r="W32" s="252">
        <v>3300000000</v>
      </c>
      <c r="X32" s="200"/>
      <c r="Y32" s="209"/>
      <c r="Z32" s="209"/>
      <c r="AA32" s="209"/>
      <c r="AB32" s="200"/>
      <c r="AC32" s="209"/>
      <c r="AD32" s="209"/>
      <c r="AE32" s="209"/>
      <c r="AF32" s="209"/>
      <c r="AG32" s="440"/>
      <c r="AH32" s="255" t="s">
        <v>2182</v>
      </c>
    </row>
    <row r="33" spans="2:34" s="198" customFormat="1" ht="14.1" hidden="1" customHeight="1">
      <c r="B33" s="199">
        <v>24</v>
      </c>
      <c r="C33" s="200"/>
      <c r="D33" s="200" t="s">
        <v>435</v>
      </c>
      <c r="E33" s="437" t="s">
        <v>641</v>
      </c>
      <c r="F33" s="200">
        <v>1</v>
      </c>
      <c r="G33" s="200">
        <v>8</v>
      </c>
      <c r="H33" s="201" t="s">
        <v>2114</v>
      </c>
      <c r="I33" s="201" t="s">
        <v>2171</v>
      </c>
      <c r="J33" s="201" t="s">
        <v>2172</v>
      </c>
      <c r="K33" s="201" t="s">
        <v>2183</v>
      </c>
      <c r="L33" s="201" t="s">
        <v>2113</v>
      </c>
      <c r="M33" s="233">
        <v>992</v>
      </c>
      <c r="N33" s="233"/>
      <c r="O33" s="438"/>
      <c r="P33" s="60"/>
      <c r="Q33" s="200"/>
      <c r="R33" s="200"/>
      <c r="S33" s="303" t="s">
        <v>2174</v>
      </c>
      <c r="T33" s="200" t="s">
        <v>2123</v>
      </c>
      <c r="U33" s="209" t="s">
        <v>1059</v>
      </c>
      <c r="V33" s="252">
        <v>3300000000</v>
      </c>
      <c r="W33" s="252">
        <v>3300000000</v>
      </c>
      <c r="X33" s="200"/>
      <c r="Y33" s="209"/>
      <c r="Z33" s="209"/>
      <c r="AA33" s="209"/>
      <c r="AB33" s="200"/>
      <c r="AC33" s="209"/>
      <c r="AD33" s="209"/>
      <c r="AE33" s="209"/>
      <c r="AF33" s="209"/>
      <c r="AG33" s="440"/>
      <c r="AH33" s="255" t="s">
        <v>2182</v>
      </c>
    </row>
    <row r="34" spans="2:34" s="198" customFormat="1" ht="14.1" hidden="1" customHeight="1">
      <c r="B34" s="199">
        <v>25</v>
      </c>
      <c r="C34" s="200"/>
      <c r="D34" s="200" t="s">
        <v>435</v>
      </c>
      <c r="E34" s="437" t="s">
        <v>641</v>
      </c>
      <c r="F34" s="200">
        <v>1</v>
      </c>
      <c r="G34" s="200">
        <v>9</v>
      </c>
      <c r="H34" s="201" t="s">
        <v>2114</v>
      </c>
      <c r="I34" s="201" t="s">
        <v>2171</v>
      </c>
      <c r="J34" s="201" t="s">
        <v>2172</v>
      </c>
      <c r="K34" s="201" t="s">
        <v>2184</v>
      </c>
      <c r="L34" s="201" t="s">
        <v>2113</v>
      </c>
      <c r="M34" s="233">
        <v>347</v>
      </c>
      <c r="N34" s="233"/>
      <c r="O34" s="438"/>
      <c r="P34" s="60"/>
      <c r="Q34" s="200"/>
      <c r="R34" s="200"/>
      <c r="S34" s="303" t="s">
        <v>2174</v>
      </c>
      <c r="T34" s="200" t="s">
        <v>2123</v>
      </c>
      <c r="U34" s="209" t="s">
        <v>1059</v>
      </c>
      <c r="V34" s="252">
        <v>3300000000</v>
      </c>
      <c r="W34" s="252">
        <v>3300000000</v>
      </c>
      <c r="X34" s="200"/>
      <c r="Y34" s="209"/>
      <c r="Z34" s="209"/>
      <c r="AA34" s="209"/>
      <c r="AB34" s="200"/>
      <c r="AC34" s="209"/>
      <c r="AD34" s="209"/>
      <c r="AE34" s="209"/>
      <c r="AF34" s="209"/>
      <c r="AG34" s="440"/>
      <c r="AH34" s="255" t="s">
        <v>2182</v>
      </c>
    </row>
    <row r="35" spans="2:34" s="198" customFormat="1" ht="14.1" hidden="1" customHeight="1">
      <c r="B35" s="199">
        <v>26</v>
      </c>
      <c r="C35" s="200"/>
      <c r="D35" s="200" t="s">
        <v>435</v>
      </c>
      <c r="E35" s="437" t="s">
        <v>641</v>
      </c>
      <c r="F35" s="200">
        <v>1</v>
      </c>
      <c r="G35" s="200">
        <v>10</v>
      </c>
      <c r="H35" s="201" t="s">
        <v>2114</v>
      </c>
      <c r="I35" s="201" t="s">
        <v>2171</v>
      </c>
      <c r="J35" s="201" t="s">
        <v>2172</v>
      </c>
      <c r="K35" s="201" t="s">
        <v>2185</v>
      </c>
      <c r="L35" s="201" t="s">
        <v>2115</v>
      </c>
      <c r="M35" s="233">
        <v>165</v>
      </c>
      <c r="N35" s="233"/>
      <c r="O35" s="438"/>
      <c r="P35" s="60"/>
      <c r="Q35" s="200"/>
      <c r="R35" s="200"/>
      <c r="S35" s="303" t="s">
        <v>2174</v>
      </c>
      <c r="T35" s="200" t="s">
        <v>2123</v>
      </c>
      <c r="U35" s="209" t="s">
        <v>1059</v>
      </c>
      <c r="V35" s="252">
        <v>3300000000</v>
      </c>
      <c r="W35" s="252">
        <v>3300000000</v>
      </c>
      <c r="X35" s="200"/>
      <c r="Y35" s="209"/>
      <c r="Z35" s="209"/>
      <c r="AA35" s="209"/>
      <c r="AB35" s="200"/>
      <c r="AC35" s="209"/>
      <c r="AD35" s="209"/>
      <c r="AE35" s="209"/>
      <c r="AF35" s="209"/>
      <c r="AG35" s="440"/>
      <c r="AH35" s="255" t="s">
        <v>2182</v>
      </c>
    </row>
    <row r="36" spans="2:34" s="198" customFormat="1" ht="14.1" hidden="1" customHeight="1">
      <c r="B36" s="199">
        <v>27</v>
      </c>
      <c r="C36" s="200"/>
      <c r="D36" s="200" t="s">
        <v>435</v>
      </c>
      <c r="E36" s="437" t="s">
        <v>641</v>
      </c>
      <c r="F36" s="200">
        <v>1</v>
      </c>
      <c r="G36" s="200">
        <v>11</v>
      </c>
      <c r="H36" s="201" t="s">
        <v>2114</v>
      </c>
      <c r="I36" s="201" t="s">
        <v>2171</v>
      </c>
      <c r="J36" s="201" t="s">
        <v>2172</v>
      </c>
      <c r="K36" s="201" t="s">
        <v>2186</v>
      </c>
      <c r="L36" s="201" t="s">
        <v>2115</v>
      </c>
      <c r="M36" s="233">
        <v>8927</v>
      </c>
      <c r="N36" s="233"/>
      <c r="O36" s="438"/>
      <c r="P36" s="60"/>
      <c r="Q36" s="200"/>
      <c r="R36" s="200"/>
      <c r="S36" s="303" t="s">
        <v>2174</v>
      </c>
      <c r="T36" s="200" t="s">
        <v>2123</v>
      </c>
      <c r="U36" s="209" t="s">
        <v>1059</v>
      </c>
      <c r="V36" s="252">
        <v>3300000000</v>
      </c>
      <c r="W36" s="252">
        <v>3300000000</v>
      </c>
      <c r="X36" s="200"/>
      <c r="Y36" s="209"/>
      <c r="Z36" s="209"/>
      <c r="AA36" s="209"/>
      <c r="AB36" s="200"/>
      <c r="AC36" s="209"/>
      <c r="AD36" s="209"/>
      <c r="AE36" s="209"/>
      <c r="AF36" s="209"/>
      <c r="AG36" s="440"/>
      <c r="AH36" s="255" t="s">
        <v>2187</v>
      </c>
    </row>
    <row r="37" spans="2:34" s="198" customFormat="1" ht="14.1" hidden="1" customHeight="1">
      <c r="B37" s="199">
        <v>28</v>
      </c>
      <c r="C37" s="200"/>
      <c r="D37" s="200" t="s">
        <v>435</v>
      </c>
      <c r="E37" s="437" t="s">
        <v>641</v>
      </c>
      <c r="F37" s="200">
        <v>2</v>
      </c>
      <c r="G37" s="200">
        <v>1</v>
      </c>
      <c r="H37" s="201" t="s">
        <v>2188</v>
      </c>
      <c r="I37" s="201" t="s">
        <v>2189</v>
      </c>
      <c r="J37" s="201" t="s">
        <v>2190</v>
      </c>
      <c r="K37" s="201" t="s">
        <v>2191</v>
      </c>
      <c r="L37" s="201" t="s">
        <v>2192</v>
      </c>
      <c r="M37" s="233">
        <v>952</v>
      </c>
      <c r="N37" s="233">
        <v>377.14890000000003</v>
      </c>
      <c r="O37" s="438"/>
      <c r="P37" s="60"/>
      <c r="Q37" s="200" t="s">
        <v>2193</v>
      </c>
      <c r="R37" s="200"/>
      <c r="S37" s="303" t="s">
        <v>2194</v>
      </c>
      <c r="T37" s="200">
        <v>7</v>
      </c>
      <c r="U37" s="209" t="s">
        <v>1059</v>
      </c>
      <c r="V37" s="252">
        <v>1800000000</v>
      </c>
      <c r="W37" s="252">
        <v>1800000000</v>
      </c>
      <c r="X37" s="200"/>
      <c r="Y37" s="209"/>
      <c r="Z37" s="209"/>
      <c r="AA37" s="209"/>
      <c r="AB37" s="200" t="s">
        <v>2195</v>
      </c>
      <c r="AC37" s="209" t="s">
        <v>1059</v>
      </c>
      <c r="AD37" s="209">
        <v>7390000000</v>
      </c>
      <c r="AE37" s="209">
        <v>7390000000</v>
      </c>
      <c r="AF37" s="209" t="s">
        <v>2196</v>
      </c>
      <c r="AG37" s="209" t="s">
        <v>2197</v>
      </c>
      <c r="AH37" s="255"/>
    </row>
    <row r="38" spans="2:34" s="198" customFormat="1" ht="14.1" hidden="1" customHeight="1">
      <c r="B38" s="199">
        <v>29</v>
      </c>
      <c r="C38" s="200"/>
      <c r="D38" s="200" t="s">
        <v>435</v>
      </c>
      <c r="E38" s="437" t="s">
        <v>641</v>
      </c>
      <c r="F38" s="200">
        <v>2</v>
      </c>
      <c r="G38" s="200">
        <v>2</v>
      </c>
      <c r="H38" s="201" t="s">
        <v>2188</v>
      </c>
      <c r="I38" s="201" t="s">
        <v>2189</v>
      </c>
      <c r="J38" s="201" t="s">
        <v>2190</v>
      </c>
      <c r="K38" s="201" t="s">
        <v>2198</v>
      </c>
      <c r="L38" s="201" t="s">
        <v>2192</v>
      </c>
      <c r="M38" s="233">
        <v>952</v>
      </c>
      <c r="N38" s="233">
        <v>174.18109999999999</v>
      </c>
      <c r="O38" s="438"/>
      <c r="P38" s="60"/>
      <c r="Q38" s="200" t="s">
        <v>2199</v>
      </c>
      <c r="R38" s="200"/>
      <c r="S38" s="303" t="s">
        <v>2194</v>
      </c>
      <c r="T38" s="200">
        <v>7</v>
      </c>
      <c r="U38" s="209" t="s">
        <v>1059</v>
      </c>
      <c r="V38" s="252">
        <v>1800000000</v>
      </c>
      <c r="W38" s="252">
        <v>1800000000</v>
      </c>
      <c r="X38" s="200"/>
      <c r="Y38" s="209"/>
      <c r="Z38" s="209"/>
      <c r="AA38" s="209"/>
      <c r="AB38" s="200" t="s">
        <v>2195</v>
      </c>
      <c r="AC38" s="209" t="s">
        <v>1059</v>
      </c>
      <c r="AD38" s="209">
        <v>7390000000</v>
      </c>
      <c r="AE38" s="209">
        <v>7390000000</v>
      </c>
      <c r="AF38" s="209" t="s">
        <v>2196</v>
      </c>
      <c r="AG38" s="209" t="s">
        <v>2197</v>
      </c>
      <c r="AH38" s="255"/>
    </row>
    <row r="39" spans="2:34" s="198" customFormat="1" ht="14.1" hidden="1" customHeight="1">
      <c r="B39" s="199">
        <v>30</v>
      </c>
      <c r="C39" s="200"/>
      <c r="D39" s="200" t="s">
        <v>436</v>
      </c>
      <c r="E39" s="437" t="s">
        <v>642</v>
      </c>
      <c r="F39" s="200">
        <v>1</v>
      </c>
      <c r="G39" s="200">
        <v>1</v>
      </c>
      <c r="H39" s="201" t="s">
        <v>2200</v>
      </c>
      <c r="I39" s="201" t="s">
        <v>2201</v>
      </c>
      <c r="J39" s="201" t="s">
        <v>2202</v>
      </c>
      <c r="K39" s="201" t="s">
        <v>2203</v>
      </c>
      <c r="L39" s="201" t="s">
        <v>2106</v>
      </c>
      <c r="M39" s="233">
        <v>6047.4</v>
      </c>
      <c r="N39" s="233"/>
      <c r="O39" s="438"/>
      <c r="P39" s="60"/>
      <c r="Q39" s="200"/>
      <c r="R39" s="200"/>
      <c r="S39" s="439" t="s">
        <v>642</v>
      </c>
      <c r="T39" s="200" t="s">
        <v>2204</v>
      </c>
      <c r="U39" s="209" t="s">
        <v>1059</v>
      </c>
      <c r="V39" s="252">
        <v>2640000000</v>
      </c>
      <c r="W39" s="252">
        <v>2640000000</v>
      </c>
      <c r="X39" s="200">
        <v>3</v>
      </c>
      <c r="Y39" s="209" t="s">
        <v>80</v>
      </c>
      <c r="Z39" s="209">
        <v>136192609</v>
      </c>
      <c r="AA39" s="209">
        <v>136192609</v>
      </c>
      <c r="AB39" s="200">
        <v>1</v>
      </c>
      <c r="AC39" s="209" t="s">
        <v>80</v>
      </c>
      <c r="AD39" s="209">
        <v>354812000</v>
      </c>
      <c r="AE39" s="209">
        <v>354812000</v>
      </c>
      <c r="AF39" s="209"/>
      <c r="AG39" s="440"/>
      <c r="AH39" s="255" t="s">
        <v>2205</v>
      </c>
    </row>
    <row r="40" spans="2:34" s="198" customFormat="1" ht="14.1" hidden="1" customHeight="1">
      <c r="B40" s="199">
        <v>31</v>
      </c>
      <c r="C40" s="200"/>
      <c r="D40" s="200" t="s">
        <v>436</v>
      </c>
      <c r="E40" s="437" t="s">
        <v>642</v>
      </c>
      <c r="F40" s="200">
        <v>2</v>
      </c>
      <c r="G40" s="200">
        <v>1</v>
      </c>
      <c r="H40" s="201" t="s">
        <v>2200</v>
      </c>
      <c r="I40" s="201" t="s">
        <v>2201</v>
      </c>
      <c r="J40" s="201" t="s">
        <v>2202</v>
      </c>
      <c r="K40" s="201" t="s">
        <v>2206</v>
      </c>
      <c r="L40" s="201" t="s">
        <v>2164</v>
      </c>
      <c r="M40" s="233"/>
      <c r="N40" s="233">
        <v>2167.12</v>
      </c>
      <c r="O40" s="438">
        <v>2</v>
      </c>
      <c r="P40" s="60"/>
      <c r="Q40" s="200"/>
      <c r="R40" s="200"/>
      <c r="S40" s="439" t="s">
        <v>642</v>
      </c>
      <c r="T40" s="200" t="s">
        <v>2123</v>
      </c>
      <c r="U40" s="209" t="s">
        <v>1059</v>
      </c>
      <c r="V40" s="252">
        <v>2640000000</v>
      </c>
      <c r="W40" s="252">
        <v>2640000000</v>
      </c>
      <c r="X40" s="200">
        <v>2</v>
      </c>
      <c r="Y40" s="209" t="s">
        <v>80</v>
      </c>
      <c r="Z40" s="209">
        <v>136192609</v>
      </c>
      <c r="AA40" s="209">
        <v>136192609</v>
      </c>
      <c r="AB40" s="200"/>
      <c r="AC40" s="209"/>
      <c r="AD40" s="209"/>
      <c r="AE40" s="209"/>
      <c r="AF40" s="209"/>
      <c r="AG40" s="440"/>
      <c r="AH40" s="332" t="s">
        <v>2207</v>
      </c>
    </row>
    <row r="41" spans="2:34" s="198" customFormat="1" ht="14.1" hidden="1" customHeight="1">
      <c r="B41" s="199">
        <v>32</v>
      </c>
      <c r="C41" s="200"/>
      <c r="D41" s="200" t="s">
        <v>436</v>
      </c>
      <c r="E41" s="437" t="s">
        <v>642</v>
      </c>
      <c r="F41" s="200">
        <v>2</v>
      </c>
      <c r="G41" s="200">
        <v>2</v>
      </c>
      <c r="H41" s="201" t="s">
        <v>2200</v>
      </c>
      <c r="I41" s="201" t="s">
        <v>2201</v>
      </c>
      <c r="J41" s="201" t="s">
        <v>2202</v>
      </c>
      <c r="K41" s="201" t="s">
        <v>2208</v>
      </c>
      <c r="L41" s="201" t="s">
        <v>2209</v>
      </c>
      <c r="M41" s="233"/>
      <c r="N41" s="233">
        <v>491.46</v>
      </c>
      <c r="O41" s="438"/>
      <c r="P41" s="60"/>
      <c r="Q41" s="200"/>
      <c r="R41" s="200"/>
      <c r="S41" s="439" t="s">
        <v>642</v>
      </c>
      <c r="T41" s="200" t="s">
        <v>2123</v>
      </c>
      <c r="U41" s="209" t="s">
        <v>1059</v>
      </c>
      <c r="V41" s="252">
        <v>2640000000</v>
      </c>
      <c r="W41" s="252">
        <v>2640000000</v>
      </c>
      <c r="X41" s="200">
        <v>2</v>
      </c>
      <c r="Y41" s="209" t="s">
        <v>80</v>
      </c>
      <c r="Z41" s="209">
        <v>136192609</v>
      </c>
      <c r="AA41" s="209">
        <v>136192609</v>
      </c>
      <c r="AB41" s="200"/>
      <c r="AC41" s="209"/>
      <c r="AD41" s="209"/>
      <c r="AE41" s="209"/>
      <c r="AF41" s="209"/>
      <c r="AG41" s="440"/>
      <c r="AH41" s="332" t="s">
        <v>2207</v>
      </c>
    </row>
    <row r="42" spans="2:34" s="198" customFormat="1" ht="14.1" hidden="1" customHeight="1">
      <c r="B42" s="199">
        <v>33</v>
      </c>
      <c r="C42" s="200"/>
      <c r="D42" s="200" t="s">
        <v>436</v>
      </c>
      <c r="E42" s="437" t="s">
        <v>642</v>
      </c>
      <c r="F42" s="200">
        <v>3</v>
      </c>
      <c r="G42" s="200">
        <v>1</v>
      </c>
      <c r="H42" s="201" t="s">
        <v>2200</v>
      </c>
      <c r="I42" s="201" t="s">
        <v>2201</v>
      </c>
      <c r="J42" s="201" t="s">
        <v>2202</v>
      </c>
      <c r="K42" s="201" t="s">
        <v>2210</v>
      </c>
      <c r="L42" s="201" t="s">
        <v>2160</v>
      </c>
      <c r="M42" s="233"/>
      <c r="N42" s="233">
        <v>779</v>
      </c>
      <c r="O42" s="438"/>
      <c r="P42" s="60"/>
      <c r="Q42" s="200"/>
      <c r="R42" s="200"/>
      <c r="S42" s="439" t="s">
        <v>642</v>
      </c>
      <c r="T42" s="200">
        <v>1</v>
      </c>
      <c r="U42" s="209" t="s">
        <v>1059</v>
      </c>
      <c r="V42" s="252">
        <v>600000000</v>
      </c>
      <c r="W42" s="252">
        <v>600000000</v>
      </c>
      <c r="X42" s="200">
        <v>1</v>
      </c>
      <c r="Y42" s="209" t="s">
        <v>80</v>
      </c>
      <c r="Z42" s="209">
        <v>136192609</v>
      </c>
      <c r="AA42" s="209">
        <v>136192609</v>
      </c>
      <c r="AB42" s="200"/>
      <c r="AC42" s="209"/>
      <c r="AD42" s="209"/>
      <c r="AE42" s="209"/>
      <c r="AF42" s="209"/>
      <c r="AG42" s="440"/>
      <c r="AH42" s="255" t="s">
        <v>2211</v>
      </c>
    </row>
    <row r="43" spans="2:34" s="198" customFormat="1" ht="14.1" hidden="1" customHeight="1">
      <c r="B43" s="199">
        <v>34</v>
      </c>
      <c r="C43" s="200"/>
      <c r="D43" s="200" t="s">
        <v>437</v>
      </c>
      <c r="E43" s="437" t="s">
        <v>643</v>
      </c>
      <c r="F43" s="200">
        <v>1</v>
      </c>
      <c r="G43" s="200">
        <v>1</v>
      </c>
      <c r="H43" s="201" t="s">
        <v>2105</v>
      </c>
      <c r="I43" s="201" t="s">
        <v>2212</v>
      </c>
      <c r="J43" s="201" t="s">
        <v>2213</v>
      </c>
      <c r="K43" s="201" t="s">
        <v>2214</v>
      </c>
      <c r="L43" s="201" t="s">
        <v>2106</v>
      </c>
      <c r="M43" s="233">
        <v>9835</v>
      </c>
      <c r="N43" s="233"/>
      <c r="O43" s="438"/>
      <c r="P43" s="60"/>
      <c r="Q43" s="200"/>
      <c r="R43" s="200"/>
      <c r="S43" s="439" t="s">
        <v>643</v>
      </c>
      <c r="T43" s="200" t="s">
        <v>2123</v>
      </c>
      <c r="U43" s="209" t="s">
        <v>1059</v>
      </c>
      <c r="V43" s="252">
        <v>3084000000</v>
      </c>
      <c r="W43" s="252">
        <v>3084000000</v>
      </c>
      <c r="X43" s="200"/>
      <c r="Y43" s="209"/>
      <c r="Z43" s="209"/>
      <c r="AA43" s="209"/>
      <c r="AB43" s="200"/>
      <c r="AC43" s="209"/>
      <c r="AD43" s="209"/>
      <c r="AE43" s="209"/>
      <c r="AF43" s="209"/>
      <c r="AG43" s="440"/>
      <c r="AH43" s="255"/>
    </row>
    <row r="44" spans="2:34" s="198" customFormat="1" ht="14.1" hidden="1" customHeight="1">
      <c r="B44" s="199">
        <v>35</v>
      </c>
      <c r="C44" s="200"/>
      <c r="D44" s="200" t="s">
        <v>437</v>
      </c>
      <c r="E44" s="437" t="s">
        <v>643</v>
      </c>
      <c r="F44" s="200">
        <v>2</v>
      </c>
      <c r="G44" s="200">
        <v>1</v>
      </c>
      <c r="H44" s="201" t="s">
        <v>2105</v>
      </c>
      <c r="I44" s="201" t="s">
        <v>2212</v>
      </c>
      <c r="J44" s="201" t="s">
        <v>2213</v>
      </c>
      <c r="K44" s="201" t="s">
        <v>2215</v>
      </c>
      <c r="L44" s="201" t="s">
        <v>2160</v>
      </c>
      <c r="M44" s="233"/>
      <c r="N44" s="233">
        <v>1075.75</v>
      </c>
      <c r="O44" s="438">
        <v>2</v>
      </c>
      <c r="P44" s="60"/>
      <c r="Q44" s="200"/>
      <c r="R44" s="200"/>
      <c r="S44" s="439" t="s">
        <v>643</v>
      </c>
      <c r="T44" s="200" t="s">
        <v>2123</v>
      </c>
      <c r="U44" s="209" t="s">
        <v>1059</v>
      </c>
      <c r="V44" s="252">
        <v>3084000000</v>
      </c>
      <c r="W44" s="252">
        <v>3084000000</v>
      </c>
      <c r="X44" s="200"/>
      <c r="Y44" s="209"/>
      <c r="Z44" s="209"/>
      <c r="AA44" s="209"/>
      <c r="AB44" s="200"/>
      <c r="AC44" s="209"/>
      <c r="AD44" s="209"/>
      <c r="AE44" s="209"/>
      <c r="AF44" s="209"/>
      <c r="AG44" s="440"/>
      <c r="AH44" s="255" t="s">
        <v>2216</v>
      </c>
    </row>
    <row r="45" spans="2:34" s="198" customFormat="1" ht="14.1" hidden="1" customHeight="1">
      <c r="B45" s="199">
        <v>36</v>
      </c>
      <c r="C45" s="200"/>
      <c r="D45" s="200" t="s">
        <v>437</v>
      </c>
      <c r="E45" s="437" t="s">
        <v>643</v>
      </c>
      <c r="F45" s="200">
        <v>2</v>
      </c>
      <c r="G45" s="200">
        <v>2</v>
      </c>
      <c r="H45" s="201" t="s">
        <v>2105</v>
      </c>
      <c r="I45" s="201" t="s">
        <v>2212</v>
      </c>
      <c r="J45" s="201" t="s">
        <v>2213</v>
      </c>
      <c r="K45" s="201" t="s">
        <v>2217</v>
      </c>
      <c r="L45" s="201" t="s">
        <v>2160</v>
      </c>
      <c r="M45" s="233"/>
      <c r="N45" s="233">
        <v>450</v>
      </c>
      <c r="O45" s="438"/>
      <c r="P45" s="60"/>
      <c r="Q45" s="200"/>
      <c r="R45" s="200"/>
      <c r="S45" s="439" t="s">
        <v>643</v>
      </c>
      <c r="T45" s="200" t="s">
        <v>2123</v>
      </c>
      <c r="U45" s="209" t="s">
        <v>1059</v>
      </c>
      <c r="V45" s="252">
        <v>3084000000</v>
      </c>
      <c r="W45" s="252">
        <v>3084000000</v>
      </c>
      <c r="X45" s="200"/>
      <c r="Y45" s="209"/>
      <c r="Z45" s="209"/>
      <c r="AA45" s="209"/>
      <c r="AB45" s="200"/>
      <c r="AC45" s="209"/>
      <c r="AD45" s="209"/>
      <c r="AE45" s="209"/>
      <c r="AF45" s="209"/>
      <c r="AG45" s="440"/>
      <c r="AH45" s="255" t="s">
        <v>2216</v>
      </c>
    </row>
    <row r="46" spans="2:34" s="198" customFormat="1" ht="14.1" hidden="1" customHeight="1">
      <c r="B46" s="199">
        <v>37</v>
      </c>
      <c r="C46" s="200"/>
      <c r="D46" s="200" t="s">
        <v>437</v>
      </c>
      <c r="E46" s="437" t="s">
        <v>643</v>
      </c>
      <c r="F46" s="200">
        <v>2</v>
      </c>
      <c r="G46" s="200">
        <v>3</v>
      </c>
      <c r="H46" s="201" t="s">
        <v>2105</v>
      </c>
      <c r="I46" s="201" t="s">
        <v>2212</v>
      </c>
      <c r="J46" s="201" t="s">
        <v>2213</v>
      </c>
      <c r="K46" s="201" t="s">
        <v>2218</v>
      </c>
      <c r="L46" s="201" t="s">
        <v>2160</v>
      </c>
      <c r="M46" s="233"/>
      <c r="N46" s="233">
        <v>200</v>
      </c>
      <c r="O46" s="438"/>
      <c r="P46" s="60"/>
      <c r="Q46" s="200"/>
      <c r="R46" s="200"/>
      <c r="S46" s="439" t="s">
        <v>643</v>
      </c>
      <c r="T46" s="200" t="s">
        <v>2123</v>
      </c>
      <c r="U46" s="209" t="s">
        <v>1059</v>
      </c>
      <c r="V46" s="252">
        <v>3084000000</v>
      </c>
      <c r="W46" s="252">
        <v>3084000000</v>
      </c>
      <c r="X46" s="200"/>
      <c r="Y46" s="209"/>
      <c r="Z46" s="209"/>
      <c r="AA46" s="209"/>
      <c r="AB46" s="200"/>
      <c r="AC46" s="209"/>
      <c r="AD46" s="209"/>
      <c r="AE46" s="209"/>
      <c r="AF46" s="209"/>
      <c r="AG46" s="440"/>
      <c r="AH46" s="255" t="s">
        <v>2216</v>
      </c>
    </row>
    <row r="47" spans="2:34" s="198" customFormat="1" ht="14.1" hidden="1" customHeight="1">
      <c r="B47" s="199">
        <v>38</v>
      </c>
      <c r="C47" s="200"/>
      <c r="D47" s="200" t="s">
        <v>437</v>
      </c>
      <c r="E47" s="437" t="s">
        <v>643</v>
      </c>
      <c r="F47" s="200">
        <v>3</v>
      </c>
      <c r="G47" s="200">
        <v>1</v>
      </c>
      <c r="H47" s="201" t="s">
        <v>2105</v>
      </c>
      <c r="I47" s="201" t="s">
        <v>2212</v>
      </c>
      <c r="J47" s="201" t="s">
        <v>2213</v>
      </c>
      <c r="K47" s="201" t="s">
        <v>2219</v>
      </c>
      <c r="L47" s="201" t="s">
        <v>2125</v>
      </c>
      <c r="M47" s="233">
        <v>4495</v>
      </c>
      <c r="N47" s="233"/>
      <c r="O47" s="438"/>
      <c r="P47" s="60"/>
      <c r="Q47" s="200"/>
      <c r="R47" s="200"/>
      <c r="S47" s="439" t="s">
        <v>643</v>
      </c>
      <c r="T47" s="200">
        <v>1</v>
      </c>
      <c r="U47" s="209" t="s">
        <v>1059</v>
      </c>
      <c r="V47" s="252">
        <v>324000000</v>
      </c>
      <c r="W47" s="252">
        <v>324000000</v>
      </c>
      <c r="X47" s="200"/>
      <c r="Y47" s="209"/>
      <c r="Z47" s="209"/>
      <c r="AA47" s="209"/>
      <c r="AB47" s="200"/>
      <c r="AC47" s="209"/>
      <c r="AD47" s="209"/>
      <c r="AE47" s="209"/>
      <c r="AF47" s="209"/>
      <c r="AG47" s="440"/>
      <c r="AH47" s="255" t="s">
        <v>2220</v>
      </c>
    </row>
    <row r="48" spans="2:34" s="198" customFormat="1" ht="14.1" hidden="1" customHeight="1">
      <c r="B48" s="199">
        <v>39</v>
      </c>
      <c r="C48" s="200"/>
      <c r="D48" s="200" t="s">
        <v>438</v>
      </c>
      <c r="E48" s="437" t="s">
        <v>644</v>
      </c>
      <c r="F48" s="200">
        <v>1</v>
      </c>
      <c r="G48" s="200">
        <v>1</v>
      </c>
      <c r="H48" s="201" t="s">
        <v>2107</v>
      </c>
      <c r="I48" s="201" t="s">
        <v>2221</v>
      </c>
      <c r="J48" s="201" t="s">
        <v>2222</v>
      </c>
      <c r="K48" s="201" t="s">
        <v>2223</v>
      </c>
      <c r="L48" s="201" t="s">
        <v>2106</v>
      </c>
      <c r="M48" s="233">
        <v>77</v>
      </c>
      <c r="N48" s="233"/>
      <c r="O48" s="438" t="s">
        <v>192</v>
      </c>
      <c r="P48" s="60"/>
      <c r="Q48" s="200"/>
      <c r="R48" s="200"/>
      <c r="S48" s="439" t="s">
        <v>644</v>
      </c>
      <c r="T48" s="200" t="s">
        <v>2118</v>
      </c>
      <c r="U48" s="209" t="s">
        <v>1059</v>
      </c>
      <c r="V48" s="252">
        <v>1480000000</v>
      </c>
      <c r="W48" s="252">
        <v>1480000000</v>
      </c>
      <c r="X48" s="200">
        <v>2</v>
      </c>
      <c r="Y48" s="209" t="s">
        <v>1059</v>
      </c>
      <c r="Z48" s="209">
        <v>100000000</v>
      </c>
      <c r="AA48" s="209">
        <v>100000000</v>
      </c>
      <c r="AB48" s="200"/>
      <c r="AC48" s="209"/>
      <c r="AD48" s="209"/>
      <c r="AE48" s="209"/>
      <c r="AF48" s="209"/>
      <c r="AG48" s="440"/>
      <c r="AH48" s="255" t="s">
        <v>2224</v>
      </c>
    </row>
    <row r="49" spans="2:34" s="198" customFormat="1" ht="14.1" hidden="1" customHeight="1">
      <c r="B49" s="199">
        <v>40</v>
      </c>
      <c r="C49" s="200"/>
      <c r="D49" s="200" t="s">
        <v>438</v>
      </c>
      <c r="E49" s="437" t="s">
        <v>644</v>
      </c>
      <c r="F49" s="200">
        <v>1</v>
      </c>
      <c r="G49" s="200">
        <v>2</v>
      </c>
      <c r="H49" s="201" t="s">
        <v>2107</v>
      </c>
      <c r="I49" s="201" t="s">
        <v>2221</v>
      </c>
      <c r="J49" s="201" t="s">
        <v>2222</v>
      </c>
      <c r="K49" s="201" t="s">
        <v>2225</v>
      </c>
      <c r="L49" s="201" t="s">
        <v>2106</v>
      </c>
      <c r="M49" s="233">
        <v>30</v>
      </c>
      <c r="N49" s="233"/>
      <c r="O49" s="438"/>
      <c r="P49" s="60"/>
      <c r="Q49" s="200"/>
      <c r="R49" s="200"/>
      <c r="S49" s="439" t="s">
        <v>644</v>
      </c>
      <c r="T49" s="200" t="s">
        <v>2118</v>
      </c>
      <c r="U49" s="209" t="s">
        <v>1059</v>
      </c>
      <c r="V49" s="252">
        <v>1480000000</v>
      </c>
      <c r="W49" s="252">
        <v>1480000000</v>
      </c>
      <c r="X49" s="200">
        <v>2</v>
      </c>
      <c r="Y49" s="209" t="s">
        <v>1059</v>
      </c>
      <c r="Z49" s="209">
        <v>100000000</v>
      </c>
      <c r="AA49" s="209">
        <v>100000000</v>
      </c>
      <c r="AB49" s="200"/>
      <c r="AC49" s="209"/>
      <c r="AD49" s="209"/>
      <c r="AE49" s="209"/>
      <c r="AF49" s="209"/>
      <c r="AG49" s="440"/>
      <c r="AH49" s="255" t="s">
        <v>2224</v>
      </c>
    </row>
    <row r="50" spans="2:34" s="198" customFormat="1" ht="14.1" hidden="1" customHeight="1">
      <c r="B50" s="199">
        <v>41</v>
      </c>
      <c r="C50" s="200"/>
      <c r="D50" s="200" t="s">
        <v>438</v>
      </c>
      <c r="E50" s="437" t="s">
        <v>644</v>
      </c>
      <c r="F50" s="200">
        <v>1</v>
      </c>
      <c r="G50" s="200">
        <v>3</v>
      </c>
      <c r="H50" s="201" t="s">
        <v>2107</v>
      </c>
      <c r="I50" s="201" t="s">
        <v>2221</v>
      </c>
      <c r="J50" s="201" t="s">
        <v>2222</v>
      </c>
      <c r="K50" s="201" t="s">
        <v>2226</v>
      </c>
      <c r="L50" s="201" t="s">
        <v>2106</v>
      </c>
      <c r="M50" s="233">
        <v>270</v>
      </c>
      <c r="N50" s="233"/>
      <c r="O50" s="438"/>
      <c r="P50" s="60"/>
      <c r="Q50" s="200"/>
      <c r="R50" s="200"/>
      <c r="S50" s="439" t="s">
        <v>644</v>
      </c>
      <c r="T50" s="200" t="s">
        <v>2118</v>
      </c>
      <c r="U50" s="209" t="s">
        <v>1059</v>
      </c>
      <c r="V50" s="252">
        <v>1480000000</v>
      </c>
      <c r="W50" s="252">
        <v>1480000000</v>
      </c>
      <c r="X50" s="200">
        <v>2</v>
      </c>
      <c r="Y50" s="209" t="s">
        <v>1059</v>
      </c>
      <c r="Z50" s="209">
        <v>100000000</v>
      </c>
      <c r="AA50" s="209">
        <v>100000000</v>
      </c>
      <c r="AB50" s="200"/>
      <c r="AC50" s="209"/>
      <c r="AD50" s="209"/>
      <c r="AE50" s="209"/>
      <c r="AF50" s="209"/>
      <c r="AG50" s="440"/>
      <c r="AH50" s="255" t="s">
        <v>2224</v>
      </c>
    </row>
    <row r="51" spans="2:34" s="198" customFormat="1" ht="14.1" hidden="1" customHeight="1">
      <c r="B51" s="199">
        <v>42</v>
      </c>
      <c r="C51" s="200"/>
      <c r="D51" s="200" t="s">
        <v>438</v>
      </c>
      <c r="E51" s="437" t="s">
        <v>644</v>
      </c>
      <c r="F51" s="200">
        <v>1</v>
      </c>
      <c r="G51" s="200">
        <v>4</v>
      </c>
      <c r="H51" s="201" t="s">
        <v>2107</v>
      </c>
      <c r="I51" s="201" t="s">
        <v>2221</v>
      </c>
      <c r="J51" s="201" t="s">
        <v>2222</v>
      </c>
      <c r="K51" s="201" t="s">
        <v>2227</v>
      </c>
      <c r="L51" s="201" t="s">
        <v>2106</v>
      </c>
      <c r="M51" s="233">
        <v>2076</v>
      </c>
      <c r="N51" s="233"/>
      <c r="O51" s="438"/>
      <c r="P51" s="60"/>
      <c r="Q51" s="200"/>
      <c r="R51" s="200"/>
      <c r="S51" s="439" t="s">
        <v>644</v>
      </c>
      <c r="T51" s="200" t="s">
        <v>2118</v>
      </c>
      <c r="U51" s="209" t="s">
        <v>1059</v>
      </c>
      <c r="V51" s="252">
        <v>1480000000</v>
      </c>
      <c r="W51" s="252">
        <v>1480000000</v>
      </c>
      <c r="X51" s="200">
        <v>2</v>
      </c>
      <c r="Y51" s="209" t="s">
        <v>1059</v>
      </c>
      <c r="Z51" s="209">
        <v>100000000</v>
      </c>
      <c r="AA51" s="209">
        <v>100000000</v>
      </c>
      <c r="AB51" s="200"/>
      <c r="AC51" s="209"/>
      <c r="AD51" s="209"/>
      <c r="AE51" s="209"/>
      <c r="AF51" s="209"/>
      <c r="AG51" s="440"/>
      <c r="AH51" s="255" t="s">
        <v>2224</v>
      </c>
    </row>
    <row r="52" spans="2:34" s="198" customFormat="1" ht="14.1" hidden="1" customHeight="1">
      <c r="B52" s="199">
        <v>43</v>
      </c>
      <c r="C52" s="200"/>
      <c r="D52" s="200" t="s">
        <v>438</v>
      </c>
      <c r="E52" s="437" t="s">
        <v>644</v>
      </c>
      <c r="F52" s="200">
        <v>1</v>
      </c>
      <c r="G52" s="200">
        <v>5</v>
      </c>
      <c r="H52" s="201" t="s">
        <v>2107</v>
      </c>
      <c r="I52" s="201" t="s">
        <v>2221</v>
      </c>
      <c r="J52" s="201" t="s">
        <v>2222</v>
      </c>
      <c r="K52" s="201" t="s">
        <v>2228</v>
      </c>
      <c r="L52" s="201" t="s">
        <v>2106</v>
      </c>
      <c r="M52" s="233">
        <v>1171</v>
      </c>
      <c r="N52" s="233"/>
      <c r="O52" s="438"/>
      <c r="P52" s="60"/>
      <c r="Q52" s="200"/>
      <c r="R52" s="200"/>
      <c r="S52" s="439" t="s">
        <v>644</v>
      </c>
      <c r="T52" s="200" t="s">
        <v>2118</v>
      </c>
      <c r="U52" s="209" t="s">
        <v>1059</v>
      </c>
      <c r="V52" s="252">
        <v>1480000000</v>
      </c>
      <c r="W52" s="252">
        <v>1480000000</v>
      </c>
      <c r="X52" s="200">
        <v>2</v>
      </c>
      <c r="Y52" s="209" t="s">
        <v>1059</v>
      </c>
      <c r="Z52" s="209">
        <v>100000000</v>
      </c>
      <c r="AA52" s="209">
        <v>100000000</v>
      </c>
      <c r="AB52" s="200"/>
      <c r="AC52" s="209"/>
      <c r="AD52" s="209"/>
      <c r="AE52" s="209"/>
      <c r="AF52" s="209"/>
      <c r="AG52" s="440"/>
      <c r="AH52" s="255" t="s">
        <v>2224</v>
      </c>
    </row>
    <row r="53" spans="2:34" s="198" customFormat="1" ht="14.1" hidden="1" customHeight="1">
      <c r="B53" s="199">
        <v>44</v>
      </c>
      <c r="C53" s="200"/>
      <c r="D53" s="200" t="s">
        <v>438</v>
      </c>
      <c r="E53" s="437" t="s">
        <v>644</v>
      </c>
      <c r="F53" s="200">
        <v>1</v>
      </c>
      <c r="G53" s="200">
        <v>6</v>
      </c>
      <c r="H53" s="201" t="s">
        <v>2107</v>
      </c>
      <c r="I53" s="201" t="s">
        <v>2221</v>
      </c>
      <c r="J53" s="201" t="s">
        <v>2222</v>
      </c>
      <c r="K53" s="201" t="s">
        <v>2229</v>
      </c>
      <c r="L53" s="201" t="s">
        <v>2230</v>
      </c>
      <c r="M53" s="233"/>
      <c r="N53" s="233">
        <v>725.85</v>
      </c>
      <c r="O53" s="438">
        <v>2</v>
      </c>
      <c r="P53" s="60"/>
      <c r="Q53" s="200"/>
      <c r="R53" s="200"/>
      <c r="S53" s="439" t="s">
        <v>644</v>
      </c>
      <c r="T53" s="200" t="s">
        <v>2118</v>
      </c>
      <c r="U53" s="209" t="s">
        <v>1059</v>
      </c>
      <c r="V53" s="252">
        <v>1480000000</v>
      </c>
      <c r="W53" s="252">
        <v>1480000000</v>
      </c>
      <c r="X53" s="200">
        <v>2</v>
      </c>
      <c r="Y53" s="209" t="s">
        <v>1059</v>
      </c>
      <c r="Z53" s="209">
        <v>100000000</v>
      </c>
      <c r="AA53" s="209">
        <v>100000000</v>
      </c>
      <c r="AB53" s="200"/>
      <c r="AC53" s="209"/>
      <c r="AD53" s="209"/>
      <c r="AE53" s="209"/>
      <c r="AF53" s="209"/>
      <c r="AG53" s="440"/>
      <c r="AH53" s="255" t="s">
        <v>2224</v>
      </c>
    </row>
    <row r="54" spans="2:34" s="198" customFormat="1" ht="14.1" hidden="1" customHeight="1">
      <c r="B54" s="199">
        <v>45</v>
      </c>
      <c r="C54" s="200"/>
      <c r="D54" s="200" t="s">
        <v>439</v>
      </c>
      <c r="E54" s="437" t="s">
        <v>645</v>
      </c>
      <c r="F54" s="200">
        <v>1</v>
      </c>
      <c r="G54" s="200">
        <v>1</v>
      </c>
      <c r="H54" s="201" t="s">
        <v>2119</v>
      </c>
      <c r="I54" s="201" t="s">
        <v>2120</v>
      </c>
      <c r="J54" s="201" t="s">
        <v>2231</v>
      </c>
      <c r="K54" s="201" t="s">
        <v>2232</v>
      </c>
      <c r="L54" s="201" t="s">
        <v>2106</v>
      </c>
      <c r="M54" s="233">
        <v>3977</v>
      </c>
      <c r="N54" s="233"/>
      <c r="O54" s="438"/>
      <c r="P54" s="60"/>
      <c r="Q54" s="200"/>
      <c r="R54" s="200"/>
      <c r="S54" s="439" t="s">
        <v>645</v>
      </c>
      <c r="T54" s="200" t="s">
        <v>2123</v>
      </c>
      <c r="U54" s="209" t="s">
        <v>1059</v>
      </c>
      <c r="V54" s="252">
        <v>2244000000</v>
      </c>
      <c r="W54" s="252">
        <v>2244000000</v>
      </c>
      <c r="X54" s="200">
        <v>2</v>
      </c>
      <c r="Y54" s="209" t="s">
        <v>1059</v>
      </c>
      <c r="Z54" s="209">
        <v>237927803</v>
      </c>
      <c r="AA54" s="209">
        <v>237927803</v>
      </c>
      <c r="AB54" s="200"/>
      <c r="AC54" s="209"/>
      <c r="AD54" s="209"/>
      <c r="AE54" s="209"/>
      <c r="AF54" s="209"/>
      <c r="AG54" s="440"/>
      <c r="AH54" s="255" t="s">
        <v>2233</v>
      </c>
    </row>
    <row r="55" spans="2:34" s="198" customFormat="1" ht="14.1" hidden="1" customHeight="1">
      <c r="B55" s="199">
        <v>46</v>
      </c>
      <c r="C55" s="200"/>
      <c r="D55" s="200" t="s">
        <v>439</v>
      </c>
      <c r="E55" s="437" t="s">
        <v>645</v>
      </c>
      <c r="F55" s="200">
        <v>1</v>
      </c>
      <c r="G55" s="200">
        <v>2</v>
      </c>
      <c r="H55" s="201" t="s">
        <v>2119</v>
      </c>
      <c r="I55" s="201" t="s">
        <v>2120</v>
      </c>
      <c r="J55" s="201" t="s">
        <v>2231</v>
      </c>
      <c r="K55" s="201" t="s">
        <v>2234</v>
      </c>
      <c r="L55" s="201" t="s">
        <v>2235</v>
      </c>
      <c r="M55" s="233"/>
      <c r="N55" s="233">
        <v>626.76</v>
      </c>
      <c r="O55" s="438">
        <v>10</v>
      </c>
      <c r="P55" s="60"/>
      <c r="Q55" s="200"/>
      <c r="R55" s="200"/>
      <c r="S55" s="439" t="s">
        <v>645</v>
      </c>
      <c r="T55" s="200" t="s">
        <v>2123</v>
      </c>
      <c r="U55" s="209" t="s">
        <v>1059</v>
      </c>
      <c r="V55" s="252">
        <v>2244000000</v>
      </c>
      <c r="W55" s="252">
        <v>2244000000</v>
      </c>
      <c r="X55" s="200">
        <v>2</v>
      </c>
      <c r="Y55" s="209" t="s">
        <v>1059</v>
      </c>
      <c r="Z55" s="209">
        <v>237927803</v>
      </c>
      <c r="AA55" s="209">
        <v>237927803</v>
      </c>
      <c r="AB55" s="200"/>
      <c r="AC55" s="209"/>
      <c r="AD55" s="209"/>
      <c r="AE55" s="209"/>
      <c r="AF55" s="209"/>
      <c r="AG55" s="440"/>
      <c r="AH55" s="255" t="s">
        <v>2233</v>
      </c>
    </row>
    <row r="56" spans="2:34" s="198" customFormat="1" ht="14.1" hidden="1" customHeight="1">
      <c r="B56" s="199">
        <v>47</v>
      </c>
      <c r="C56" s="200"/>
      <c r="D56" s="200" t="s">
        <v>439</v>
      </c>
      <c r="E56" s="437" t="s">
        <v>645</v>
      </c>
      <c r="F56" s="200">
        <v>1</v>
      </c>
      <c r="G56" s="200">
        <v>3</v>
      </c>
      <c r="H56" s="201" t="s">
        <v>2119</v>
      </c>
      <c r="I56" s="201" t="s">
        <v>2120</v>
      </c>
      <c r="J56" s="201" t="s">
        <v>2231</v>
      </c>
      <c r="K56" s="201" t="s">
        <v>2236</v>
      </c>
      <c r="L56" s="201" t="s">
        <v>2160</v>
      </c>
      <c r="M56" s="233"/>
      <c r="N56" s="233">
        <v>494.1</v>
      </c>
      <c r="O56" s="438"/>
      <c r="P56" s="60"/>
      <c r="Q56" s="200"/>
      <c r="R56" s="200"/>
      <c r="S56" s="439" t="s">
        <v>645</v>
      </c>
      <c r="T56" s="200" t="s">
        <v>2123</v>
      </c>
      <c r="U56" s="209" t="s">
        <v>1059</v>
      </c>
      <c r="V56" s="252">
        <v>2244000000</v>
      </c>
      <c r="W56" s="252">
        <v>2244000000</v>
      </c>
      <c r="X56" s="200">
        <v>2</v>
      </c>
      <c r="Y56" s="209" t="s">
        <v>1059</v>
      </c>
      <c r="Z56" s="209">
        <v>237927803</v>
      </c>
      <c r="AA56" s="209">
        <v>237927803</v>
      </c>
      <c r="AB56" s="200"/>
      <c r="AC56" s="209"/>
      <c r="AD56" s="209"/>
      <c r="AE56" s="209"/>
      <c r="AF56" s="209"/>
      <c r="AG56" s="440"/>
      <c r="AH56" s="255" t="s">
        <v>2233</v>
      </c>
    </row>
    <row r="57" spans="2:34" s="198" customFormat="1" ht="14.1" hidden="1" customHeight="1">
      <c r="B57" s="199">
        <v>48</v>
      </c>
      <c r="C57" s="200"/>
      <c r="D57" s="200" t="s">
        <v>439</v>
      </c>
      <c r="E57" s="437" t="s">
        <v>645</v>
      </c>
      <c r="F57" s="200">
        <v>1</v>
      </c>
      <c r="G57" s="200">
        <v>4</v>
      </c>
      <c r="H57" s="201" t="s">
        <v>2119</v>
      </c>
      <c r="I57" s="201" t="s">
        <v>2120</v>
      </c>
      <c r="J57" s="201" t="s">
        <v>2231</v>
      </c>
      <c r="K57" s="201" t="s">
        <v>2237</v>
      </c>
      <c r="L57" s="201" t="s">
        <v>2109</v>
      </c>
      <c r="M57" s="233">
        <v>12</v>
      </c>
      <c r="N57" s="233"/>
      <c r="O57" s="438"/>
      <c r="P57" s="60"/>
      <c r="Q57" s="200"/>
      <c r="R57" s="200"/>
      <c r="S57" s="439" t="s">
        <v>645</v>
      </c>
      <c r="T57" s="200" t="s">
        <v>2123</v>
      </c>
      <c r="U57" s="209" t="s">
        <v>1059</v>
      </c>
      <c r="V57" s="252">
        <v>2244000000</v>
      </c>
      <c r="W57" s="252">
        <v>2244000000</v>
      </c>
      <c r="X57" s="200">
        <v>2</v>
      </c>
      <c r="Y57" s="209" t="s">
        <v>1059</v>
      </c>
      <c r="Z57" s="209">
        <v>237927803</v>
      </c>
      <c r="AA57" s="209">
        <v>237927803</v>
      </c>
      <c r="AB57" s="200"/>
      <c r="AC57" s="209"/>
      <c r="AD57" s="209"/>
      <c r="AE57" s="209"/>
      <c r="AF57" s="209"/>
      <c r="AG57" s="440"/>
      <c r="AH57" s="255" t="s">
        <v>2233</v>
      </c>
    </row>
    <row r="58" spans="2:34" s="198" customFormat="1" ht="14.1" hidden="1" customHeight="1">
      <c r="B58" s="199">
        <v>49</v>
      </c>
      <c r="C58" s="200"/>
      <c r="D58" s="200" t="s">
        <v>439</v>
      </c>
      <c r="E58" s="437" t="s">
        <v>645</v>
      </c>
      <c r="F58" s="200">
        <v>1</v>
      </c>
      <c r="G58" s="200">
        <v>5</v>
      </c>
      <c r="H58" s="201" t="s">
        <v>2119</v>
      </c>
      <c r="I58" s="201" t="s">
        <v>2120</v>
      </c>
      <c r="J58" s="201" t="s">
        <v>2231</v>
      </c>
      <c r="K58" s="201" t="s">
        <v>2238</v>
      </c>
      <c r="L58" s="201" t="s">
        <v>2109</v>
      </c>
      <c r="M58" s="233">
        <v>112</v>
      </c>
      <c r="N58" s="233"/>
      <c r="O58" s="438"/>
      <c r="P58" s="60"/>
      <c r="Q58" s="200"/>
      <c r="R58" s="200"/>
      <c r="S58" s="439" t="s">
        <v>645</v>
      </c>
      <c r="T58" s="200" t="s">
        <v>2123</v>
      </c>
      <c r="U58" s="209" t="s">
        <v>1059</v>
      </c>
      <c r="V58" s="252">
        <v>2244000000</v>
      </c>
      <c r="W58" s="252">
        <v>2244000000</v>
      </c>
      <c r="X58" s="200">
        <v>2</v>
      </c>
      <c r="Y58" s="209" t="s">
        <v>1059</v>
      </c>
      <c r="Z58" s="209">
        <v>237927803</v>
      </c>
      <c r="AA58" s="209">
        <v>237927803</v>
      </c>
      <c r="AB58" s="200"/>
      <c r="AC58" s="209"/>
      <c r="AD58" s="209"/>
      <c r="AE58" s="209"/>
      <c r="AF58" s="209"/>
      <c r="AG58" s="440"/>
      <c r="AH58" s="255" t="s">
        <v>2233</v>
      </c>
    </row>
    <row r="59" spans="2:34" s="198" customFormat="1" ht="14.1" hidden="1" customHeight="1">
      <c r="B59" s="199">
        <v>50</v>
      </c>
      <c r="C59" s="200"/>
      <c r="D59" s="200" t="s">
        <v>440</v>
      </c>
      <c r="E59" s="437" t="s">
        <v>646</v>
      </c>
      <c r="F59" s="200">
        <v>1</v>
      </c>
      <c r="G59" s="200">
        <v>1</v>
      </c>
      <c r="H59" s="201" t="s">
        <v>2239</v>
      </c>
      <c r="I59" s="201" t="s">
        <v>2240</v>
      </c>
      <c r="J59" s="201" t="s">
        <v>2241</v>
      </c>
      <c r="K59" s="442" t="s">
        <v>2242</v>
      </c>
      <c r="L59" s="201" t="s">
        <v>2122</v>
      </c>
      <c r="M59" s="233">
        <v>256.5</v>
      </c>
      <c r="N59" s="233"/>
      <c r="O59" s="438"/>
      <c r="P59" s="60"/>
      <c r="Q59" s="200"/>
      <c r="R59" s="200"/>
      <c r="S59" s="439" t="s">
        <v>646</v>
      </c>
      <c r="T59" s="200" t="s">
        <v>2118</v>
      </c>
      <c r="U59" s="209" t="s">
        <v>1059</v>
      </c>
      <c r="V59" s="252">
        <v>1907200000</v>
      </c>
      <c r="W59" s="252">
        <v>1907200000</v>
      </c>
      <c r="X59" s="200"/>
      <c r="Y59" s="209"/>
      <c r="Z59" s="209"/>
      <c r="AA59" s="209"/>
      <c r="AB59" s="200"/>
      <c r="AC59" s="209"/>
      <c r="AD59" s="209"/>
      <c r="AE59" s="209"/>
      <c r="AF59" s="209"/>
      <c r="AG59" s="440"/>
      <c r="AH59" s="255" t="s">
        <v>2243</v>
      </c>
    </row>
    <row r="60" spans="2:34" s="198" customFormat="1" ht="14.1" hidden="1" customHeight="1">
      <c r="B60" s="199">
        <v>51</v>
      </c>
      <c r="C60" s="200"/>
      <c r="D60" s="200" t="s">
        <v>440</v>
      </c>
      <c r="E60" s="437" t="s">
        <v>646</v>
      </c>
      <c r="F60" s="200">
        <v>1</v>
      </c>
      <c r="G60" s="200">
        <v>2</v>
      </c>
      <c r="H60" s="201" t="s">
        <v>2239</v>
      </c>
      <c r="I60" s="201" t="s">
        <v>2240</v>
      </c>
      <c r="J60" s="201" t="s">
        <v>2241</v>
      </c>
      <c r="K60" s="442" t="s">
        <v>2244</v>
      </c>
      <c r="L60" s="201" t="s">
        <v>2245</v>
      </c>
      <c r="M60" s="233" t="s">
        <v>192</v>
      </c>
      <c r="N60" s="233">
        <v>1461.4</v>
      </c>
      <c r="O60" s="438" t="s">
        <v>192</v>
      </c>
      <c r="P60" s="60"/>
      <c r="Q60" s="200"/>
      <c r="R60" s="200"/>
      <c r="S60" s="439" t="s">
        <v>646</v>
      </c>
      <c r="T60" s="200" t="s">
        <v>2118</v>
      </c>
      <c r="U60" s="209" t="s">
        <v>1059</v>
      </c>
      <c r="V60" s="252">
        <v>1907200000</v>
      </c>
      <c r="W60" s="252">
        <v>1907200000</v>
      </c>
      <c r="X60" s="200"/>
      <c r="Y60" s="209"/>
      <c r="Z60" s="209"/>
      <c r="AA60" s="209"/>
      <c r="AB60" s="200"/>
      <c r="AC60" s="209"/>
      <c r="AD60" s="209"/>
      <c r="AE60" s="209"/>
      <c r="AF60" s="209"/>
      <c r="AG60" s="440"/>
      <c r="AH60" s="255" t="s">
        <v>2243</v>
      </c>
    </row>
    <row r="61" spans="2:34" s="198" customFormat="1" ht="14.1" hidden="1" customHeight="1">
      <c r="B61" s="199">
        <v>52</v>
      </c>
      <c r="C61" s="200"/>
      <c r="D61" s="200" t="s">
        <v>440</v>
      </c>
      <c r="E61" s="437" t="s">
        <v>646</v>
      </c>
      <c r="F61" s="200">
        <v>2</v>
      </c>
      <c r="G61" s="200">
        <v>1</v>
      </c>
      <c r="H61" s="201" t="s">
        <v>2239</v>
      </c>
      <c r="I61" s="201" t="s">
        <v>2240</v>
      </c>
      <c r="J61" s="201" t="s">
        <v>2246</v>
      </c>
      <c r="K61" s="201" t="s">
        <v>2247</v>
      </c>
      <c r="L61" s="201" t="s">
        <v>2248</v>
      </c>
      <c r="M61" s="233">
        <v>7094.2</v>
      </c>
      <c r="N61" s="233">
        <v>122.9205</v>
      </c>
      <c r="O61" s="438"/>
      <c r="P61" s="60"/>
      <c r="Q61" s="200" t="s">
        <v>2249</v>
      </c>
      <c r="R61" s="200"/>
      <c r="S61" s="303" t="s">
        <v>2250</v>
      </c>
      <c r="T61" s="200">
        <v>1</v>
      </c>
      <c r="U61" s="209" t="s">
        <v>1059</v>
      </c>
      <c r="V61" s="252">
        <v>240000000</v>
      </c>
      <c r="W61" s="252">
        <v>240000000</v>
      </c>
      <c r="X61" s="200"/>
      <c r="Y61" s="209"/>
      <c r="Z61" s="209"/>
      <c r="AA61" s="209"/>
      <c r="AB61" s="200"/>
      <c r="AC61" s="209"/>
      <c r="AD61" s="209"/>
      <c r="AE61" s="209"/>
      <c r="AF61" s="209"/>
      <c r="AG61" s="440"/>
      <c r="AH61" s="255"/>
    </row>
    <row r="62" spans="2:34" s="198" customFormat="1" ht="14.1" hidden="1" customHeight="1">
      <c r="B62" s="199">
        <v>53</v>
      </c>
      <c r="C62" s="200"/>
      <c r="D62" s="200" t="s">
        <v>441</v>
      </c>
      <c r="E62" s="437" t="s">
        <v>239</v>
      </c>
      <c r="F62" s="200">
        <v>1</v>
      </c>
      <c r="G62" s="200">
        <v>1</v>
      </c>
      <c r="H62" s="201" t="s">
        <v>2107</v>
      </c>
      <c r="I62" s="201" t="s">
        <v>2124</v>
      </c>
      <c r="J62" s="201" t="s">
        <v>2251</v>
      </c>
      <c r="K62" s="201" t="s">
        <v>2252</v>
      </c>
      <c r="L62" s="201" t="s">
        <v>2106</v>
      </c>
      <c r="M62" s="233">
        <v>2175</v>
      </c>
      <c r="N62" s="233"/>
      <c r="O62" s="438"/>
      <c r="P62" s="60"/>
      <c r="Q62" s="200"/>
      <c r="R62" s="200"/>
      <c r="S62" s="439" t="s">
        <v>239</v>
      </c>
      <c r="T62" s="200" t="s">
        <v>2123</v>
      </c>
      <c r="U62" s="209" t="s">
        <v>1059</v>
      </c>
      <c r="V62" s="252">
        <v>1200000000</v>
      </c>
      <c r="W62" s="252">
        <v>1200000000</v>
      </c>
      <c r="X62" s="200"/>
      <c r="Y62" s="209"/>
      <c r="Z62" s="209"/>
      <c r="AA62" s="209"/>
      <c r="AB62" s="200"/>
      <c r="AC62" s="209"/>
      <c r="AD62" s="209"/>
      <c r="AE62" s="209"/>
      <c r="AF62" s="209"/>
      <c r="AG62" s="440"/>
      <c r="AH62" s="255"/>
    </row>
    <row r="63" spans="2:34" s="198" customFormat="1" ht="14.1" hidden="1" customHeight="1">
      <c r="B63" s="199">
        <v>54</v>
      </c>
      <c r="C63" s="200"/>
      <c r="D63" s="200" t="s">
        <v>441</v>
      </c>
      <c r="E63" s="437" t="s">
        <v>239</v>
      </c>
      <c r="F63" s="200">
        <v>1</v>
      </c>
      <c r="G63" s="200">
        <v>2</v>
      </c>
      <c r="H63" s="201" t="s">
        <v>2107</v>
      </c>
      <c r="I63" s="201" t="s">
        <v>2124</v>
      </c>
      <c r="J63" s="201" t="s">
        <v>2251</v>
      </c>
      <c r="K63" s="201" t="s">
        <v>2253</v>
      </c>
      <c r="L63" s="201" t="s">
        <v>2164</v>
      </c>
      <c r="M63" s="233"/>
      <c r="N63" s="233">
        <v>690</v>
      </c>
      <c r="O63" s="438"/>
      <c r="P63" s="60"/>
      <c r="Q63" s="200"/>
      <c r="R63" s="200"/>
      <c r="S63" s="439" t="s">
        <v>239</v>
      </c>
      <c r="T63" s="200" t="s">
        <v>2123</v>
      </c>
      <c r="U63" s="209" t="s">
        <v>1059</v>
      </c>
      <c r="V63" s="252">
        <v>1200000000</v>
      </c>
      <c r="W63" s="252">
        <v>1200000000</v>
      </c>
      <c r="X63" s="200"/>
      <c r="Y63" s="209"/>
      <c r="Z63" s="209"/>
      <c r="AA63" s="209"/>
      <c r="AB63" s="200"/>
      <c r="AC63" s="209"/>
      <c r="AD63" s="209"/>
      <c r="AE63" s="209"/>
      <c r="AF63" s="209"/>
      <c r="AG63" s="440"/>
      <c r="AH63" s="255"/>
    </row>
    <row r="64" spans="2:34" s="198" customFormat="1" ht="14.1" hidden="1" customHeight="1">
      <c r="B64" s="199">
        <v>55</v>
      </c>
      <c r="C64" s="200"/>
      <c r="D64" s="200" t="s">
        <v>441</v>
      </c>
      <c r="E64" s="437" t="s">
        <v>239</v>
      </c>
      <c r="F64" s="200">
        <v>1</v>
      </c>
      <c r="G64" s="200">
        <v>3</v>
      </c>
      <c r="H64" s="201" t="s">
        <v>2107</v>
      </c>
      <c r="I64" s="201" t="s">
        <v>2124</v>
      </c>
      <c r="J64" s="201" t="s">
        <v>2251</v>
      </c>
      <c r="K64" s="201" t="s">
        <v>2254</v>
      </c>
      <c r="L64" s="201" t="s">
        <v>2160</v>
      </c>
      <c r="M64" s="233"/>
      <c r="N64" s="233">
        <v>315</v>
      </c>
      <c r="O64" s="438"/>
      <c r="P64" s="60"/>
      <c r="Q64" s="200"/>
      <c r="R64" s="200"/>
      <c r="S64" s="439" t="s">
        <v>239</v>
      </c>
      <c r="T64" s="200" t="s">
        <v>2123</v>
      </c>
      <c r="U64" s="209" t="s">
        <v>1059</v>
      </c>
      <c r="V64" s="252">
        <v>1200000000</v>
      </c>
      <c r="W64" s="252">
        <v>1200000000</v>
      </c>
      <c r="X64" s="200"/>
      <c r="Y64" s="209"/>
      <c r="Z64" s="209"/>
      <c r="AA64" s="209"/>
      <c r="AB64" s="200"/>
      <c r="AC64" s="209"/>
      <c r="AD64" s="209"/>
      <c r="AE64" s="209"/>
      <c r="AF64" s="209"/>
      <c r="AG64" s="440"/>
      <c r="AH64" s="255"/>
    </row>
    <row r="65" spans="2:34" s="198" customFormat="1" ht="14.1" hidden="1" customHeight="1">
      <c r="B65" s="199">
        <v>56</v>
      </c>
      <c r="C65" s="200"/>
      <c r="D65" s="200" t="s">
        <v>441</v>
      </c>
      <c r="E65" s="437" t="s">
        <v>239</v>
      </c>
      <c r="F65" s="200">
        <v>1</v>
      </c>
      <c r="G65" s="200">
        <v>4</v>
      </c>
      <c r="H65" s="201" t="s">
        <v>2107</v>
      </c>
      <c r="I65" s="201" t="s">
        <v>2124</v>
      </c>
      <c r="J65" s="201" t="s">
        <v>2251</v>
      </c>
      <c r="K65" s="201" t="s">
        <v>2255</v>
      </c>
      <c r="L65" s="201" t="s">
        <v>2109</v>
      </c>
      <c r="M65" s="233">
        <v>43</v>
      </c>
      <c r="N65" s="233"/>
      <c r="O65" s="438"/>
      <c r="P65" s="60"/>
      <c r="Q65" s="200"/>
      <c r="R65" s="200" t="s">
        <v>2256</v>
      </c>
      <c r="S65" s="439" t="s">
        <v>239</v>
      </c>
      <c r="T65" s="200" t="s">
        <v>2123</v>
      </c>
      <c r="U65" s="209" t="s">
        <v>1059</v>
      </c>
      <c r="V65" s="252">
        <v>1200000000</v>
      </c>
      <c r="W65" s="252">
        <v>1200000000</v>
      </c>
      <c r="X65" s="200"/>
      <c r="Y65" s="209"/>
      <c r="Z65" s="209"/>
      <c r="AA65" s="209"/>
      <c r="AB65" s="200"/>
      <c r="AC65" s="209"/>
      <c r="AD65" s="209"/>
      <c r="AE65" s="209"/>
      <c r="AF65" s="209"/>
      <c r="AG65" s="440"/>
      <c r="AH65" s="255"/>
    </row>
    <row r="66" spans="2:34" s="198" customFormat="1" ht="14.1" hidden="1" customHeight="1">
      <c r="B66" s="199">
        <v>57</v>
      </c>
      <c r="C66" s="200"/>
      <c r="D66" s="200" t="s">
        <v>441</v>
      </c>
      <c r="E66" s="437" t="s">
        <v>239</v>
      </c>
      <c r="F66" s="200">
        <v>1</v>
      </c>
      <c r="G66" s="200">
        <v>5</v>
      </c>
      <c r="H66" s="201" t="s">
        <v>2107</v>
      </c>
      <c r="I66" s="201" t="s">
        <v>2124</v>
      </c>
      <c r="J66" s="201" t="s">
        <v>2251</v>
      </c>
      <c r="K66" s="201" t="s">
        <v>2257</v>
      </c>
      <c r="L66" s="201" t="s">
        <v>2109</v>
      </c>
      <c r="M66" s="233">
        <v>491</v>
      </c>
      <c r="N66" s="233"/>
      <c r="O66" s="438"/>
      <c r="P66" s="60"/>
      <c r="Q66" s="200"/>
      <c r="R66" s="200" t="s">
        <v>2256</v>
      </c>
      <c r="S66" s="439" t="s">
        <v>239</v>
      </c>
      <c r="T66" s="200" t="s">
        <v>2123</v>
      </c>
      <c r="U66" s="209" t="s">
        <v>1059</v>
      </c>
      <c r="V66" s="252">
        <v>1200000000</v>
      </c>
      <c r="W66" s="252">
        <v>1200000000</v>
      </c>
      <c r="X66" s="200"/>
      <c r="Y66" s="209"/>
      <c r="Z66" s="209"/>
      <c r="AA66" s="209"/>
      <c r="AB66" s="200"/>
      <c r="AC66" s="209"/>
      <c r="AD66" s="209"/>
      <c r="AE66" s="209"/>
      <c r="AF66" s="209"/>
      <c r="AG66" s="440"/>
      <c r="AH66" s="255"/>
    </row>
    <row r="67" spans="2:34" s="198" customFormat="1" ht="14.1" hidden="1" customHeight="1">
      <c r="B67" s="199">
        <v>58</v>
      </c>
      <c r="C67" s="200"/>
      <c r="D67" s="200" t="s">
        <v>441</v>
      </c>
      <c r="E67" s="437" t="s">
        <v>239</v>
      </c>
      <c r="F67" s="200">
        <v>1</v>
      </c>
      <c r="G67" s="200">
        <v>6</v>
      </c>
      <c r="H67" s="201" t="s">
        <v>2107</v>
      </c>
      <c r="I67" s="201" t="s">
        <v>2124</v>
      </c>
      <c r="J67" s="201" t="s">
        <v>2251</v>
      </c>
      <c r="K67" s="201" t="s">
        <v>2258</v>
      </c>
      <c r="L67" s="201" t="s">
        <v>2109</v>
      </c>
      <c r="M67" s="233">
        <v>212</v>
      </c>
      <c r="N67" s="233"/>
      <c r="O67" s="438"/>
      <c r="P67" s="60"/>
      <c r="Q67" s="200"/>
      <c r="R67" s="200" t="s">
        <v>2256</v>
      </c>
      <c r="S67" s="439" t="s">
        <v>239</v>
      </c>
      <c r="T67" s="200" t="s">
        <v>2123</v>
      </c>
      <c r="U67" s="209" t="s">
        <v>1059</v>
      </c>
      <c r="V67" s="252">
        <v>1200000000</v>
      </c>
      <c r="W67" s="252">
        <v>1200000000</v>
      </c>
      <c r="X67" s="200"/>
      <c r="Y67" s="209"/>
      <c r="Z67" s="209"/>
      <c r="AA67" s="209"/>
      <c r="AB67" s="200"/>
      <c r="AC67" s="209"/>
      <c r="AD67" s="209"/>
      <c r="AE67" s="209"/>
      <c r="AF67" s="209"/>
      <c r="AG67" s="440"/>
      <c r="AH67" s="255"/>
    </row>
    <row r="68" spans="2:34" s="198" customFormat="1" ht="14.1" hidden="1" customHeight="1">
      <c r="B68" s="199">
        <v>59</v>
      </c>
      <c r="C68" s="200"/>
      <c r="D68" s="200" t="s">
        <v>441</v>
      </c>
      <c r="E68" s="437" t="s">
        <v>239</v>
      </c>
      <c r="F68" s="200">
        <v>1</v>
      </c>
      <c r="G68" s="200">
        <v>7</v>
      </c>
      <c r="H68" s="201" t="s">
        <v>2107</v>
      </c>
      <c r="I68" s="201" t="s">
        <v>2124</v>
      </c>
      <c r="J68" s="201" t="s">
        <v>2251</v>
      </c>
      <c r="K68" s="201" t="s">
        <v>2259</v>
      </c>
      <c r="L68" s="201" t="s">
        <v>2106</v>
      </c>
      <c r="M68" s="233">
        <v>76</v>
      </c>
      <c r="N68" s="233"/>
      <c r="O68" s="438"/>
      <c r="P68" s="60"/>
      <c r="Q68" s="200"/>
      <c r="R68" s="200" t="s">
        <v>2256</v>
      </c>
      <c r="S68" s="439" t="s">
        <v>239</v>
      </c>
      <c r="T68" s="200" t="s">
        <v>2123</v>
      </c>
      <c r="U68" s="209" t="s">
        <v>1059</v>
      </c>
      <c r="V68" s="252">
        <v>1200000000</v>
      </c>
      <c r="W68" s="252">
        <v>1200000000</v>
      </c>
      <c r="X68" s="200"/>
      <c r="Y68" s="209"/>
      <c r="Z68" s="209"/>
      <c r="AA68" s="209"/>
      <c r="AB68" s="200"/>
      <c r="AC68" s="209"/>
      <c r="AD68" s="209"/>
      <c r="AE68" s="209"/>
      <c r="AF68" s="209"/>
      <c r="AG68" s="440"/>
      <c r="AH68" s="255"/>
    </row>
    <row r="69" spans="2:34" s="198" customFormat="1" ht="14.1" hidden="1" customHeight="1">
      <c r="B69" s="199">
        <v>60</v>
      </c>
      <c r="C69" s="200"/>
      <c r="D69" s="200" t="s">
        <v>442</v>
      </c>
      <c r="E69" s="437" t="s">
        <v>647</v>
      </c>
      <c r="F69" s="200">
        <v>1</v>
      </c>
      <c r="G69" s="200">
        <v>1</v>
      </c>
      <c r="H69" s="201" t="s">
        <v>2260</v>
      </c>
      <c r="I69" s="201" t="s">
        <v>2240</v>
      </c>
      <c r="J69" s="201" t="s">
        <v>2261</v>
      </c>
      <c r="K69" s="201" t="s">
        <v>2262</v>
      </c>
      <c r="L69" s="201" t="s">
        <v>2263</v>
      </c>
      <c r="M69" s="233">
        <v>3264</v>
      </c>
      <c r="N69" s="233">
        <v>73.947999999999993</v>
      </c>
      <c r="O69" s="438"/>
      <c r="P69" s="60"/>
      <c r="Q69" s="200" t="s">
        <v>2264</v>
      </c>
      <c r="R69" s="200"/>
      <c r="S69" s="439" t="s">
        <v>647</v>
      </c>
      <c r="T69" s="200">
        <v>1</v>
      </c>
      <c r="U69" s="209" t="s">
        <v>1059</v>
      </c>
      <c r="V69" s="252">
        <v>1800000000</v>
      </c>
      <c r="W69" s="252">
        <v>1800000000</v>
      </c>
      <c r="X69" s="200"/>
      <c r="Y69" s="209"/>
      <c r="Z69" s="209"/>
      <c r="AA69" s="209"/>
      <c r="AB69" s="200"/>
      <c r="AC69" s="209"/>
      <c r="AD69" s="209"/>
      <c r="AE69" s="209"/>
      <c r="AF69" s="209"/>
      <c r="AG69" s="440"/>
      <c r="AH69" s="255"/>
    </row>
    <row r="70" spans="2:34" s="198" customFormat="1" ht="14.1" hidden="1" customHeight="1">
      <c r="B70" s="199">
        <v>61</v>
      </c>
      <c r="C70" s="200"/>
      <c r="D70" s="200" t="s">
        <v>442</v>
      </c>
      <c r="E70" s="437" t="s">
        <v>647</v>
      </c>
      <c r="F70" s="200">
        <v>1</v>
      </c>
      <c r="G70" s="200">
        <v>2</v>
      </c>
      <c r="H70" s="201" t="s">
        <v>2260</v>
      </c>
      <c r="I70" s="201" t="s">
        <v>2240</v>
      </c>
      <c r="J70" s="201" t="s">
        <v>2261</v>
      </c>
      <c r="K70" s="201" t="s">
        <v>2265</v>
      </c>
      <c r="L70" s="201" t="s">
        <v>2263</v>
      </c>
      <c r="M70" s="233">
        <v>3264</v>
      </c>
      <c r="N70" s="233">
        <v>76.526399999999995</v>
      </c>
      <c r="O70" s="438"/>
      <c r="P70" s="60"/>
      <c r="Q70" s="200" t="s">
        <v>2266</v>
      </c>
      <c r="R70" s="200"/>
      <c r="S70" s="439" t="s">
        <v>647</v>
      </c>
      <c r="T70" s="200">
        <v>1</v>
      </c>
      <c r="U70" s="209" t="s">
        <v>1059</v>
      </c>
      <c r="V70" s="252">
        <v>1800000000</v>
      </c>
      <c r="W70" s="252">
        <v>1800000000</v>
      </c>
      <c r="X70" s="200"/>
      <c r="Y70" s="209"/>
      <c r="Z70" s="209"/>
      <c r="AA70" s="209"/>
      <c r="AB70" s="200"/>
      <c r="AC70" s="209"/>
      <c r="AD70" s="209"/>
      <c r="AE70" s="209"/>
      <c r="AF70" s="209"/>
      <c r="AG70" s="440"/>
      <c r="AH70" s="255"/>
    </row>
    <row r="71" spans="2:34" s="198" customFormat="1" ht="14.1" hidden="1" customHeight="1">
      <c r="B71" s="199">
        <v>62</v>
      </c>
      <c r="C71" s="200"/>
      <c r="D71" s="200" t="s">
        <v>442</v>
      </c>
      <c r="E71" s="437" t="s">
        <v>647</v>
      </c>
      <c r="F71" s="200">
        <v>1</v>
      </c>
      <c r="G71" s="200">
        <v>3</v>
      </c>
      <c r="H71" s="201" t="s">
        <v>2260</v>
      </c>
      <c r="I71" s="201" t="s">
        <v>2240</v>
      </c>
      <c r="J71" s="201" t="s">
        <v>2261</v>
      </c>
      <c r="K71" s="201" t="s">
        <v>2267</v>
      </c>
      <c r="L71" s="201" t="s">
        <v>2263</v>
      </c>
      <c r="M71" s="233">
        <v>3264</v>
      </c>
      <c r="N71" s="233">
        <v>55.552500000000002</v>
      </c>
      <c r="O71" s="438"/>
      <c r="P71" s="60"/>
      <c r="Q71" s="200" t="s">
        <v>2268</v>
      </c>
      <c r="R71" s="200"/>
      <c r="S71" s="439" t="s">
        <v>647</v>
      </c>
      <c r="T71" s="200">
        <v>1</v>
      </c>
      <c r="U71" s="209" t="s">
        <v>1059</v>
      </c>
      <c r="V71" s="252">
        <v>1800000000</v>
      </c>
      <c r="W71" s="252">
        <v>1800000000</v>
      </c>
      <c r="X71" s="200"/>
      <c r="Y71" s="209"/>
      <c r="Z71" s="209"/>
      <c r="AA71" s="209"/>
      <c r="AB71" s="200"/>
      <c r="AC71" s="209"/>
      <c r="AD71" s="209"/>
      <c r="AE71" s="209"/>
      <c r="AF71" s="209"/>
      <c r="AG71" s="440"/>
      <c r="AH71" s="255"/>
    </row>
    <row r="72" spans="2:34" s="198" customFormat="1" ht="14.1" hidden="1" customHeight="1">
      <c r="B72" s="199">
        <v>63</v>
      </c>
      <c r="C72" s="200"/>
      <c r="D72" s="200" t="s">
        <v>442</v>
      </c>
      <c r="E72" s="437" t="s">
        <v>647</v>
      </c>
      <c r="F72" s="200">
        <v>1</v>
      </c>
      <c r="G72" s="200">
        <v>4</v>
      </c>
      <c r="H72" s="201" t="s">
        <v>2260</v>
      </c>
      <c r="I72" s="201" t="s">
        <v>2240</v>
      </c>
      <c r="J72" s="201" t="s">
        <v>2261</v>
      </c>
      <c r="K72" s="201" t="s">
        <v>2269</v>
      </c>
      <c r="L72" s="201" t="s">
        <v>2263</v>
      </c>
      <c r="M72" s="233">
        <v>3264</v>
      </c>
      <c r="N72" s="233">
        <v>55.470199999999998</v>
      </c>
      <c r="O72" s="438"/>
      <c r="P72" s="60"/>
      <c r="Q72" s="200" t="s">
        <v>2270</v>
      </c>
      <c r="R72" s="200"/>
      <c r="S72" s="439" t="s">
        <v>647</v>
      </c>
      <c r="T72" s="200">
        <v>1</v>
      </c>
      <c r="U72" s="209" t="s">
        <v>1059</v>
      </c>
      <c r="V72" s="252">
        <v>1800000000</v>
      </c>
      <c r="W72" s="252">
        <v>1800000000</v>
      </c>
      <c r="X72" s="200"/>
      <c r="Y72" s="209"/>
      <c r="Z72" s="209"/>
      <c r="AA72" s="209"/>
      <c r="AB72" s="200"/>
      <c r="AC72" s="209"/>
      <c r="AD72" s="209"/>
      <c r="AE72" s="209"/>
      <c r="AF72" s="209"/>
      <c r="AG72" s="440"/>
      <c r="AH72" s="255"/>
    </row>
    <row r="73" spans="2:34" s="198" customFormat="1" ht="14.1" hidden="1" customHeight="1">
      <c r="B73" s="199">
        <v>64</v>
      </c>
      <c r="C73" s="200"/>
      <c r="D73" s="200" t="s">
        <v>442</v>
      </c>
      <c r="E73" s="437" t="s">
        <v>647</v>
      </c>
      <c r="F73" s="200">
        <v>1</v>
      </c>
      <c r="G73" s="200">
        <v>5</v>
      </c>
      <c r="H73" s="201" t="s">
        <v>2260</v>
      </c>
      <c r="I73" s="201" t="s">
        <v>2240</v>
      </c>
      <c r="J73" s="201" t="s">
        <v>2261</v>
      </c>
      <c r="K73" s="201" t="s">
        <v>2271</v>
      </c>
      <c r="L73" s="201" t="s">
        <v>2263</v>
      </c>
      <c r="M73" s="233">
        <v>3264</v>
      </c>
      <c r="N73" s="233">
        <v>55.470199999999998</v>
      </c>
      <c r="O73" s="438"/>
      <c r="P73" s="60"/>
      <c r="Q73" s="200" t="s">
        <v>2270</v>
      </c>
      <c r="R73" s="200"/>
      <c r="S73" s="439" t="s">
        <v>647</v>
      </c>
      <c r="T73" s="200">
        <v>1</v>
      </c>
      <c r="U73" s="209" t="s">
        <v>1059</v>
      </c>
      <c r="V73" s="252">
        <v>1800000000</v>
      </c>
      <c r="W73" s="252">
        <v>1800000000</v>
      </c>
      <c r="X73" s="200"/>
      <c r="Y73" s="209"/>
      <c r="Z73" s="209"/>
      <c r="AA73" s="209"/>
      <c r="AB73" s="200"/>
      <c r="AC73" s="209"/>
      <c r="AD73" s="209"/>
      <c r="AE73" s="209"/>
      <c r="AF73" s="209"/>
      <c r="AG73" s="440"/>
      <c r="AH73" s="255"/>
    </row>
    <row r="74" spans="2:34" s="198" customFormat="1" ht="14.1" hidden="1" customHeight="1">
      <c r="B74" s="199">
        <v>65</v>
      </c>
      <c r="C74" s="200"/>
      <c r="D74" s="200" t="s">
        <v>442</v>
      </c>
      <c r="E74" s="437" t="s">
        <v>647</v>
      </c>
      <c r="F74" s="200">
        <v>1</v>
      </c>
      <c r="G74" s="200">
        <v>6</v>
      </c>
      <c r="H74" s="201" t="s">
        <v>2260</v>
      </c>
      <c r="I74" s="201" t="s">
        <v>2240</v>
      </c>
      <c r="J74" s="201" t="s">
        <v>2261</v>
      </c>
      <c r="K74" s="201" t="s">
        <v>2272</v>
      </c>
      <c r="L74" s="201" t="s">
        <v>2263</v>
      </c>
      <c r="M74" s="233">
        <v>3264</v>
      </c>
      <c r="N74" s="233">
        <v>79.900800000000004</v>
      </c>
      <c r="O74" s="438"/>
      <c r="P74" s="60"/>
      <c r="Q74" s="200" t="s">
        <v>2273</v>
      </c>
      <c r="R74" s="200"/>
      <c r="S74" s="439" t="s">
        <v>647</v>
      </c>
      <c r="T74" s="200">
        <v>1</v>
      </c>
      <c r="U74" s="209" t="s">
        <v>1059</v>
      </c>
      <c r="V74" s="252">
        <v>1800000000</v>
      </c>
      <c r="W74" s="252">
        <v>1800000000</v>
      </c>
      <c r="X74" s="200"/>
      <c r="Y74" s="209"/>
      <c r="Z74" s="209"/>
      <c r="AA74" s="209"/>
      <c r="AB74" s="200"/>
      <c r="AC74" s="209"/>
      <c r="AD74" s="209"/>
      <c r="AE74" s="209"/>
      <c r="AF74" s="209"/>
      <c r="AG74" s="440"/>
      <c r="AH74" s="255"/>
    </row>
    <row r="75" spans="2:34" s="198" customFormat="1" ht="14.1" hidden="1" customHeight="1">
      <c r="B75" s="199">
        <v>66</v>
      </c>
      <c r="C75" s="200"/>
      <c r="D75" s="200" t="s">
        <v>442</v>
      </c>
      <c r="E75" s="437" t="s">
        <v>647</v>
      </c>
      <c r="F75" s="200">
        <v>1</v>
      </c>
      <c r="G75" s="200">
        <v>7</v>
      </c>
      <c r="H75" s="201" t="s">
        <v>2260</v>
      </c>
      <c r="I75" s="201" t="s">
        <v>2240</v>
      </c>
      <c r="J75" s="201" t="s">
        <v>2261</v>
      </c>
      <c r="K75" s="201" t="s">
        <v>2274</v>
      </c>
      <c r="L75" s="201" t="s">
        <v>2263</v>
      </c>
      <c r="M75" s="233">
        <v>3264</v>
      </c>
      <c r="N75" s="233">
        <v>118.1754</v>
      </c>
      <c r="O75" s="438"/>
      <c r="P75" s="60"/>
      <c r="Q75" s="200" t="s">
        <v>2275</v>
      </c>
      <c r="R75" s="200"/>
      <c r="S75" s="439" t="s">
        <v>647</v>
      </c>
      <c r="T75" s="200">
        <v>1</v>
      </c>
      <c r="U75" s="209" t="s">
        <v>1059</v>
      </c>
      <c r="V75" s="252">
        <v>1800000000</v>
      </c>
      <c r="W75" s="252">
        <v>1800000000</v>
      </c>
      <c r="X75" s="200"/>
      <c r="Y75" s="209"/>
      <c r="Z75" s="209"/>
      <c r="AA75" s="209"/>
      <c r="AB75" s="200"/>
      <c r="AC75" s="209"/>
      <c r="AD75" s="209"/>
      <c r="AE75" s="209"/>
      <c r="AF75" s="209"/>
      <c r="AG75" s="440"/>
      <c r="AH75" s="255"/>
    </row>
    <row r="76" spans="2:34" s="198" customFormat="1" ht="14.1" hidden="1" customHeight="1">
      <c r="B76" s="199">
        <v>67</v>
      </c>
      <c r="C76" s="200"/>
      <c r="D76" s="200" t="s">
        <v>442</v>
      </c>
      <c r="E76" s="437" t="s">
        <v>647</v>
      </c>
      <c r="F76" s="200">
        <v>1</v>
      </c>
      <c r="G76" s="200">
        <v>8</v>
      </c>
      <c r="H76" s="201" t="s">
        <v>2260</v>
      </c>
      <c r="I76" s="201" t="s">
        <v>2240</v>
      </c>
      <c r="J76" s="201" t="s">
        <v>2261</v>
      </c>
      <c r="K76" s="201" t="s">
        <v>2276</v>
      </c>
      <c r="L76" s="201" t="s">
        <v>2263</v>
      </c>
      <c r="M76" s="233">
        <v>3264</v>
      </c>
      <c r="N76" s="233">
        <v>231.1045</v>
      </c>
      <c r="O76" s="438" t="s">
        <v>2277</v>
      </c>
      <c r="P76" s="60"/>
      <c r="Q76" s="200" t="s">
        <v>2278</v>
      </c>
      <c r="R76" s="200"/>
      <c r="S76" s="439" t="s">
        <v>647</v>
      </c>
      <c r="T76" s="200">
        <v>1</v>
      </c>
      <c r="U76" s="209" t="s">
        <v>1059</v>
      </c>
      <c r="V76" s="252">
        <v>1800000000</v>
      </c>
      <c r="W76" s="252">
        <v>1800000000</v>
      </c>
      <c r="X76" s="200"/>
      <c r="Y76" s="209"/>
      <c r="Z76" s="209"/>
      <c r="AA76" s="209"/>
      <c r="AB76" s="200"/>
      <c r="AC76" s="209"/>
      <c r="AD76" s="209"/>
      <c r="AE76" s="209"/>
      <c r="AF76" s="209"/>
      <c r="AG76" s="440"/>
      <c r="AH76" s="255"/>
    </row>
    <row r="77" spans="2:34" s="198" customFormat="1" ht="14.1" hidden="1" customHeight="1">
      <c r="B77" s="199">
        <v>68</v>
      </c>
      <c r="C77" s="200"/>
      <c r="D77" s="200" t="s">
        <v>443</v>
      </c>
      <c r="E77" s="437" t="s">
        <v>648</v>
      </c>
      <c r="F77" s="200">
        <v>1</v>
      </c>
      <c r="G77" s="200">
        <v>1</v>
      </c>
      <c r="H77" s="201" t="s">
        <v>2279</v>
      </c>
      <c r="I77" s="201" t="s">
        <v>2280</v>
      </c>
      <c r="J77" s="201" t="s">
        <v>2281</v>
      </c>
      <c r="K77" s="201" t="s">
        <v>2282</v>
      </c>
      <c r="L77" s="201" t="s">
        <v>2106</v>
      </c>
      <c r="M77" s="233">
        <v>209</v>
      </c>
      <c r="N77" s="233"/>
      <c r="O77" s="438"/>
      <c r="P77" s="60"/>
      <c r="Q77" s="200"/>
      <c r="R77" s="200"/>
      <c r="S77" s="303" t="s">
        <v>2283</v>
      </c>
      <c r="T77" s="200" t="s">
        <v>2123</v>
      </c>
      <c r="U77" s="209" t="s">
        <v>1059</v>
      </c>
      <c r="V77" s="252">
        <v>1800000000</v>
      </c>
      <c r="W77" s="252">
        <v>1800000000</v>
      </c>
      <c r="X77" s="200"/>
      <c r="Y77" s="209"/>
      <c r="Z77" s="209"/>
      <c r="AA77" s="209"/>
      <c r="AB77" s="200"/>
      <c r="AC77" s="209"/>
      <c r="AD77" s="209"/>
      <c r="AE77" s="209"/>
      <c r="AF77" s="209"/>
      <c r="AG77" s="440"/>
      <c r="AH77" s="255"/>
    </row>
    <row r="78" spans="2:34" s="198" customFormat="1" ht="14.1" hidden="1" customHeight="1">
      <c r="B78" s="199">
        <v>69</v>
      </c>
      <c r="C78" s="200"/>
      <c r="D78" s="200" t="s">
        <v>443</v>
      </c>
      <c r="E78" s="437" t="s">
        <v>648</v>
      </c>
      <c r="F78" s="200">
        <v>1</v>
      </c>
      <c r="G78" s="200">
        <v>2</v>
      </c>
      <c r="H78" s="201" t="s">
        <v>2279</v>
      </c>
      <c r="I78" s="201" t="s">
        <v>2280</v>
      </c>
      <c r="J78" s="201" t="s">
        <v>2281</v>
      </c>
      <c r="K78" s="201" t="s">
        <v>2284</v>
      </c>
      <c r="L78" s="201" t="s">
        <v>2106</v>
      </c>
      <c r="M78" s="233">
        <v>31</v>
      </c>
      <c r="N78" s="233"/>
      <c r="O78" s="438"/>
      <c r="P78" s="60"/>
      <c r="Q78" s="200"/>
      <c r="R78" s="200"/>
      <c r="S78" s="303" t="s">
        <v>2283</v>
      </c>
      <c r="T78" s="200" t="s">
        <v>2123</v>
      </c>
      <c r="U78" s="209" t="s">
        <v>1059</v>
      </c>
      <c r="V78" s="252">
        <v>1800000000</v>
      </c>
      <c r="W78" s="252">
        <v>1800000000</v>
      </c>
      <c r="X78" s="200"/>
      <c r="Y78" s="209"/>
      <c r="Z78" s="209"/>
      <c r="AA78" s="209"/>
      <c r="AB78" s="200"/>
      <c r="AC78" s="209"/>
      <c r="AD78" s="209"/>
      <c r="AE78" s="209"/>
      <c r="AF78" s="209"/>
      <c r="AG78" s="440"/>
      <c r="AH78" s="255"/>
    </row>
    <row r="79" spans="2:34" s="198" customFormat="1" ht="14.1" hidden="1" customHeight="1">
      <c r="B79" s="199">
        <v>70</v>
      </c>
      <c r="C79" s="200"/>
      <c r="D79" s="200" t="s">
        <v>443</v>
      </c>
      <c r="E79" s="437" t="s">
        <v>648</v>
      </c>
      <c r="F79" s="200">
        <v>1</v>
      </c>
      <c r="G79" s="200">
        <v>3</v>
      </c>
      <c r="H79" s="201" t="s">
        <v>2279</v>
      </c>
      <c r="I79" s="201" t="s">
        <v>2280</v>
      </c>
      <c r="J79" s="201" t="s">
        <v>2281</v>
      </c>
      <c r="K79" s="201" t="s">
        <v>2285</v>
      </c>
      <c r="L79" s="201" t="s">
        <v>2106</v>
      </c>
      <c r="M79" s="233">
        <v>2670</v>
      </c>
      <c r="N79" s="233"/>
      <c r="O79" s="438"/>
      <c r="P79" s="60"/>
      <c r="Q79" s="200"/>
      <c r="R79" s="200"/>
      <c r="S79" s="303" t="s">
        <v>2283</v>
      </c>
      <c r="T79" s="200" t="s">
        <v>2123</v>
      </c>
      <c r="U79" s="209" t="s">
        <v>1059</v>
      </c>
      <c r="V79" s="252">
        <v>1800000000</v>
      </c>
      <c r="W79" s="252">
        <v>1800000000</v>
      </c>
      <c r="X79" s="200"/>
      <c r="Y79" s="209"/>
      <c r="Z79" s="209"/>
      <c r="AA79" s="209"/>
      <c r="AB79" s="200"/>
      <c r="AC79" s="209"/>
      <c r="AD79" s="209"/>
      <c r="AE79" s="209"/>
      <c r="AF79" s="209"/>
      <c r="AG79" s="440"/>
      <c r="AH79" s="255"/>
    </row>
    <row r="80" spans="2:34" s="198" customFormat="1" ht="14.1" hidden="1" customHeight="1">
      <c r="B80" s="199">
        <v>71</v>
      </c>
      <c r="C80" s="200"/>
      <c r="D80" s="200" t="s">
        <v>443</v>
      </c>
      <c r="E80" s="437" t="s">
        <v>648</v>
      </c>
      <c r="F80" s="200">
        <v>1</v>
      </c>
      <c r="G80" s="200">
        <v>4</v>
      </c>
      <c r="H80" s="201" t="s">
        <v>2279</v>
      </c>
      <c r="I80" s="201" t="s">
        <v>2280</v>
      </c>
      <c r="J80" s="201" t="s">
        <v>2281</v>
      </c>
      <c r="K80" s="201" t="s">
        <v>2286</v>
      </c>
      <c r="L80" s="201" t="s">
        <v>2106</v>
      </c>
      <c r="M80" s="233">
        <v>143</v>
      </c>
      <c r="N80" s="233"/>
      <c r="O80" s="438"/>
      <c r="P80" s="60"/>
      <c r="Q80" s="200"/>
      <c r="R80" s="200"/>
      <c r="S80" s="303" t="s">
        <v>2283</v>
      </c>
      <c r="T80" s="200" t="s">
        <v>2123</v>
      </c>
      <c r="U80" s="209" t="s">
        <v>1059</v>
      </c>
      <c r="V80" s="252">
        <v>1800000000</v>
      </c>
      <c r="W80" s="252">
        <v>1800000000</v>
      </c>
      <c r="X80" s="200"/>
      <c r="Y80" s="209"/>
      <c r="Z80" s="209"/>
      <c r="AA80" s="209"/>
      <c r="AB80" s="200"/>
      <c r="AC80" s="209"/>
      <c r="AD80" s="209"/>
      <c r="AE80" s="209"/>
      <c r="AF80" s="209"/>
      <c r="AG80" s="440"/>
      <c r="AH80" s="255"/>
    </row>
    <row r="81" spans="2:34" s="198" customFormat="1" ht="14.1" hidden="1" customHeight="1">
      <c r="B81" s="199">
        <v>72</v>
      </c>
      <c r="C81" s="200"/>
      <c r="D81" s="200" t="s">
        <v>443</v>
      </c>
      <c r="E81" s="437" t="s">
        <v>648</v>
      </c>
      <c r="F81" s="200">
        <v>1</v>
      </c>
      <c r="G81" s="200">
        <v>5</v>
      </c>
      <c r="H81" s="201" t="s">
        <v>2279</v>
      </c>
      <c r="I81" s="201" t="s">
        <v>2280</v>
      </c>
      <c r="J81" s="201" t="s">
        <v>2281</v>
      </c>
      <c r="K81" s="201" t="s">
        <v>2287</v>
      </c>
      <c r="L81" s="201" t="s">
        <v>2106</v>
      </c>
      <c r="M81" s="233">
        <v>114</v>
      </c>
      <c r="N81" s="233"/>
      <c r="O81" s="438"/>
      <c r="P81" s="60"/>
      <c r="Q81" s="200"/>
      <c r="R81" s="200"/>
      <c r="S81" s="303" t="s">
        <v>2283</v>
      </c>
      <c r="T81" s="200" t="s">
        <v>2123</v>
      </c>
      <c r="U81" s="209" t="s">
        <v>1059</v>
      </c>
      <c r="V81" s="252">
        <v>1800000000</v>
      </c>
      <c r="W81" s="252">
        <v>1800000000</v>
      </c>
      <c r="X81" s="200"/>
      <c r="Y81" s="209"/>
      <c r="Z81" s="209"/>
      <c r="AA81" s="209"/>
      <c r="AB81" s="200"/>
      <c r="AC81" s="209"/>
      <c r="AD81" s="209"/>
      <c r="AE81" s="209"/>
      <c r="AF81" s="209"/>
      <c r="AG81" s="440"/>
      <c r="AH81" s="255"/>
    </row>
    <row r="82" spans="2:34" s="198" customFormat="1" ht="14.1" hidden="1" customHeight="1">
      <c r="B82" s="199">
        <v>73</v>
      </c>
      <c r="C82" s="200"/>
      <c r="D82" s="200" t="s">
        <v>443</v>
      </c>
      <c r="E82" s="437" t="s">
        <v>648</v>
      </c>
      <c r="F82" s="200">
        <v>1</v>
      </c>
      <c r="G82" s="200">
        <v>6</v>
      </c>
      <c r="H82" s="201" t="s">
        <v>2279</v>
      </c>
      <c r="I82" s="201" t="s">
        <v>2280</v>
      </c>
      <c r="J82" s="201" t="s">
        <v>2281</v>
      </c>
      <c r="K82" s="201" t="s">
        <v>2288</v>
      </c>
      <c r="L82" s="201" t="s">
        <v>2289</v>
      </c>
      <c r="M82" s="233"/>
      <c r="N82" s="233">
        <v>1081.08</v>
      </c>
      <c r="O82" s="438"/>
      <c r="P82" s="60"/>
      <c r="Q82" s="200"/>
      <c r="R82" s="200"/>
      <c r="S82" s="303" t="s">
        <v>2283</v>
      </c>
      <c r="T82" s="200" t="s">
        <v>2123</v>
      </c>
      <c r="U82" s="209" t="s">
        <v>1059</v>
      </c>
      <c r="V82" s="252">
        <v>1800000000</v>
      </c>
      <c r="W82" s="252">
        <v>1800000000</v>
      </c>
      <c r="X82" s="200"/>
      <c r="Y82" s="209"/>
      <c r="Z82" s="209"/>
      <c r="AA82" s="209"/>
      <c r="AB82" s="200"/>
      <c r="AC82" s="209"/>
      <c r="AD82" s="209"/>
      <c r="AE82" s="209"/>
      <c r="AF82" s="209"/>
      <c r="AG82" s="440"/>
      <c r="AH82" s="255"/>
    </row>
    <row r="83" spans="2:34" s="198" customFormat="1" ht="14.1" hidden="1" customHeight="1">
      <c r="B83" s="199">
        <v>74</v>
      </c>
      <c r="C83" s="200"/>
      <c r="D83" s="200" t="s">
        <v>443</v>
      </c>
      <c r="E83" s="437" t="s">
        <v>648</v>
      </c>
      <c r="F83" s="200">
        <v>1</v>
      </c>
      <c r="G83" s="200">
        <v>7</v>
      </c>
      <c r="H83" s="201" t="s">
        <v>2279</v>
      </c>
      <c r="I83" s="201" t="s">
        <v>2280</v>
      </c>
      <c r="J83" s="201" t="s">
        <v>2281</v>
      </c>
      <c r="K83" s="201" t="s">
        <v>2290</v>
      </c>
      <c r="L83" s="201" t="s">
        <v>2164</v>
      </c>
      <c r="M83" s="233"/>
      <c r="N83" s="233">
        <v>1672</v>
      </c>
      <c r="O83" s="438">
        <v>9</v>
      </c>
      <c r="P83" s="60"/>
      <c r="Q83" s="200"/>
      <c r="R83" s="200"/>
      <c r="S83" s="303" t="s">
        <v>2283</v>
      </c>
      <c r="T83" s="200" t="s">
        <v>2123</v>
      </c>
      <c r="U83" s="209" t="s">
        <v>1059</v>
      </c>
      <c r="V83" s="252">
        <v>1800000000</v>
      </c>
      <c r="W83" s="252">
        <v>1800000000</v>
      </c>
      <c r="X83" s="200"/>
      <c r="Y83" s="209"/>
      <c r="Z83" s="209"/>
      <c r="AA83" s="209"/>
      <c r="AB83" s="200"/>
      <c r="AC83" s="209"/>
      <c r="AD83" s="209"/>
      <c r="AE83" s="209"/>
      <c r="AF83" s="209"/>
      <c r="AG83" s="440"/>
      <c r="AH83" s="255"/>
    </row>
    <row r="84" spans="2:34" s="198" customFormat="1" ht="14.1" hidden="1" customHeight="1">
      <c r="B84" s="199">
        <v>75</v>
      </c>
      <c r="C84" s="200"/>
      <c r="D84" s="200" t="s">
        <v>444</v>
      </c>
      <c r="E84" s="437" t="s">
        <v>649</v>
      </c>
      <c r="F84" s="200">
        <v>1</v>
      </c>
      <c r="G84" s="200">
        <v>1</v>
      </c>
      <c r="H84" s="201" t="s">
        <v>2279</v>
      </c>
      <c r="I84" s="201" t="s">
        <v>2291</v>
      </c>
      <c r="J84" s="201" t="s">
        <v>2292</v>
      </c>
      <c r="K84" s="201" t="s">
        <v>2293</v>
      </c>
      <c r="L84" s="201" t="s">
        <v>2106</v>
      </c>
      <c r="M84" s="233">
        <v>3109</v>
      </c>
      <c r="N84" s="233"/>
      <c r="O84" s="438"/>
      <c r="P84" s="60"/>
      <c r="Q84" s="200"/>
      <c r="R84" s="200"/>
      <c r="S84" s="439" t="s">
        <v>2294</v>
      </c>
      <c r="T84" s="200">
        <v>1</v>
      </c>
      <c r="U84" s="209" t="s">
        <v>1059</v>
      </c>
      <c r="V84" s="252">
        <v>1800000000</v>
      </c>
      <c r="W84" s="252">
        <v>1800000000</v>
      </c>
      <c r="X84" s="200"/>
      <c r="Y84" s="209"/>
      <c r="Z84" s="209"/>
      <c r="AA84" s="209"/>
      <c r="AB84" s="200"/>
      <c r="AC84" s="209"/>
      <c r="AD84" s="209"/>
      <c r="AE84" s="209"/>
      <c r="AF84" s="209"/>
      <c r="AG84" s="440"/>
      <c r="AH84" s="255"/>
    </row>
    <row r="85" spans="2:34" s="198" customFormat="1" ht="14.1" hidden="1" customHeight="1">
      <c r="B85" s="199">
        <v>76</v>
      </c>
      <c r="C85" s="200"/>
      <c r="D85" s="200" t="s">
        <v>444</v>
      </c>
      <c r="E85" s="437" t="s">
        <v>649</v>
      </c>
      <c r="F85" s="200">
        <v>1</v>
      </c>
      <c r="G85" s="200">
        <v>2</v>
      </c>
      <c r="H85" s="201" t="s">
        <v>2279</v>
      </c>
      <c r="I85" s="201" t="s">
        <v>2291</v>
      </c>
      <c r="J85" s="201" t="s">
        <v>2292</v>
      </c>
      <c r="K85" s="201" t="s">
        <v>2295</v>
      </c>
      <c r="L85" s="201" t="s">
        <v>2164</v>
      </c>
      <c r="M85" s="233"/>
      <c r="N85" s="233">
        <v>1170.71</v>
      </c>
      <c r="O85" s="438"/>
      <c r="P85" s="60"/>
      <c r="Q85" s="200"/>
      <c r="R85" s="200"/>
      <c r="S85" s="439" t="s">
        <v>649</v>
      </c>
      <c r="T85" s="200">
        <v>1</v>
      </c>
      <c r="U85" s="209" t="s">
        <v>1059</v>
      </c>
      <c r="V85" s="252">
        <v>1800000000</v>
      </c>
      <c r="W85" s="252">
        <v>1800000000</v>
      </c>
      <c r="X85" s="200"/>
      <c r="Y85" s="209"/>
      <c r="Z85" s="209"/>
      <c r="AA85" s="209"/>
      <c r="AB85" s="200"/>
      <c r="AC85" s="209"/>
      <c r="AD85" s="209"/>
      <c r="AE85" s="209"/>
      <c r="AF85" s="209"/>
      <c r="AG85" s="440"/>
      <c r="AH85" s="255"/>
    </row>
    <row r="86" spans="2:34" s="198" customFormat="1" ht="14.1" hidden="1" customHeight="1">
      <c r="B86" s="199">
        <v>77</v>
      </c>
      <c r="C86" s="200"/>
      <c r="D86" s="200" t="s">
        <v>444</v>
      </c>
      <c r="E86" s="437" t="s">
        <v>649</v>
      </c>
      <c r="F86" s="200">
        <v>1</v>
      </c>
      <c r="G86" s="200">
        <v>3</v>
      </c>
      <c r="H86" s="201" t="s">
        <v>2279</v>
      </c>
      <c r="I86" s="201" t="s">
        <v>2291</v>
      </c>
      <c r="J86" s="201" t="s">
        <v>2292</v>
      </c>
      <c r="K86" s="201" t="s">
        <v>2296</v>
      </c>
      <c r="L86" s="201" t="s">
        <v>2106</v>
      </c>
      <c r="M86" s="233">
        <v>12885</v>
      </c>
      <c r="N86" s="233"/>
      <c r="O86" s="438"/>
      <c r="P86" s="60"/>
      <c r="Q86" s="200"/>
      <c r="R86" s="200"/>
      <c r="S86" s="439" t="s">
        <v>649</v>
      </c>
      <c r="T86" s="200">
        <v>1</v>
      </c>
      <c r="U86" s="209" t="s">
        <v>1059</v>
      </c>
      <c r="V86" s="252">
        <v>1800000000</v>
      </c>
      <c r="W86" s="252">
        <v>1800000000</v>
      </c>
      <c r="X86" s="200"/>
      <c r="Y86" s="209"/>
      <c r="Z86" s="209"/>
      <c r="AA86" s="209"/>
      <c r="AB86" s="200"/>
      <c r="AC86" s="209"/>
      <c r="AD86" s="209"/>
      <c r="AE86" s="209"/>
      <c r="AF86" s="209"/>
      <c r="AG86" s="440"/>
      <c r="AH86" s="255"/>
    </row>
    <row r="87" spans="2:34" s="198" customFormat="1" ht="14.1" hidden="1" customHeight="1">
      <c r="B87" s="199">
        <v>78</v>
      </c>
      <c r="C87" s="200"/>
      <c r="D87" s="200" t="s">
        <v>444</v>
      </c>
      <c r="E87" s="437" t="s">
        <v>649</v>
      </c>
      <c r="F87" s="200">
        <v>1</v>
      </c>
      <c r="G87" s="200">
        <v>4</v>
      </c>
      <c r="H87" s="201" t="s">
        <v>2279</v>
      </c>
      <c r="I87" s="201" t="s">
        <v>2291</v>
      </c>
      <c r="J87" s="201" t="s">
        <v>2292</v>
      </c>
      <c r="K87" s="201" t="s">
        <v>2297</v>
      </c>
      <c r="L87" s="201" t="s">
        <v>2160</v>
      </c>
      <c r="M87" s="233"/>
      <c r="N87" s="233">
        <v>1270.23</v>
      </c>
      <c r="O87" s="438"/>
      <c r="P87" s="60"/>
      <c r="Q87" s="200"/>
      <c r="R87" s="200"/>
      <c r="S87" s="439" t="s">
        <v>649</v>
      </c>
      <c r="T87" s="200">
        <v>1</v>
      </c>
      <c r="U87" s="209" t="s">
        <v>1059</v>
      </c>
      <c r="V87" s="252">
        <v>1800000000</v>
      </c>
      <c r="W87" s="252">
        <v>1800000000</v>
      </c>
      <c r="X87" s="200"/>
      <c r="Y87" s="209"/>
      <c r="Z87" s="209"/>
      <c r="AA87" s="209"/>
      <c r="AB87" s="200"/>
      <c r="AC87" s="209"/>
      <c r="AD87" s="209"/>
      <c r="AE87" s="209"/>
      <c r="AF87" s="209"/>
      <c r="AG87" s="440"/>
      <c r="AH87" s="255"/>
    </row>
    <row r="88" spans="2:34" s="198" customFormat="1" ht="14.1" hidden="1" customHeight="1">
      <c r="B88" s="199">
        <v>79</v>
      </c>
      <c r="C88" s="200"/>
      <c r="D88" s="200" t="s">
        <v>444</v>
      </c>
      <c r="E88" s="437" t="s">
        <v>649</v>
      </c>
      <c r="F88" s="200">
        <v>1</v>
      </c>
      <c r="G88" s="200">
        <v>5</v>
      </c>
      <c r="H88" s="201" t="s">
        <v>2279</v>
      </c>
      <c r="I88" s="201" t="s">
        <v>2291</v>
      </c>
      <c r="J88" s="201" t="s">
        <v>2292</v>
      </c>
      <c r="K88" s="201" t="s">
        <v>2298</v>
      </c>
      <c r="L88" s="201" t="s">
        <v>2109</v>
      </c>
      <c r="M88" s="233">
        <v>1126</v>
      </c>
      <c r="N88" s="233"/>
      <c r="O88" s="438"/>
      <c r="P88" s="60"/>
      <c r="Q88" s="200"/>
      <c r="R88" s="200"/>
      <c r="S88" s="439" t="s">
        <v>649</v>
      </c>
      <c r="T88" s="200">
        <v>1</v>
      </c>
      <c r="U88" s="209" t="s">
        <v>1059</v>
      </c>
      <c r="V88" s="252">
        <v>1800000000</v>
      </c>
      <c r="W88" s="252">
        <v>1800000000</v>
      </c>
      <c r="X88" s="200"/>
      <c r="Y88" s="209"/>
      <c r="Z88" s="209"/>
      <c r="AA88" s="209"/>
      <c r="AB88" s="200"/>
      <c r="AC88" s="209"/>
      <c r="AD88" s="209"/>
      <c r="AE88" s="209"/>
      <c r="AF88" s="209"/>
      <c r="AG88" s="440"/>
      <c r="AH88" s="255"/>
    </row>
    <row r="89" spans="2:34" s="198" customFormat="1" ht="14.1" hidden="1" customHeight="1">
      <c r="B89" s="199">
        <v>80</v>
      </c>
      <c r="C89" s="200"/>
      <c r="D89" s="200" t="s">
        <v>444</v>
      </c>
      <c r="E89" s="437" t="s">
        <v>649</v>
      </c>
      <c r="F89" s="200">
        <v>2</v>
      </c>
      <c r="G89" s="200">
        <v>1</v>
      </c>
      <c r="H89" s="201" t="s">
        <v>2260</v>
      </c>
      <c r="I89" s="201" t="s">
        <v>2299</v>
      </c>
      <c r="J89" s="201" t="s">
        <v>2300</v>
      </c>
      <c r="K89" s="201" t="s">
        <v>2301</v>
      </c>
      <c r="L89" s="201" t="s">
        <v>2302</v>
      </c>
      <c r="M89" s="233">
        <v>6503.5</v>
      </c>
      <c r="N89" s="233">
        <v>72.959999999999994</v>
      </c>
      <c r="O89" s="438"/>
      <c r="P89" s="60"/>
      <c r="Q89" s="200" t="s">
        <v>2303</v>
      </c>
      <c r="R89" s="200"/>
      <c r="S89" s="303" t="s">
        <v>2304</v>
      </c>
      <c r="T89" s="200">
        <v>2</v>
      </c>
      <c r="U89" s="209" t="s">
        <v>1059</v>
      </c>
      <c r="V89" s="252">
        <v>100000000</v>
      </c>
      <c r="W89" s="252">
        <v>100000000</v>
      </c>
      <c r="X89" s="200"/>
      <c r="Y89" s="209"/>
      <c r="Z89" s="209"/>
      <c r="AA89" s="209"/>
      <c r="AB89" s="200">
        <v>1</v>
      </c>
      <c r="AC89" s="209" t="s">
        <v>1059</v>
      </c>
      <c r="AD89" s="209">
        <v>156000000</v>
      </c>
      <c r="AE89" s="209">
        <v>156000000</v>
      </c>
      <c r="AF89" s="209"/>
      <c r="AG89" s="440"/>
      <c r="AH89" s="255"/>
    </row>
    <row r="90" spans="2:34" s="198" customFormat="1" ht="14.1" hidden="1" customHeight="1">
      <c r="B90" s="199">
        <v>81</v>
      </c>
      <c r="C90" s="200"/>
      <c r="D90" s="200" t="s">
        <v>444</v>
      </c>
      <c r="E90" s="437" t="s">
        <v>649</v>
      </c>
      <c r="F90" s="200">
        <v>3</v>
      </c>
      <c r="G90" s="200">
        <v>1</v>
      </c>
      <c r="H90" s="201" t="s">
        <v>2260</v>
      </c>
      <c r="I90" s="201" t="s">
        <v>2299</v>
      </c>
      <c r="J90" s="201" t="s">
        <v>2300</v>
      </c>
      <c r="K90" s="201" t="s">
        <v>2305</v>
      </c>
      <c r="L90" s="201" t="s">
        <v>2302</v>
      </c>
      <c r="M90" s="233">
        <v>6503.5</v>
      </c>
      <c r="N90" s="233">
        <v>72.959999999999994</v>
      </c>
      <c r="O90" s="438"/>
      <c r="P90" s="60"/>
      <c r="Q90" s="200" t="s">
        <v>2303</v>
      </c>
      <c r="R90" s="200"/>
      <c r="S90" s="303" t="s">
        <v>2304</v>
      </c>
      <c r="T90" s="200">
        <v>2</v>
      </c>
      <c r="U90" s="209" t="s">
        <v>1059</v>
      </c>
      <c r="V90" s="252">
        <v>100000000</v>
      </c>
      <c r="W90" s="252">
        <v>100000000</v>
      </c>
      <c r="X90" s="200"/>
      <c r="Y90" s="209"/>
      <c r="Z90" s="209"/>
      <c r="AA90" s="209"/>
      <c r="AB90" s="200">
        <v>1</v>
      </c>
      <c r="AC90" s="209" t="s">
        <v>1059</v>
      </c>
      <c r="AD90" s="209">
        <v>156000000</v>
      </c>
      <c r="AE90" s="209">
        <v>156000000</v>
      </c>
      <c r="AF90" s="209"/>
      <c r="AG90" s="440"/>
      <c r="AH90" s="255"/>
    </row>
    <row r="91" spans="2:34" s="198" customFormat="1" ht="14.1" hidden="1" customHeight="1">
      <c r="B91" s="199">
        <v>82</v>
      </c>
      <c r="C91" s="200"/>
      <c r="D91" s="200" t="s">
        <v>445</v>
      </c>
      <c r="E91" s="437" t="s">
        <v>152</v>
      </c>
      <c r="F91" s="200">
        <v>1</v>
      </c>
      <c r="G91" s="200">
        <v>1</v>
      </c>
      <c r="H91" s="201" t="s">
        <v>2107</v>
      </c>
      <c r="I91" s="201" t="s">
        <v>2124</v>
      </c>
      <c r="J91" s="201" t="s">
        <v>2306</v>
      </c>
      <c r="K91" s="201" t="s">
        <v>2307</v>
      </c>
      <c r="L91" s="201" t="s">
        <v>2115</v>
      </c>
      <c r="M91" s="233">
        <v>932</v>
      </c>
      <c r="N91" s="233"/>
      <c r="O91" s="438"/>
      <c r="P91" s="60"/>
      <c r="Q91" s="200"/>
      <c r="R91" s="200" t="s">
        <v>2130</v>
      </c>
      <c r="S91" s="303" t="s">
        <v>2308</v>
      </c>
      <c r="T91" s="200">
        <v>1</v>
      </c>
      <c r="U91" s="209" t="s">
        <v>1059</v>
      </c>
      <c r="V91" s="252">
        <v>1680000000</v>
      </c>
      <c r="W91" s="252">
        <v>1680000000</v>
      </c>
      <c r="X91" s="200"/>
      <c r="Y91" s="209"/>
      <c r="Z91" s="209"/>
      <c r="AA91" s="209"/>
      <c r="AB91" s="200"/>
      <c r="AC91" s="209"/>
      <c r="AD91" s="209"/>
      <c r="AE91" s="209"/>
      <c r="AF91" s="209"/>
      <c r="AG91" s="440"/>
      <c r="AH91" s="255" t="s">
        <v>2309</v>
      </c>
    </row>
    <row r="92" spans="2:34" s="198" customFormat="1" ht="14.1" hidden="1" customHeight="1">
      <c r="B92" s="199">
        <v>83</v>
      </c>
      <c r="C92" s="200"/>
      <c r="D92" s="200" t="s">
        <v>445</v>
      </c>
      <c r="E92" s="437" t="s">
        <v>152</v>
      </c>
      <c r="F92" s="200">
        <v>1</v>
      </c>
      <c r="G92" s="200">
        <v>2</v>
      </c>
      <c r="H92" s="201" t="s">
        <v>2107</v>
      </c>
      <c r="I92" s="201" t="s">
        <v>2124</v>
      </c>
      <c r="J92" s="201" t="s">
        <v>2306</v>
      </c>
      <c r="K92" s="201" t="s">
        <v>2310</v>
      </c>
      <c r="L92" s="201" t="s">
        <v>2115</v>
      </c>
      <c r="M92" s="233">
        <v>762</v>
      </c>
      <c r="N92" s="233"/>
      <c r="O92" s="438"/>
      <c r="P92" s="60"/>
      <c r="Q92" s="200"/>
      <c r="R92" s="200" t="s">
        <v>2130</v>
      </c>
      <c r="S92" s="303" t="s">
        <v>2308</v>
      </c>
      <c r="T92" s="200">
        <v>1</v>
      </c>
      <c r="U92" s="209" t="s">
        <v>1059</v>
      </c>
      <c r="V92" s="252">
        <v>1680000000</v>
      </c>
      <c r="W92" s="252">
        <v>1680000000</v>
      </c>
      <c r="X92" s="200"/>
      <c r="Y92" s="209"/>
      <c r="Z92" s="209"/>
      <c r="AA92" s="209"/>
      <c r="AB92" s="200"/>
      <c r="AC92" s="209"/>
      <c r="AD92" s="209"/>
      <c r="AE92" s="209"/>
      <c r="AF92" s="209"/>
      <c r="AG92" s="440"/>
      <c r="AH92" s="255" t="s">
        <v>2311</v>
      </c>
    </row>
    <row r="93" spans="2:34" s="198" customFormat="1" ht="14.1" hidden="1" customHeight="1">
      <c r="B93" s="199">
        <v>84</v>
      </c>
      <c r="C93" s="200"/>
      <c r="D93" s="200" t="s">
        <v>445</v>
      </c>
      <c r="E93" s="437" t="s">
        <v>152</v>
      </c>
      <c r="F93" s="200">
        <v>1</v>
      </c>
      <c r="G93" s="200">
        <v>3</v>
      </c>
      <c r="H93" s="201" t="s">
        <v>2107</v>
      </c>
      <c r="I93" s="201" t="s">
        <v>2124</v>
      </c>
      <c r="J93" s="201" t="s">
        <v>2306</v>
      </c>
      <c r="K93" s="201" t="s">
        <v>2312</v>
      </c>
      <c r="L93" s="201" t="s">
        <v>2115</v>
      </c>
      <c r="M93" s="233">
        <v>4074</v>
      </c>
      <c r="N93" s="233"/>
      <c r="O93" s="438"/>
      <c r="P93" s="60"/>
      <c r="Q93" s="200"/>
      <c r="R93" s="200" t="s">
        <v>2130</v>
      </c>
      <c r="S93" s="303" t="s">
        <v>2308</v>
      </c>
      <c r="T93" s="200">
        <v>1</v>
      </c>
      <c r="U93" s="209" t="s">
        <v>1059</v>
      </c>
      <c r="V93" s="252">
        <v>1680000000</v>
      </c>
      <c r="W93" s="252">
        <v>1680000000</v>
      </c>
      <c r="X93" s="200"/>
      <c r="Y93" s="209"/>
      <c r="Z93" s="209"/>
      <c r="AA93" s="209"/>
      <c r="AB93" s="200"/>
      <c r="AC93" s="209"/>
      <c r="AD93" s="209"/>
      <c r="AE93" s="209"/>
      <c r="AF93" s="209"/>
      <c r="AG93" s="440"/>
      <c r="AH93" s="255" t="s">
        <v>2313</v>
      </c>
    </row>
    <row r="94" spans="2:34" s="198" customFormat="1" ht="14.1" hidden="1" customHeight="1">
      <c r="B94" s="199">
        <v>85</v>
      </c>
      <c r="C94" s="200"/>
      <c r="D94" s="200" t="s">
        <v>445</v>
      </c>
      <c r="E94" s="437" t="s">
        <v>152</v>
      </c>
      <c r="F94" s="200">
        <v>1</v>
      </c>
      <c r="G94" s="200">
        <v>4</v>
      </c>
      <c r="H94" s="201" t="s">
        <v>2107</v>
      </c>
      <c r="I94" s="201" t="s">
        <v>2124</v>
      </c>
      <c r="J94" s="201" t="s">
        <v>2306</v>
      </c>
      <c r="K94" s="201" t="s">
        <v>2314</v>
      </c>
      <c r="L94" s="201" t="s">
        <v>2115</v>
      </c>
      <c r="M94" s="233">
        <v>3210</v>
      </c>
      <c r="N94" s="233"/>
      <c r="O94" s="438"/>
      <c r="P94" s="60"/>
      <c r="Q94" s="200"/>
      <c r="R94" s="200" t="s">
        <v>2130</v>
      </c>
      <c r="S94" s="303" t="s">
        <v>2308</v>
      </c>
      <c r="T94" s="200">
        <v>1</v>
      </c>
      <c r="U94" s="209" t="s">
        <v>1059</v>
      </c>
      <c r="V94" s="252">
        <v>1680000000</v>
      </c>
      <c r="W94" s="252">
        <v>1680000000</v>
      </c>
      <c r="X94" s="200"/>
      <c r="Y94" s="209"/>
      <c r="Z94" s="209"/>
      <c r="AA94" s="209"/>
      <c r="AB94" s="200"/>
      <c r="AC94" s="209"/>
      <c r="AD94" s="209"/>
      <c r="AE94" s="209"/>
      <c r="AF94" s="209"/>
      <c r="AG94" s="440"/>
      <c r="AH94" s="255" t="s">
        <v>2313</v>
      </c>
    </row>
    <row r="95" spans="2:34" s="198" customFormat="1" ht="14.1" hidden="1" customHeight="1">
      <c r="B95" s="199">
        <v>86</v>
      </c>
      <c r="C95" s="200"/>
      <c r="D95" s="200" t="s">
        <v>445</v>
      </c>
      <c r="E95" s="437" t="s">
        <v>152</v>
      </c>
      <c r="F95" s="200">
        <v>1</v>
      </c>
      <c r="G95" s="200">
        <v>5</v>
      </c>
      <c r="H95" s="201" t="s">
        <v>2107</v>
      </c>
      <c r="I95" s="201" t="s">
        <v>2124</v>
      </c>
      <c r="J95" s="201" t="s">
        <v>2306</v>
      </c>
      <c r="K95" s="201" t="s">
        <v>2315</v>
      </c>
      <c r="L95" s="201" t="s">
        <v>2115</v>
      </c>
      <c r="M95" s="233">
        <v>1986</v>
      </c>
      <c r="N95" s="233"/>
      <c r="O95" s="438"/>
      <c r="P95" s="60"/>
      <c r="Q95" s="200"/>
      <c r="R95" s="200" t="s">
        <v>2130</v>
      </c>
      <c r="S95" s="303" t="s">
        <v>2308</v>
      </c>
      <c r="T95" s="200">
        <v>1</v>
      </c>
      <c r="U95" s="209" t="s">
        <v>1059</v>
      </c>
      <c r="V95" s="252">
        <v>1680000000</v>
      </c>
      <c r="W95" s="252">
        <v>1680000000</v>
      </c>
      <c r="X95" s="200"/>
      <c r="Y95" s="209"/>
      <c r="Z95" s="209"/>
      <c r="AA95" s="209"/>
      <c r="AB95" s="200"/>
      <c r="AC95" s="209"/>
      <c r="AD95" s="209"/>
      <c r="AE95" s="209"/>
      <c r="AF95" s="209"/>
      <c r="AG95" s="440" t="s">
        <v>192</v>
      </c>
      <c r="AH95" s="255" t="s">
        <v>2313</v>
      </c>
    </row>
    <row r="96" spans="2:34" s="198" customFormat="1" ht="14.1" hidden="1" customHeight="1">
      <c r="B96" s="199">
        <v>87</v>
      </c>
      <c r="C96" s="200"/>
      <c r="D96" s="200" t="s">
        <v>446</v>
      </c>
      <c r="E96" s="437" t="s">
        <v>152</v>
      </c>
      <c r="F96" s="200">
        <v>1</v>
      </c>
      <c r="G96" s="200">
        <v>1</v>
      </c>
      <c r="H96" s="201" t="s">
        <v>2107</v>
      </c>
      <c r="I96" s="201" t="s">
        <v>2124</v>
      </c>
      <c r="J96" s="201" t="s">
        <v>2316</v>
      </c>
      <c r="K96" s="201" t="s">
        <v>2317</v>
      </c>
      <c r="L96" s="201" t="s">
        <v>2318</v>
      </c>
      <c r="M96" s="233">
        <v>646.5</v>
      </c>
      <c r="N96" s="233">
        <v>94.41</v>
      </c>
      <c r="O96" s="438"/>
      <c r="P96" s="60"/>
      <c r="Q96" s="200" t="s">
        <v>2319</v>
      </c>
      <c r="R96" s="200"/>
      <c r="S96" s="303" t="s">
        <v>2320</v>
      </c>
      <c r="T96" s="200">
        <v>1</v>
      </c>
      <c r="U96" s="209" t="s">
        <v>1059</v>
      </c>
      <c r="V96" s="252">
        <v>1920000000</v>
      </c>
      <c r="W96" s="252">
        <v>1920000000</v>
      </c>
      <c r="X96" s="200"/>
      <c r="Y96" s="209"/>
      <c r="Z96" s="209"/>
      <c r="AA96" s="209"/>
      <c r="AB96" s="200"/>
      <c r="AC96" s="209"/>
      <c r="AD96" s="209"/>
      <c r="AE96" s="209"/>
      <c r="AF96" s="209"/>
      <c r="AG96" s="440"/>
      <c r="AH96" s="255"/>
    </row>
    <row r="97" spans="2:34" s="198" customFormat="1" ht="14.1" hidden="1" customHeight="1">
      <c r="B97" s="199">
        <v>88</v>
      </c>
      <c r="C97" s="200"/>
      <c r="D97" s="200" t="s">
        <v>447</v>
      </c>
      <c r="E97" s="437" t="s">
        <v>650</v>
      </c>
      <c r="F97" s="200">
        <v>1</v>
      </c>
      <c r="G97" s="200">
        <v>1</v>
      </c>
      <c r="H97" s="201" t="s">
        <v>2119</v>
      </c>
      <c r="I97" s="201" t="s">
        <v>2120</v>
      </c>
      <c r="J97" s="201" t="s">
        <v>2321</v>
      </c>
      <c r="K97" s="201" t="s">
        <v>2322</v>
      </c>
      <c r="L97" s="201" t="s">
        <v>2106</v>
      </c>
      <c r="M97" s="233">
        <v>3388</v>
      </c>
      <c r="N97" s="233"/>
      <c r="O97" s="438"/>
      <c r="P97" s="60"/>
      <c r="Q97" s="200"/>
      <c r="R97" s="200"/>
      <c r="S97" s="303" t="s">
        <v>2323</v>
      </c>
      <c r="T97" s="200" t="s">
        <v>2123</v>
      </c>
      <c r="U97" s="209" t="s">
        <v>1059</v>
      </c>
      <c r="V97" s="252">
        <v>1320000000</v>
      </c>
      <c r="W97" s="252">
        <v>1320000000</v>
      </c>
      <c r="X97" s="200"/>
      <c r="Y97" s="209"/>
      <c r="Z97" s="209"/>
      <c r="AA97" s="209"/>
      <c r="AB97" s="200"/>
      <c r="AC97" s="209"/>
      <c r="AD97" s="209"/>
      <c r="AE97" s="209"/>
      <c r="AF97" s="209"/>
      <c r="AG97" s="440"/>
      <c r="AH97" s="255"/>
    </row>
    <row r="98" spans="2:34" s="198" customFormat="1" ht="14.1" hidden="1" customHeight="1">
      <c r="B98" s="199">
        <v>89</v>
      </c>
      <c r="C98" s="200"/>
      <c r="D98" s="200" t="s">
        <v>447</v>
      </c>
      <c r="E98" s="437" t="s">
        <v>650</v>
      </c>
      <c r="F98" s="200">
        <v>1</v>
      </c>
      <c r="G98" s="200">
        <v>2</v>
      </c>
      <c r="H98" s="201" t="s">
        <v>2119</v>
      </c>
      <c r="I98" s="201" t="s">
        <v>2120</v>
      </c>
      <c r="J98" s="201" t="s">
        <v>2321</v>
      </c>
      <c r="K98" s="201" t="s">
        <v>2324</v>
      </c>
      <c r="L98" s="201" t="s">
        <v>2325</v>
      </c>
      <c r="M98" s="233"/>
      <c r="N98" s="233">
        <v>1039</v>
      </c>
      <c r="O98" s="438">
        <v>4</v>
      </c>
      <c r="P98" s="60"/>
      <c r="Q98" s="200"/>
      <c r="R98" s="200"/>
      <c r="S98" s="303" t="s">
        <v>2323</v>
      </c>
      <c r="T98" s="200" t="s">
        <v>2123</v>
      </c>
      <c r="U98" s="209" t="s">
        <v>1059</v>
      </c>
      <c r="V98" s="252">
        <v>1320000000</v>
      </c>
      <c r="W98" s="252">
        <v>1320000000</v>
      </c>
      <c r="X98" s="200"/>
      <c r="Y98" s="209"/>
      <c r="Z98" s="209"/>
      <c r="AA98" s="209"/>
      <c r="AB98" s="200"/>
      <c r="AC98" s="209"/>
      <c r="AD98" s="209"/>
      <c r="AE98" s="209"/>
      <c r="AF98" s="209"/>
      <c r="AG98" s="440"/>
      <c r="AH98" s="255"/>
    </row>
    <row r="99" spans="2:34" s="198" customFormat="1" ht="14.1" hidden="1" customHeight="1">
      <c r="B99" s="199">
        <v>90</v>
      </c>
      <c r="C99" s="200"/>
      <c r="D99" s="200" t="s">
        <v>447</v>
      </c>
      <c r="E99" s="437" t="s">
        <v>650</v>
      </c>
      <c r="F99" s="200">
        <v>2</v>
      </c>
      <c r="G99" s="200">
        <v>1</v>
      </c>
      <c r="H99" s="201" t="s">
        <v>2119</v>
      </c>
      <c r="I99" s="201" t="s">
        <v>2326</v>
      </c>
      <c r="J99" s="201" t="s">
        <v>2327</v>
      </c>
      <c r="K99" s="201" t="s">
        <v>2328</v>
      </c>
      <c r="L99" s="201" t="s">
        <v>2329</v>
      </c>
      <c r="M99" s="233">
        <v>16853.2</v>
      </c>
      <c r="N99" s="233">
        <v>84.43</v>
      </c>
      <c r="O99" s="438"/>
      <c r="P99" s="60"/>
      <c r="Q99" s="200" t="s">
        <v>2330</v>
      </c>
      <c r="R99" s="200"/>
      <c r="S99" s="303" t="s">
        <v>2320</v>
      </c>
      <c r="T99" s="200">
        <v>2</v>
      </c>
      <c r="U99" s="209" t="s">
        <v>1059</v>
      </c>
      <c r="V99" s="252">
        <v>1200000000</v>
      </c>
      <c r="W99" s="252">
        <v>1200000000</v>
      </c>
      <c r="X99" s="200"/>
      <c r="Y99" s="209"/>
      <c r="Z99" s="209"/>
      <c r="AA99" s="209"/>
      <c r="AB99" s="200">
        <v>1</v>
      </c>
      <c r="AC99" s="209" t="s">
        <v>1059</v>
      </c>
      <c r="AD99" s="209">
        <v>132000000</v>
      </c>
      <c r="AE99" s="209">
        <v>132000000</v>
      </c>
      <c r="AF99" s="209"/>
      <c r="AG99" s="440"/>
      <c r="AH99" s="255" t="s">
        <v>2331</v>
      </c>
    </row>
    <row r="100" spans="2:34" s="198" customFormat="1" ht="14.1" hidden="1" customHeight="1">
      <c r="B100" s="199">
        <v>91</v>
      </c>
      <c r="C100" s="200"/>
      <c r="D100" s="200" t="s">
        <v>448</v>
      </c>
      <c r="E100" s="437" t="s">
        <v>651</v>
      </c>
      <c r="F100" s="200">
        <v>1</v>
      </c>
      <c r="G100" s="200">
        <v>1</v>
      </c>
      <c r="H100" s="201" t="s">
        <v>2105</v>
      </c>
      <c r="I100" s="201" t="s">
        <v>2332</v>
      </c>
      <c r="J100" s="201" t="s">
        <v>2333</v>
      </c>
      <c r="K100" s="201" t="s">
        <v>2334</v>
      </c>
      <c r="L100" s="201" t="s">
        <v>2106</v>
      </c>
      <c r="M100" s="233">
        <v>1841</v>
      </c>
      <c r="N100" s="233"/>
      <c r="O100" s="438"/>
      <c r="P100" s="60"/>
      <c r="Q100" s="200"/>
      <c r="R100" s="200" t="s">
        <v>2335</v>
      </c>
      <c r="S100" s="303" t="s">
        <v>2336</v>
      </c>
      <c r="T100" s="200" t="s">
        <v>2123</v>
      </c>
      <c r="U100" s="209" t="s">
        <v>1059</v>
      </c>
      <c r="V100" s="252">
        <v>1807000000</v>
      </c>
      <c r="W100" s="252">
        <v>1807000000</v>
      </c>
      <c r="X100" s="200"/>
      <c r="Y100" s="209"/>
      <c r="Z100" s="209"/>
      <c r="AA100" s="209"/>
      <c r="AB100" s="200"/>
      <c r="AC100" s="209"/>
      <c r="AD100" s="209"/>
      <c r="AE100" s="209"/>
      <c r="AF100" s="209"/>
      <c r="AG100" s="440"/>
      <c r="AH100" s="255"/>
    </row>
    <row r="101" spans="2:34" s="198" customFormat="1" ht="14.1" hidden="1" customHeight="1">
      <c r="B101" s="199">
        <v>92</v>
      </c>
      <c r="C101" s="200"/>
      <c r="D101" s="200" t="s">
        <v>448</v>
      </c>
      <c r="E101" s="437" t="s">
        <v>651</v>
      </c>
      <c r="F101" s="200">
        <v>1</v>
      </c>
      <c r="G101" s="200">
        <v>2</v>
      </c>
      <c r="H101" s="201" t="s">
        <v>2105</v>
      </c>
      <c r="I101" s="201" t="s">
        <v>2332</v>
      </c>
      <c r="J101" s="201" t="s">
        <v>2333</v>
      </c>
      <c r="K101" s="201" t="s">
        <v>2337</v>
      </c>
      <c r="L101" s="201" t="s">
        <v>2106</v>
      </c>
      <c r="M101" s="233">
        <v>976</v>
      </c>
      <c r="N101" s="233"/>
      <c r="O101" s="438"/>
      <c r="P101" s="60"/>
      <c r="Q101" s="200"/>
      <c r="R101" s="200"/>
      <c r="S101" s="439" t="s">
        <v>651</v>
      </c>
      <c r="T101" s="200" t="s">
        <v>2123</v>
      </c>
      <c r="U101" s="209" t="s">
        <v>1059</v>
      </c>
      <c r="V101" s="252">
        <v>1807000000</v>
      </c>
      <c r="W101" s="252">
        <v>1807000000</v>
      </c>
      <c r="X101" s="200"/>
      <c r="Y101" s="209"/>
      <c r="Z101" s="209"/>
      <c r="AA101" s="209"/>
      <c r="AB101" s="200"/>
      <c r="AC101" s="209"/>
      <c r="AD101" s="209"/>
      <c r="AE101" s="209"/>
      <c r="AF101" s="209"/>
      <c r="AG101" s="440"/>
      <c r="AH101" s="255"/>
    </row>
    <row r="102" spans="2:34" s="198" customFormat="1" ht="14.1" hidden="1" customHeight="1">
      <c r="B102" s="199">
        <v>93</v>
      </c>
      <c r="C102" s="200"/>
      <c r="D102" s="200" t="s">
        <v>448</v>
      </c>
      <c r="E102" s="437" t="s">
        <v>651</v>
      </c>
      <c r="F102" s="200">
        <v>1</v>
      </c>
      <c r="G102" s="200">
        <v>3</v>
      </c>
      <c r="H102" s="201" t="s">
        <v>2105</v>
      </c>
      <c r="I102" s="201" t="s">
        <v>2332</v>
      </c>
      <c r="J102" s="201" t="s">
        <v>2333</v>
      </c>
      <c r="K102" s="201" t="s">
        <v>2338</v>
      </c>
      <c r="L102" s="201" t="s">
        <v>2164</v>
      </c>
      <c r="M102" s="233"/>
      <c r="N102" s="233">
        <v>1825.91</v>
      </c>
      <c r="O102" s="438">
        <v>6</v>
      </c>
      <c r="P102" s="60"/>
      <c r="Q102" s="200"/>
      <c r="R102" s="200"/>
      <c r="S102" s="439" t="s">
        <v>651</v>
      </c>
      <c r="T102" s="200" t="s">
        <v>2123</v>
      </c>
      <c r="U102" s="209" t="s">
        <v>1059</v>
      </c>
      <c r="V102" s="252">
        <v>1807000000</v>
      </c>
      <c r="W102" s="252">
        <v>1807000000</v>
      </c>
      <c r="X102" s="200"/>
      <c r="Y102" s="209"/>
      <c r="Z102" s="209"/>
      <c r="AA102" s="209"/>
      <c r="AB102" s="200"/>
      <c r="AC102" s="209"/>
      <c r="AD102" s="209"/>
      <c r="AE102" s="209"/>
      <c r="AF102" s="209"/>
      <c r="AG102" s="440"/>
      <c r="AH102" s="255"/>
    </row>
    <row r="103" spans="2:34" s="198" customFormat="1" ht="14.1" hidden="1" customHeight="1">
      <c r="B103" s="199">
        <v>94</v>
      </c>
      <c r="C103" s="200"/>
      <c r="D103" s="200" t="s">
        <v>448</v>
      </c>
      <c r="E103" s="437" t="s">
        <v>651</v>
      </c>
      <c r="F103" s="200">
        <v>1</v>
      </c>
      <c r="G103" s="200">
        <v>4</v>
      </c>
      <c r="H103" s="201" t="s">
        <v>2105</v>
      </c>
      <c r="I103" s="201" t="s">
        <v>2332</v>
      </c>
      <c r="J103" s="201" t="s">
        <v>2333</v>
      </c>
      <c r="K103" s="201" t="s">
        <v>2339</v>
      </c>
      <c r="L103" s="201" t="s">
        <v>2160</v>
      </c>
      <c r="M103" s="233"/>
      <c r="N103" s="233">
        <v>30</v>
      </c>
      <c r="O103" s="438"/>
      <c r="P103" s="60"/>
      <c r="Q103" s="200"/>
      <c r="R103" s="200"/>
      <c r="S103" s="439" t="s">
        <v>651</v>
      </c>
      <c r="T103" s="200" t="s">
        <v>2123</v>
      </c>
      <c r="U103" s="209" t="s">
        <v>1059</v>
      </c>
      <c r="V103" s="252">
        <v>1807000000</v>
      </c>
      <c r="W103" s="252">
        <v>1807000000</v>
      </c>
      <c r="X103" s="200"/>
      <c r="Y103" s="209"/>
      <c r="Z103" s="209"/>
      <c r="AA103" s="209"/>
      <c r="AB103" s="200"/>
      <c r="AC103" s="209"/>
      <c r="AD103" s="209"/>
      <c r="AE103" s="209"/>
      <c r="AF103" s="209"/>
      <c r="AG103" s="440"/>
      <c r="AH103" s="255"/>
    </row>
    <row r="104" spans="2:34" s="198" customFormat="1" ht="14.1" hidden="1" customHeight="1">
      <c r="B104" s="199">
        <v>95</v>
      </c>
      <c r="C104" s="200"/>
      <c r="D104" s="200" t="s">
        <v>448</v>
      </c>
      <c r="E104" s="437" t="s">
        <v>651</v>
      </c>
      <c r="F104" s="200">
        <v>1</v>
      </c>
      <c r="G104" s="200">
        <v>5</v>
      </c>
      <c r="H104" s="201" t="s">
        <v>2105</v>
      </c>
      <c r="I104" s="201" t="s">
        <v>2332</v>
      </c>
      <c r="J104" s="201" t="s">
        <v>2333</v>
      </c>
      <c r="K104" s="201" t="s">
        <v>2340</v>
      </c>
      <c r="L104" s="201" t="s">
        <v>2341</v>
      </c>
      <c r="M104" s="233"/>
      <c r="N104" s="233">
        <v>32</v>
      </c>
      <c r="O104" s="438"/>
      <c r="P104" s="60"/>
      <c r="Q104" s="200"/>
      <c r="R104" s="200"/>
      <c r="S104" s="439" t="s">
        <v>651</v>
      </c>
      <c r="T104" s="200" t="s">
        <v>2123</v>
      </c>
      <c r="U104" s="209" t="s">
        <v>1059</v>
      </c>
      <c r="V104" s="252">
        <v>1807000000</v>
      </c>
      <c r="W104" s="252">
        <v>1807000000</v>
      </c>
      <c r="X104" s="200"/>
      <c r="Y104" s="209"/>
      <c r="Z104" s="209"/>
      <c r="AA104" s="209"/>
      <c r="AB104" s="200"/>
      <c r="AC104" s="209"/>
      <c r="AD104" s="209"/>
      <c r="AE104" s="209"/>
      <c r="AF104" s="209"/>
      <c r="AG104" s="440"/>
      <c r="AH104" s="255" t="s">
        <v>2342</v>
      </c>
    </row>
    <row r="105" spans="2:34" s="198" customFormat="1" ht="14.1" hidden="1" customHeight="1">
      <c r="B105" s="199">
        <v>96</v>
      </c>
      <c r="C105" s="200"/>
      <c r="D105" s="200" t="s">
        <v>448</v>
      </c>
      <c r="E105" s="437" t="s">
        <v>651</v>
      </c>
      <c r="F105" s="200">
        <v>1</v>
      </c>
      <c r="G105" s="200">
        <v>6</v>
      </c>
      <c r="H105" s="201" t="s">
        <v>2105</v>
      </c>
      <c r="I105" s="201" t="s">
        <v>2332</v>
      </c>
      <c r="J105" s="201" t="s">
        <v>2333</v>
      </c>
      <c r="K105" s="201" t="s">
        <v>2343</v>
      </c>
      <c r="L105" s="201" t="s">
        <v>2137</v>
      </c>
      <c r="M105" s="233"/>
      <c r="N105" s="233">
        <v>201.69</v>
      </c>
      <c r="O105" s="438"/>
      <c r="P105" s="60"/>
      <c r="Q105" s="200"/>
      <c r="R105" s="200" t="s">
        <v>2130</v>
      </c>
      <c r="S105" s="303" t="s">
        <v>2344</v>
      </c>
      <c r="T105" s="200" t="s">
        <v>2123</v>
      </c>
      <c r="U105" s="209" t="s">
        <v>1059</v>
      </c>
      <c r="V105" s="252">
        <v>1807000000</v>
      </c>
      <c r="W105" s="252">
        <v>1807000000</v>
      </c>
      <c r="X105" s="200"/>
      <c r="Y105" s="209"/>
      <c r="Z105" s="209"/>
      <c r="AA105" s="209"/>
      <c r="AB105" s="200"/>
      <c r="AC105" s="209"/>
      <c r="AD105" s="209"/>
      <c r="AE105" s="209"/>
      <c r="AF105" s="209"/>
      <c r="AG105" s="440"/>
      <c r="AH105" s="255" t="s">
        <v>2345</v>
      </c>
    </row>
    <row r="106" spans="2:34" s="198" customFormat="1" ht="14.1" hidden="1" customHeight="1">
      <c r="B106" s="199">
        <v>97</v>
      </c>
      <c r="C106" s="200"/>
      <c r="D106" s="200" t="s">
        <v>448</v>
      </c>
      <c r="E106" s="437" t="s">
        <v>651</v>
      </c>
      <c r="F106" s="200">
        <v>1</v>
      </c>
      <c r="G106" s="200">
        <v>7</v>
      </c>
      <c r="H106" s="201" t="s">
        <v>2105</v>
      </c>
      <c r="I106" s="201" t="s">
        <v>2332</v>
      </c>
      <c r="J106" s="201" t="s">
        <v>2333</v>
      </c>
      <c r="K106" s="201" t="s">
        <v>2346</v>
      </c>
      <c r="L106" s="201" t="s">
        <v>2109</v>
      </c>
      <c r="M106" s="233">
        <v>63</v>
      </c>
      <c r="N106" s="233"/>
      <c r="O106" s="438"/>
      <c r="P106" s="60"/>
      <c r="Q106" s="200"/>
      <c r="R106" s="200"/>
      <c r="S106" s="439" t="s">
        <v>651</v>
      </c>
      <c r="T106" s="200" t="s">
        <v>2123</v>
      </c>
      <c r="U106" s="209" t="s">
        <v>1059</v>
      </c>
      <c r="V106" s="252">
        <v>1807000000</v>
      </c>
      <c r="W106" s="252">
        <v>1807000000</v>
      </c>
      <c r="X106" s="200"/>
      <c r="Y106" s="209"/>
      <c r="Z106" s="209"/>
      <c r="AA106" s="209"/>
      <c r="AB106" s="200"/>
      <c r="AC106" s="209"/>
      <c r="AD106" s="209"/>
      <c r="AE106" s="209"/>
      <c r="AF106" s="209"/>
      <c r="AG106" s="440"/>
      <c r="AH106" s="255"/>
    </row>
    <row r="107" spans="2:34" s="198" customFormat="1" ht="14.1" hidden="1" customHeight="1">
      <c r="B107" s="199">
        <v>98</v>
      </c>
      <c r="C107" s="200"/>
      <c r="D107" s="200" t="s">
        <v>448</v>
      </c>
      <c r="E107" s="437" t="s">
        <v>651</v>
      </c>
      <c r="F107" s="200">
        <v>1</v>
      </c>
      <c r="G107" s="200">
        <v>8</v>
      </c>
      <c r="H107" s="201" t="s">
        <v>2105</v>
      </c>
      <c r="I107" s="201" t="s">
        <v>2332</v>
      </c>
      <c r="J107" s="201" t="s">
        <v>2333</v>
      </c>
      <c r="K107" s="201" t="s">
        <v>2347</v>
      </c>
      <c r="L107" s="201" t="s">
        <v>2109</v>
      </c>
      <c r="M107" s="233">
        <v>13</v>
      </c>
      <c r="N107" s="233"/>
      <c r="O107" s="438"/>
      <c r="P107" s="60"/>
      <c r="Q107" s="200"/>
      <c r="R107" s="200"/>
      <c r="S107" s="439" t="s">
        <v>651</v>
      </c>
      <c r="T107" s="200" t="s">
        <v>2123</v>
      </c>
      <c r="U107" s="209" t="s">
        <v>1059</v>
      </c>
      <c r="V107" s="252">
        <v>1807000000</v>
      </c>
      <c r="W107" s="252">
        <v>1807000000</v>
      </c>
      <c r="X107" s="200"/>
      <c r="Y107" s="209"/>
      <c r="Z107" s="209"/>
      <c r="AA107" s="209"/>
      <c r="AB107" s="200"/>
      <c r="AC107" s="209"/>
      <c r="AD107" s="209"/>
      <c r="AE107" s="209"/>
      <c r="AF107" s="209"/>
      <c r="AG107" s="440"/>
      <c r="AH107" s="255"/>
    </row>
    <row r="108" spans="2:34" s="198" customFormat="1" ht="14.1" hidden="1" customHeight="1">
      <c r="B108" s="199">
        <v>99</v>
      </c>
      <c r="C108" s="200"/>
      <c r="D108" s="200" t="s">
        <v>448</v>
      </c>
      <c r="E108" s="437" t="s">
        <v>651</v>
      </c>
      <c r="F108" s="200">
        <v>1</v>
      </c>
      <c r="G108" s="200">
        <v>9</v>
      </c>
      <c r="H108" s="201" t="s">
        <v>2105</v>
      </c>
      <c r="I108" s="201" t="s">
        <v>2332</v>
      </c>
      <c r="J108" s="201" t="s">
        <v>2333</v>
      </c>
      <c r="K108" s="201" t="s">
        <v>2348</v>
      </c>
      <c r="L108" s="201" t="s">
        <v>2109</v>
      </c>
      <c r="M108" s="233">
        <v>23</v>
      </c>
      <c r="N108" s="233"/>
      <c r="O108" s="438"/>
      <c r="P108" s="60"/>
      <c r="Q108" s="200"/>
      <c r="R108" s="200"/>
      <c r="S108" s="439" t="s">
        <v>651</v>
      </c>
      <c r="T108" s="200" t="s">
        <v>2123</v>
      </c>
      <c r="U108" s="209" t="s">
        <v>1059</v>
      </c>
      <c r="V108" s="252">
        <v>1807000000</v>
      </c>
      <c r="W108" s="252">
        <v>1807000000</v>
      </c>
      <c r="X108" s="200"/>
      <c r="Y108" s="209"/>
      <c r="Z108" s="209"/>
      <c r="AA108" s="209"/>
      <c r="AB108" s="200"/>
      <c r="AC108" s="209"/>
      <c r="AD108" s="209"/>
      <c r="AE108" s="209"/>
      <c r="AF108" s="209"/>
      <c r="AG108" s="440"/>
      <c r="AH108" s="255"/>
    </row>
    <row r="109" spans="2:34" s="198" customFormat="1" ht="14.1" hidden="1" customHeight="1">
      <c r="B109" s="199">
        <v>100</v>
      </c>
      <c r="C109" s="200"/>
      <c r="D109" s="200" t="s">
        <v>449</v>
      </c>
      <c r="E109" s="437" t="s">
        <v>211</v>
      </c>
      <c r="F109" s="200">
        <v>1</v>
      </c>
      <c r="G109" s="200">
        <v>1</v>
      </c>
      <c r="H109" s="201" t="s">
        <v>2138</v>
      </c>
      <c r="I109" s="201" t="s">
        <v>2349</v>
      </c>
      <c r="J109" s="201" t="s">
        <v>2350</v>
      </c>
      <c r="K109" s="201" t="s">
        <v>2351</v>
      </c>
      <c r="L109" s="201" t="s">
        <v>2122</v>
      </c>
      <c r="M109" s="233">
        <v>322</v>
      </c>
      <c r="N109" s="233"/>
      <c r="O109" s="438"/>
      <c r="P109" s="60"/>
      <c r="Q109" s="200"/>
      <c r="R109" s="200"/>
      <c r="S109" s="303" t="s">
        <v>2352</v>
      </c>
      <c r="T109" s="200" t="s">
        <v>2118</v>
      </c>
      <c r="U109" s="209" t="s">
        <v>1059</v>
      </c>
      <c r="V109" s="252">
        <v>1200000000</v>
      </c>
      <c r="W109" s="252">
        <v>1200000000</v>
      </c>
      <c r="X109" s="200"/>
      <c r="Y109" s="209"/>
      <c r="Z109" s="209"/>
      <c r="AA109" s="209"/>
      <c r="AB109" s="200"/>
      <c r="AC109" s="209"/>
      <c r="AD109" s="209"/>
      <c r="AE109" s="209"/>
      <c r="AF109" s="209"/>
      <c r="AG109" s="440"/>
      <c r="AH109" s="332" t="s">
        <v>2353</v>
      </c>
    </row>
    <row r="110" spans="2:34" s="198" customFormat="1" ht="14.1" hidden="1" customHeight="1">
      <c r="B110" s="199">
        <v>101</v>
      </c>
      <c r="C110" s="200"/>
      <c r="D110" s="200" t="s">
        <v>449</v>
      </c>
      <c r="E110" s="437" t="s">
        <v>211</v>
      </c>
      <c r="F110" s="200">
        <v>1</v>
      </c>
      <c r="G110" s="200">
        <v>2</v>
      </c>
      <c r="H110" s="201" t="s">
        <v>2138</v>
      </c>
      <c r="I110" s="201" t="s">
        <v>2349</v>
      </c>
      <c r="J110" s="201" t="s">
        <v>2350</v>
      </c>
      <c r="K110" s="201" t="s">
        <v>2354</v>
      </c>
      <c r="L110" s="201" t="s">
        <v>2355</v>
      </c>
      <c r="M110" s="233"/>
      <c r="N110" s="233">
        <v>811.18</v>
      </c>
      <c r="O110" s="438"/>
      <c r="P110" s="60"/>
      <c r="Q110" s="200"/>
      <c r="R110" s="200"/>
      <c r="S110" s="303" t="s">
        <v>2352</v>
      </c>
      <c r="T110" s="200" t="s">
        <v>2118</v>
      </c>
      <c r="U110" s="209" t="s">
        <v>1059</v>
      </c>
      <c r="V110" s="252">
        <v>1200000000</v>
      </c>
      <c r="W110" s="252">
        <v>1200000000</v>
      </c>
      <c r="X110" s="200"/>
      <c r="Y110" s="209"/>
      <c r="Z110" s="209"/>
      <c r="AA110" s="209"/>
      <c r="AB110" s="200"/>
      <c r="AC110" s="209"/>
      <c r="AD110" s="209"/>
      <c r="AE110" s="209"/>
      <c r="AF110" s="209"/>
      <c r="AG110" s="440"/>
      <c r="AH110" s="332" t="s">
        <v>2353</v>
      </c>
    </row>
    <row r="111" spans="2:34" s="198" customFormat="1" ht="14.1" hidden="1" customHeight="1">
      <c r="B111" s="199">
        <v>102</v>
      </c>
      <c r="C111" s="200"/>
      <c r="D111" s="200" t="s">
        <v>450</v>
      </c>
      <c r="E111" s="437" t="s">
        <v>135</v>
      </c>
      <c r="F111" s="200">
        <v>1</v>
      </c>
      <c r="G111" s="200">
        <v>1</v>
      </c>
      <c r="H111" s="201" t="s">
        <v>2107</v>
      </c>
      <c r="I111" s="201" t="s">
        <v>2124</v>
      </c>
      <c r="J111" s="201" t="s">
        <v>2356</v>
      </c>
      <c r="K111" s="201" t="s">
        <v>2357</v>
      </c>
      <c r="L111" s="201" t="s">
        <v>2106</v>
      </c>
      <c r="M111" s="233">
        <v>2851</v>
      </c>
      <c r="N111" s="233"/>
      <c r="O111" s="438"/>
      <c r="P111" s="60"/>
      <c r="Q111" s="200"/>
      <c r="R111" s="200"/>
      <c r="S111" s="439" t="s">
        <v>135</v>
      </c>
      <c r="T111" s="200">
        <v>1</v>
      </c>
      <c r="U111" s="209" t="s">
        <v>1059</v>
      </c>
      <c r="V111" s="252">
        <v>1200000000</v>
      </c>
      <c r="W111" s="252">
        <v>1200000000</v>
      </c>
      <c r="X111" s="200"/>
      <c r="Y111" s="209"/>
      <c r="Z111" s="209"/>
      <c r="AA111" s="209"/>
      <c r="AB111" s="200"/>
      <c r="AC111" s="209"/>
      <c r="AD111" s="209"/>
      <c r="AE111" s="209"/>
      <c r="AF111" s="209"/>
      <c r="AG111" s="440"/>
      <c r="AH111" s="255"/>
    </row>
    <row r="112" spans="2:34" s="198" customFormat="1" ht="14.1" hidden="1" customHeight="1">
      <c r="B112" s="199">
        <v>103</v>
      </c>
      <c r="C112" s="200"/>
      <c r="D112" s="200" t="s">
        <v>450</v>
      </c>
      <c r="E112" s="437" t="s">
        <v>135</v>
      </c>
      <c r="F112" s="200">
        <v>1</v>
      </c>
      <c r="G112" s="200">
        <v>2</v>
      </c>
      <c r="H112" s="201" t="s">
        <v>2107</v>
      </c>
      <c r="I112" s="201" t="s">
        <v>2124</v>
      </c>
      <c r="J112" s="201" t="s">
        <v>2356</v>
      </c>
      <c r="K112" s="201" t="s">
        <v>2358</v>
      </c>
      <c r="L112" s="201" t="s">
        <v>2160</v>
      </c>
      <c r="M112" s="233"/>
      <c r="N112" s="233">
        <v>957.16</v>
      </c>
      <c r="O112" s="438"/>
      <c r="P112" s="60"/>
      <c r="Q112" s="200"/>
      <c r="R112" s="200"/>
      <c r="S112" s="439" t="s">
        <v>135</v>
      </c>
      <c r="T112" s="200">
        <v>1</v>
      </c>
      <c r="U112" s="209" t="s">
        <v>1059</v>
      </c>
      <c r="V112" s="252">
        <v>1200000000</v>
      </c>
      <c r="W112" s="252">
        <v>1200000000</v>
      </c>
      <c r="X112" s="200"/>
      <c r="Y112" s="209"/>
      <c r="Z112" s="209"/>
      <c r="AA112" s="209"/>
      <c r="AB112" s="200"/>
      <c r="AC112" s="209"/>
      <c r="AD112" s="209"/>
      <c r="AE112" s="209"/>
      <c r="AF112" s="209"/>
      <c r="AG112" s="440"/>
      <c r="AH112" s="255"/>
    </row>
    <row r="113" spans="2:34" s="198" customFormat="1" ht="14.1" hidden="1" customHeight="1">
      <c r="B113" s="199">
        <v>104</v>
      </c>
      <c r="C113" s="200"/>
      <c r="D113" s="200" t="s">
        <v>451</v>
      </c>
      <c r="E113" s="437" t="s">
        <v>652</v>
      </c>
      <c r="F113" s="200">
        <v>1</v>
      </c>
      <c r="G113" s="200">
        <v>1</v>
      </c>
      <c r="H113" s="201" t="s">
        <v>2107</v>
      </c>
      <c r="I113" s="201" t="s">
        <v>2359</v>
      </c>
      <c r="J113" s="201" t="s">
        <v>2360</v>
      </c>
      <c r="K113" s="201" t="s">
        <v>2361</v>
      </c>
      <c r="L113" s="201" t="s">
        <v>2115</v>
      </c>
      <c r="M113" s="233">
        <v>27146</v>
      </c>
      <c r="N113" s="233"/>
      <c r="O113" s="438"/>
      <c r="P113" s="60"/>
      <c r="Q113" s="200"/>
      <c r="R113" s="200"/>
      <c r="S113" s="303" t="s">
        <v>2362</v>
      </c>
      <c r="T113" s="200">
        <v>1</v>
      </c>
      <c r="U113" s="209" t="s">
        <v>1059</v>
      </c>
      <c r="V113" s="252">
        <v>1200000000</v>
      </c>
      <c r="W113" s="252">
        <v>1200000000</v>
      </c>
      <c r="X113" s="200"/>
      <c r="Y113" s="209"/>
      <c r="Z113" s="209"/>
      <c r="AA113" s="209"/>
      <c r="AB113" s="200"/>
      <c r="AC113" s="209"/>
      <c r="AD113" s="209"/>
      <c r="AE113" s="209"/>
      <c r="AF113" s="209"/>
      <c r="AG113" s="440"/>
      <c r="AH113" s="255"/>
    </row>
    <row r="114" spans="2:34" s="198" customFormat="1" ht="14.1" hidden="1" customHeight="1">
      <c r="B114" s="199">
        <v>105</v>
      </c>
      <c r="C114" s="200"/>
      <c r="D114" s="200" t="s">
        <v>451</v>
      </c>
      <c r="E114" s="437" t="s">
        <v>652</v>
      </c>
      <c r="F114" s="200">
        <v>1</v>
      </c>
      <c r="G114" s="200">
        <v>2</v>
      </c>
      <c r="H114" s="201" t="s">
        <v>2107</v>
      </c>
      <c r="I114" s="201" t="s">
        <v>2359</v>
      </c>
      <c r="J114" s="201" t="s">
        <v>2360</v>
      </c>
      <c r="K114" s="201" t="s">
        <v>2363</v>
      </c>
      <c r="L114" s="201" t="s">
        <v>2122</v>
      </c>
      <c r="M114" s="233">
        <v>320</v>
      </c>
      <c r="N114" s="233"/>
      <c r="O114" s="438"/>
      <c r="P114" s="60"/>
      <c r="Q114" s="200"/>
      <c r="R114" s="200" t="s">
        <v>2364</v>
      </c>
      <c r="S114" s="303" t="s">
        <v>2362</v>
      </c>
      <c r="T114" s="200">
        <v>1</v>
      </c>
      <c r="U114" s="209" t="s">
        <v>1059</v>
      </c>
      <c r="V114" s="252">
        <v>1200000000</v>
      </c>
      <c r="W114" s="252">
        <v>1200000000</v>
      </c>
      <c r="X114" s="200"/>
      <c r="Y114" s="209"/>
      <c r="Z114" s="209"/>
      <c r="AA114" s="209"/>
      <c r="AB114" s="200"/>
      <c r="AC114" s="209"/>
      <c r="AD114" s="209"/>
      <c r="AE114" s="209"/>
      <c r="AF114" s="209"/>
      <c r="AG114" s="440"/>
      <c r="AH114" s="255"/>
    </row>
    <row r="115" spans="2:34" s="198" customFormat="1" ht="14.1" hidden="1" customHeight="1">
      <c r="B115" s="199">
        <v>106</v>
      </c>
      <c r="C115" s="200"/>
      <c r="D115" s="200" t="s">
        <v>451</v>
      </c>
      <c r="E115" s="437" t="s">
        <v>652</v>
      </c>
      <c r="F115" s="200">
        <v>1</v>
      </c>
      <c r="G115" s="200">
        <v>3</v>
      </c>
      <c r="H115" s="201" t="s">
        <v>2107</v>
      </c>
      <c r="I115" s="201" t="s">
        <v>2359</v>
      </c>
      <c r="J115" s="201" t="s">
        <v>2360</v>
      </c>
      <c r="K115" s="201" t="s">
        <v>2365</v>
      </c>
      <c r="L115" s="201" t="s">
        <v>2366</v>
      </c>
      <c r="M115" s="233">
        <v>638</v>
      </c>
      <c r="N115" s="233"/>
      <c r="O115" s="438"/>
      <c r="P115" s="60"/>
      <c r="Q115" s="200"/>
      <c r="R115" s="200"/>
      <c r="S115" s="303" t="s">
        <v>2362</v>
      </c>
      <c r="T115" s="200">
        <v>1</v>
      </c>
      <c r="U115" s="209" t="s">
        <v>1059</v>
      </c>
      <c r="V115" s="252">
        <v>1200000000</v>
      </c>
      <c r="W115" s="252">
        <v>1200000000</v>
      </c>
      <c r="X115" s="200"/>
      <c r="Y115" s="209"/>
      <c r="Z115" s="209"/>
      <c r="AA115" s="209"/>
      <c r="AB115" s="200"/>
      <c r="AC115" s="209"/>
      <c r="AD115" s="209"/>
      <c r="AE115" s="209"/>
      <c r="AF115" s="209"/>
      <c r="AG115" s="440"/>
      <c r="AH115" s="255"/>
    </row>
    <row r="116" spans="2:34" s="198" customFormat="1" ht="14.1" hidden="1" customHeight="1">
      <c r="B116" s="199">
        <v>107</v>
      </c>
      <c r="C116" s="200"/>
      <c r="D116" s="200" t="s">
        <v>451</v>
      </c>
      <c r="E116" s="437" t="s">
        <v>652</v>
      </c>
      <c r="F116" s="200">
        <v>1</v>
      </c>
      <c r="G116" s="200">
        <v>4</v>
      </c>
      <c r="H116" s="201" t="s">
        <v>2107</v>
      </c>
      <c r="I116" s="201" t="s">
        <v>2359</v>
      </c>
      <c r="J116" s="201" t="s">
        <v>2360</v>
      </c>
      <c r="K116" s="201" t="s">
        <v>2367</v>
      </c>
      <c r="L116" s="201" t="s">
        <v>2125</v>
      </c>
      <c r="M116" s="233">
        <v>160</v>
      </c>
      <c r="N116" s="233"/>
      <c r="O116" s="438"/>
      <c r="P116" s="60"/>
      <c r="Q116" s="200"/>
      <c r="R116" s="200"/>
      <c r="S116" s="303" t="s">
        <v>2362</v>
      </c>
      <c r="T116" s="200">
        <v>1</v>
      </c>
      <c r="U116" s="209" t="s">
        <v>1059</v>
      </c>
      <c r="V116" s="252">
        <v>1200000000</v>
      </c>
      <c r="W116" s="252">
        <v>1200000000</v>
      </c>
      <c r="X116" s="200"/>
      <c r="Y116" s="209"/>
      <c r="Z116" s="209"/>
      <c r="AA116" s="209"/>
      <c r="AB116" s="200"/>
      <c r="AC116" s="209"/>
      <c r="AD116" s="209"/>
      <c r="AE116" s="209"/>
      <c r="AF116" s="209"/>
      <c r="AG116" s="440"/>
      <c r="AH116" s="255"/>
    </row>
    <row r="117" spans="2:34" s="198" customFormat="1" ht="14.1" hidden="1" customHeight="1">
      <c r="B117" s="199">
        <v>108</v>
      </c>
      <c r="C117" s="200"/>
      <c r="D117" s="200" t="s">
        <v>451</v>
      </c>
      <c r="E117" s="437" t="s">
        <v>652</v>
      </c>
      <c r="F117" s="200">
        <v>2</v>
      </c>
      <c r="G117" s="200">
        <v>1</v>
      </c>
      <c r="H117" s="201" t="s">
        <v>2107</v>
      </c>
      <c r="I117" s="201" t="s">
        <v>2359</v>
      </c>
      <c r="J117" s="201" t="s">
        <v>2360</v>
      </c>
      <c r="K117" s="201" t="s">
        <v>2368</v>
      </c>
      <c r="L117" s="201" t="s">
        <v>2109</v>
      </c>
      <c r="M117" s="233">
        <v>10</v>
      </c>
      <c r="N117" s="233"/>
      <c r="O117" s="438"/>
      <c r="P117" s="60"/>
      <c r="Q117" s="200"/>
      <c r="R117" s="200"/>
      <c r="S117" s="303" t="s">
        <v>2362</v>
      </c>
      <c r="T117" s="200">
        <v>2</v>
      </c>
      <c r="U117" s="209" t="s">
        <v>1059</v>
      </c>
      <c r="V117" s="252">
        <v>1200000000</v>
      </c>
      <c r="W117" s="252">
        <v>1200000000</v>
      </c>
      <c r="X117" s="200"/>
      <c r="Y117" s="209"/>
      <c r="Z117" s="209"/>
      <c r="AA117" s="209"/>
      <c r="AB117" s="200">
        <v>1</v>
      </c>
      <c r="AC117" s="209" t="s">
        <v>1059</v>
      </c>
      <c r="AD117" s="209">
        <v>30000000</v>
      </c>
      <c r="AE117" s="209">
        <v>30000000</v>
      </c>
      <c r="AF117" s="209"/>
      <c r="AG117" s="440"/>
      <c r="AH117" s="255" t="s">
        <v>2369</v>
      </c>
    </row>
    <row r="118" spans="2:34" s="198" customFormat="1" ht="14.1" hidden="1" customHeight="1">
      <c r="B118" s="199">
        <v>109</v>
      </c>
      <c r="C118" s="200"/>
      <c r="D118" s="200" t="s">
        <v>452</v>
      </c>
      <c r="E118" s="437" t="s">
        <v>653</v>
      </c>
      <c r="F118" s="200">
        <v>1</v>
      </c>
      <c r="G118" s="200">
        <v>1</v>
      </c>
      <c r="H118" s="201" t="s">
        <v>2107</v>
      </c>
      <c r="I118" s="201" t="s">
        <v>2124</v>
      </c>
      <c r="J118" s="201" t="s">
        <v>2370</v>
      </c>
      <c r="K118" s="201" t="s">
        <v>2371</v>
      </c>
      <c r="L118" s="201" t="s">
        <v>2106</v>
      </c>
      <c r="M118" s="233">
        <v>1381</v>
      </c>
      <c r="N118" s="233"/>
      <c r="O118" s="438"/>
      <c r="P118" s="60"/>
      <c r="Q118" s="200"/>
      <c r="R118" s="200"/>
      <c r="S118" s="439" t="s">
        <v>653</v>
      </c>
      <c r="T118" s="200">
        <v>1</v>
      </c>
      <c r="U118" s="209" t="s">
        <v>1059</v>
      </c>
      <c r="V118" s="252">
        <v>1030800000</v>
      </c>
      <c r="W118" s="252">
        <v>1030800000</v>
      </c>
      <c r="X118" s="200"/>
      <c r="Y118" s="209"/>
      <c r="Z118" s="209"/>
      <c r="AA118" s="209"/>
      <c r="AB118" s="200"/>
      <c r="AC118" s="209"/>
      <c r="AD118" s="209"/>
      <c r="AE118" s="209"/>
      <c r="AF118" s="209"/>
      <c r="AG118" s="440"/>
      <c r="AH118" s="255"/>
    </row>
    <row r="119" spans="2:34" s="198" customFormat="1" ht="14.1" hidden="1" customHeight="1">
      <c r="B119" s="199">
        <v>110</v>
      </c>
      <c r="C119" s="200"/>
      <c r="D119" s="200" t="s">
        <v>452</v>
      </c>
      <c r="E119" s="437" t="s">
        <v>653</v>
      </c>
      <c r="F119" s="200">
        <v>1</v>
      </c>
      <c r="G119" s="200">
        <v>2</v>
      </c>
      <c r="H119" s="201" t="s">
        <v>2107</v>
      </c>
      <c r="I119" s="201" t="s">
        <v>2124</v>
      </c>
      <c r="J119" s="201" t="s">
        <v>2370</v>
      </c>
      <c r="K119" s="201" t="s">
        <v>2372</v>
      </c>
      <c r="L119" s="201" t="s">
        <v>2164</v>
      </c>
      <c r="M119" s="233"/>
      <c r="N119" s="233">
        <v>999.22</v>
      </c>
      <c r="O119" s="438"/>
      <c r="P119" s="60"/>
      <c r="Q119" s="200"/>
      <c r="R119" s="200"/>
      <c r="S119" s="439" t="s">
        <v>653</v>
      </c>
      <c r="T119" s="200">
        <v>1</v>
      </c>
      <c r="U119" s="209" t="s">
        <v>1059</v>
      </c>
      <c r="V119" s="252">
        <v>1030800000</v>
      </c>
      <c r="W119" s="252">
        <v>1030800000</v>
      </c>
      <c r="X119" s="200"/>
      <c r="Y119" s="209"/>
      <c r="Z119" s="209"/>
      <c r="AA119" s="209"/>
      <c r="AB119" s="200"/>
      <c r="AC119" s="209"/>
      <c r="AD119" s="209"/>
      <c r="AE119" s="209"/>
      <c r="AF119" s="209"/>
      <c r="AG119" s="440"/>
      <c r="AH119" s="255"/>
    </row>
    <row r="120" spans="2:34" s="198" customFormat="1" ht="14.1" hidden="1" customHeight="1">
      <c r="B120" s="199">
        <v>111</v>
      </c>
      <c r="C120" s="200"/>
      <c r="D120" s="200" t="s">
        <v>452</v>
      </c>
      <c r="E120" s="437" t="s">
        <v>653</v>
      </c>
      <c r="F120" s="200">
        <v>1</v>
      </c>
      <c r="G120" s="200">
        <v>3</v>
      </c>
      <c r="H120" s="201" t="s">
        <v>2107</v>
      </c>
      <c r="I120" s="201" t="s">
        <v>2124</v>
      </c>
      <c r="J120" s="201" t="s">
        <v>2370</v>
      </c>
      <c r="K120" s="201" t="s">
        <v>2373</v>
      </c>
      <c r="L120" s="201" t="s">
        <v>2115</v>
      </c>
      <c r="M120" s="233">
        <v>24</v>
      </c>
      <c r="N120" s="233"/>
      <c r="O120" s="438"/>
      <c r="P120" s="60"/>
      <c r="Q120" s="200"/>
      <c r="R120" s="200"/>
      <c r="S120" s="439" t="s">
        <v>653</v>
      </c>
      <c r="T120" s="200">
        <v>1</v>
      </c>
      <c r="U120" s="209" t="s">
        <v>1059</v>
      </c>
      <c r="V120" s="252">
        <v>1030800000</v>
      </c>
      <c r="W120" s="252">
        <v>1030800000</v>
      </c>
      <c r="X120" s="200"/>
      <c r="Y120" s="209"/>
      <c r="Z120" s="209"/>
      <c r="AA120" s="209"/>
      <c r="AB120" s="200"/>
      <c r="AC120" s="209"/>
      <c r="AD120" s="209"/>
      <c r="AE120" s="209"/>
      <c r="AF120" s="209"/>
      <c r="AG120" s="440"/>
      <c r="AH120" s="255"/>
    </row>
    <row r="121" spans="2:34" s="198" customFormat="1" ht="14.1" hidden="1" customHeight="1">
      <c r="B121" s="199">
        <v>112</v>
      </c>
      <c r="C121" s="200"/>
      <c r="D121" s="200" t="s">
        <v>453</v>
      </c>
      <c r="E121" s="437" t="s">
        <v>109</v>
      </c>
      <c r="F121" s="200">
        <v>1</v>
      </c>
      <c r="G121" s="200">
        <v>1</v>
      </c>
      <c r="H121" s="201" t="s">
        <v>2107</v>
      </c>
      <c r="I121" s="201" t="s">
        <v>2124</v>
      </c>
      <c r="J121" s="201" t="s">
        <v>2374</v>
      </c>
      <c r="K121" s="201" t="s">
        <v>1464</v>
      </c>
      <c r="L121" s="201" t="s">
        <v>2375</v>
      </c>
      <c r="M121" s="233">
        <v>27196.1</v>
      </c>
      <c r="N121" s="233">
        <v>187.11699999999999</v>
      </c>
      <c r="O121" s="438"/>
      <c r="P121" s="60"/>
      <c r="Q121" s="200" t="s">
        <v>2376</v>
      </c>
      <c r="R121" s="200" t="s">
        <v>2130</v>
      </c>
      <c r="S121" s="303" t="s">
        <v>2377</v>
      </c>
      <c r="T121" s="200">
        <v>1</v>
      </c>
      <c r="U121" s="209" t="s">
        <v>1059</v>
      </c>
      <c r="V121" s="252">
        <v>984000000</v>
      </c>
      <c r="W121" s="252">
        <v>984000000</v>
      </c>
      <c r="X121" s="200"/>
      <c r="Y121" s="209"/>
      <c r="Z121" s="209"/>
      <c r="AA121" s="209"/>
      <c r="AB121" s="200"/>
      <c r="AC121" s="209"/>
      <c r="AD121" s="209"/>
      <c r="AE121" s="209"/>
      <c r="AF121" s="209"/>
      <c r="AG121" s="440"/>
      <c r="AH121" s="255"/>
    </row>
    <row r="122" spans="2:34" s="198" customFormat="1" ht="14.1" hidden="1" customHeight="1">
      <c r="B122" s="199">
        <v>113</v>
      </c>
      <c r="C122" s="200"/>
      <c r="D122" s="200" t="s">
        <v>454</v>
      </c>
      <c r="E122" s="437" t="s">
        <v>654</v>
      </c>
      <c r="F122" s="200">
        <v>1</v>
      </c>
      <c r="G122" s="200">
        <v>1</v>
      </c>
      <c r="H122" s="201" t="s">
        <v>2279</v>
      </c>
      <c r="I122" s="201" t="s">
        <v>2378</v>
      </c>
      <c r="J122" s="201" t="s">
        <v>2379</v>
      </c>
      <c r="K122" s="201" t="s">
        <v>2380</v>
      </c>
      <c r="L122" s="201" t="s">
        <v>2106</v>
      </c>
      <c r="M122" s="233">
        <v>6638</v>
      </c>
      <c r="N122" s="233"/>
      <c r="O122" s="438">
        <v>3</v>
      </c>
      <c r="P122" s="60"/>
      <c r="Q122" s="200"/>
      <c r="R122" s="200"/>
      <c r="S122" s="439" t="s">
        <v>654</v>
      </c>
      <c r="T122" s="200">
        <v>1</v>
      </c>
      <c r="U122" s="209" t="s">
        <v>1059</v>
      </c>
      <c r="V122" s="252">
        <v>960000000</v>
      </c>
      <c r="W122" s="252">
        <v>960000000</v>
      </c>
      <c r="X122" s="200"/>
      <c r="Y122" s="209"/>
      <c r="Z122" s="209"/>
      <c r="AA122" s="209"/>
      <c r="AB122" s="200"/>
      <c r="AC122" s="209"/>
      <c r="AD122" s="209"/>
      <c r="AE122" s="209"/>
      <c r="AF122" s="209"/>
      <c r="AG122" s="440"/>
      <c r="AH122" s="255" t="s">
        <v>2381</v>
      </c>
    </row>
    <row r="123" spans="2:34" s="198" customFormat="1" ht="14.1" hidden="1" customHeight="1">
      <c r="B123" s="199">
        <v>114</v>
      </c>
      <c r="C123" s="200"/>
      <c r="D123" s="200" t="s">
        <v>454</v>
      </c>
      <c r="E123" s="437" t="s">
        <v>654</v>
      </c>
      <c r="F123" s="200">
        <v>1</v>
      </c>
      <c r="G123" s="200">
        <v>2</v>
      </c>
      <c r="H123" s="201" t="s">
        <v>2279</v>
      </c>
      <c r="I123" s="201" t="s">
        <v>2378</v>
      </c>
      <c r="J123" s="201" t="s">
        <v>2379</v>
      </c>
      <c r="K123" s="201" t="s">
        <v>2382</v>
      </c>
      <c r="L123" s="201" t="s">
        <v>2164</v>
      </c>
      <c r="M123" s="233"/>
      <c r="N123" s="233">
        <v>427.2</v>
      </c>
      <c r="O123" s="438"/>
      <c r="P123" s="60"/>
      <c r="Q123" s="200"/>
      <c r="R123" s="200"/>
      <c r="S123" s="439" t="s">
        <v>654</v>
      </c>
      <c r="T123" s="200">
        <v>1</v>
      </c>
      <c r="U123" s="209" t="s">
        <v>1059</v>
      </c>
      <c r="V123" s="252">
        <v>960000000</v>
      </c>
      <c r="W123" s="252">
        <v>960000000</v>
      </c>
      <c r="X123" s="200"/>
      <c r="Y123" s="209"/>
      <c r="Z123" s="209"/>
      <c r="AA123" s="209"/>
      <c r="AB123" s="200"/>
      <c r="AC123" s="209"/>
      <c r="AD123" s="209"/>
      <c r="AE123" s="209"/>
      <c r="AF123" s="209"/>
      <c r="AG123" s="440"/>
      <c r="AH123" s="255"/>
    </row>
    <row r="124" spans="2:34" s="198" customFormat="1" ht="14.1" hidden="1" customHeight="1">
      <c r="B124" s="199">
        <v>115</v>
      </c>
      <c r="C124" s="200"/>
      <c r="D124" s="200" t="s">
        <v>454</v>
      </c>
      <c r="E124" s="437" t="s">
        <v>654</v>
      </c>
      <c r="F124" s="200">
        <v>1</v>
      </c>
      <c r="G124" s="200">
        <v>3</v>
      </c>
      <c r="H124" s="201" t="s">
        <v>2279</v>
      </c>
      <c r="I124" s="201" t="s">
        <v>2378</v>
      </c>
      <c r="J124" s="201" t="s">
        <v>2379</v>
      </c>
      <c r="K124" s="201" t="s">
        <v>2382</v>
      </c>
      <c r="L124" s="201" t="s">
        <v>2160</v>
      </c>
      <c r="M124" s="233"/>
      <c r="N124" s="233">
        <v>810</v>
      </c>
      <c r="O124" s="438"/>
      <c r="P124" s="60"/>
      <c r="Q124" s="200"/>
      <c r="R124" s="200"/>
      <c r="S124" s="439" t="s">
        <v>654</v>
      </c>
      <c r="T124" s="200">
        <v>1</v>
      </c>
      <c r="U124" s="209" t="s">
        <v>1059</v>
      </c>
      <c r="V124" s="252">
        <v>960000000</v>
      </c>
      <c r="W124" s="252">
        <v>960000000</v>
      </c>
      <c r="X124" s="200"/>
      <c r="Y124" s="209"/>
      <c r="Z124" s="209"/>
      <c r="AA124" s="209"/>
      <c r="AB124" s="200"/>
      <c r="AC124" s="209"/>
      <c r="AD124" s="209"/>
      <c r="AE124" s="209"/>
      <c r="AF124" s="209"/>
      <c r="AG124" s="440"/>
      <c r="AH124" s="255"/>
    </row>
    <row r="125" spans="2:34" s="198" customFormat="1" ht="14.1" hidden="1" customHeight="1">
      <c r="B125" s="199">
        <v>116</v>
      </c>
      <c r="C125" s="200"/>
      <c r="D125" s="200" t="s">
        <v>454</v>
      </c>
      <c r="E125" s="437" t="s">
        <v>654</v>
      </c>
      <c r="F125" s="200">
        <v>2</v>
      </c>
      <c r="G125" s="200">
        <v>1</v>
      </c>
      <c r="H125" s="201" t="s">
        <v>2279</v>
      </c>
      <c r="I125" s="201" t="s">
        <v>2378</v>
      </c>
      <c r="J125" s="201" t="s">
        <v>2379</v>
      </c>
      <c r="K125" s="201" t="s">
        <v>2383</v>
      </c>
      <c r="L125" s="201" t="s">
        <v>2106</v>
      </c>
      <c r="M125" s="233">
        <v>2143</v>
      </c>
      <c r="N125" s="233"/>
      <c r="O125" s="438"/>
      <c r="P125" s="60"/>
      <c r="Q125" s="200"/>
      <c r="R125" s="200" t="s">
        <v>2384</v>
      </c>
      <c r="S125" s="439" t="s">
        <v>654</v>
      </c>
      <c r="T125" s="200">
        <v>2</v>
      </c>
      <c r="U125" s="209" t="s">
        <v>1059</v>
      </c>
      <c r="V125" s="252">
        <v>960000000</v>
      </c>
      <c r="W125" s="252">
        <v>960000000</v>
      </c>
      <c r="X125" s="200"/>
      <c r="Y125" s="209"/>
      <c r="Z125" s="209"/>
      <c r="AA125" s="209"/>
      <c r="AB125" s="200">
        <v>1</v>
      </c>
      <c r="AC125" s="209" t="s">
        <v>1059</v>
      </c>
      <c r="AD125" s="209">
        <v>1320000000</v>
      </c>
      <c r="AE125" s="209">
        <v>1320000000</v>
      </c>
      <c r="AF125" s="209"/>
      <c r="AG125" s="440"/>
      <c r="AH125" s="332" t="s">
        <v>2385</v>
      </c>
    </row>
    <row r="126" spans="2:34" s="198" customFormat="1" ht="14.1" hidden="1" customHeight="1">
      <c r="B126" s="199">
        <v>117</v>
      </c>
      <c r="C126" s="200"/>
      <c r="D126" s="200" t="s">
        <v>455</v>
      </c>
      <c r="E126" s="437" t="s">
        <v>655</v>
      </c>
      <c r="F126" s="200">
        <v>1</v>
      </c>
      <c r="G126" s="200">
        <v>1</v>
      </c>
      <c r="H126" s="201" t="s">
        <v>2107</v>
      </c>
      <c r="I126" s="201" t="s">
        <v>2108</v>
      </c>
      <c r="J126" s="201" t="s">
        <v>2386</v>
      </c>
      <c r="K126" s="201" t="s">
        <v>2387</v>
      </c>
      <c r="L126" s="201" t="s">
        <v>2106</v>
      </c>
      <c r="M126" s="233">
        <v>2298</v>
      </c>
      <c r="N126" s="233"/>
      <c r="O126" s="438"/>
      <c r="P126" s="60"/>
      <c r="Q126" s="200"/>
      <c r="R126" s="200"/>
      <c r="S126" s="439" t="s">
        <v>655</v>
      </c>
      <c r="T126" s="200">
        <v>1</v>
      </c>
      <c r="U126" s="209" t="s">
        <v>1059</v>
      </c>
      <c r="V126" s="252">
        <v>960000000</v>
      </c>
      <c r="W126" s="252">
        <v>960000000</v>
      </c>
      <c r="X126" s="200"/>
      <c r="Y126" s="209"/>
      <c r="Z126" s="209"/>
      <c r="AA126" s="209"/>
      <c r="AB126" s="200"/>
      <c r="AC126" s="209"/>
      <c r="AD126" s="209"/>
      <c r="AE126" s="209"/>
      <c r="AF126" s="209"/>
      <c r="AG126" s="440"/>
      <c r="AH126" s="255"/>
    </row>
    <row r="127" spans="2:34" s="198" customFormat="1" ht="14.1" hidden="1" customHeight="1">
      <c r="B127" s="199">
        <v>118</v>
      </c>
      <c r="C127" s="200"/>
      <c r="D127" s="200" t="s">
        <v>455</v>
      </c>
      <c r="E127" s="437" t="s">
        <v>655</v>
      </c>
      <c r="F127" s="200">
        <v>1</v>
      </c>
      <c r="G127" s="200">
        <v>2</v>
      </c>
      <c r="H127" s="201" t="s">
        <v>2107</v>
      </c>
      <c r="I127" s="201" t="s">
        <v>2108</v>
      </c>
      <c r="J127" s="201" t="s">
        <v>2386</v>
      </c>
      <c r="K127" s="201" t="s">
        <v>2388</v>
      </c>
      <c r="L127" s="201" t="s">
        <v>2160</v>
      </c>
      <c r="M127" s="233"/>
      <c r="N127" s="233">
        <v>483</v>
      </c>
      <c r="O127" s="438"/>
      <c r="P127" s="60"/>
      <c r="Q127" s="200"/>
      <c r="R127" s="200"/>
      <c r="S127" s="439" t="s">
        <v>655</v>
      </c>
      <c r="T127" s="200">
        <v>1</v>
      </c>
      <c r="U127" s="209" t="s">
        <v>1059</v>
      </c>
      <c r="V127" s="252">
        <v>960000000</v>
      </c>
      <c r="W127" s="252">
        <v>960000000</v>
      </c>
      <c r="X127" s="200"/>
      <c r="Y127" s="209"/>
      <c r="Z127" s="209"/>
      <c r="AA127" s="209"/>
      <c r="AB127" s="200"/>
      <c r="AC127" s="209"/>
      <c r="AD127" s="209"/>
      <c r="AE127" s="209"/>
      <c r="AF127" s="209"/>
      <c r="AG127" s="440"/>
      <c r="AH127" s="255" t="s">
        <v>2389</v>
      </c>
    </row>
    <row r="128" spans="2:34" s="198" customFormat="1" ht="14.1" hidden="1" customHeight="1">
      <c r="B128" s="199">
        <v>119</v>
      </c>
      <c r="C128" s="200"/>
      <c r="D128" s="200" t="s">
        <v>455</v>
      </c>
      <c r="E128" s="437" t="s">
        <v>655</v>
      </c>
      <c r="F128" s="200">
        <v>1</v>
      </c>
      <c r="G128" s="200">
        <v>3</v>
      </c>
      <c r="H128" s="201" t="s">
        <v>2107</v>
      </c>
      <c r="I128" s="201" t="s">
        <v>2108</v>
      </c>
      <c r="J128" s="201" t="s">
        <v>2386</v>
      </c>
      <c r="K128" s="201" t="s">
        <v>2390</v>
      </c>
      <c r="L128" s="201" t="s">
        <v>2109</v>
      </c>
      <c r="M128" s="233">
        <v>1791</v>
      </c>
      <c r="N128" s="233"/>
      <c r="O128" s="438"/>
      <c r="P128" s="60"/>
      <c r="Q128" s="200"/>
      <c r="R128" s="200" t="s">
        <v>2391</v>
      </c>
      <c r="S128" s="439" t="s">
        <v>655</v>
      </c>
      <c r="T128" s="200">
        <v>1</v>
      </c>
      <c r="U128" s="209" t="s">
        <v>1059</v>
      </c>
      <c r="V128" s="252">
        <v>960000000</v>
      </c>
      <c r="W128" s="252">
        <v>960000000</v>
      </c>
      <c r="X128" s="200"/>
      <c r="Y128" s="209"/>
      <c r="Z128" s="209"/>
      <c r="AA128" s="209"/>
      <c r="AB128" s="200"/>
      <c r="AC128" s="209"/>
      <c r="AD128" s="209"/>
      <c r="AE128" s="209"/>
      <c r="AF128" s="209"/>
      <c r="AG128" s="440"/>
      <c r="AH128" s="255"/>
    </row>
    <row r="129" spans="2:34" s="198" customFormat="1" ht="14.1" hidden="1" customHeight="1">
      <c r="B129" s="199">
        <v>120</v>
      </c>
      <c r="C129" s="200"/>
      <c r="D129" s="200" t="s">
        <v>455</v>
      </c>
      <c r="E129" s="437" t="s">
        <v>655</v>
      </c>
      <c r="F129" s="200">
        <v>1</v>
      </c>
      <c r="G129" s="200">
        <v>4</v>
      </c>
      <c r="H129" s="201" t="s">
        <v>2107</v>
      </c>
      <c r="I129" s="201" t="s">
        <v>2108</v>
      </c>
      <c r="J129" s="201" t="s">
        <v>2386</v>
      </c>
      <c r="K129" s="201" t="s">
        <v>2392</v>
      </c>
      <c r="L129" s="201" t="s">
        <v>2109</v>
      </c>
      <c r="M129" s="233">
        <v>423</v>
      </c>
      <c r="N129" s="233"/>
      <c r="O129" s="438"/>
      <c r="P129" s="60"/>
      <c r="Q129" s="200"/>
      <c r="R129" s="200"/>
      <c r="S129" s="439" t="s">
        <v>655</v>
      </c>
      <c r="T129" s="200">
        <v>1</v>
      </c>
      <c r="U129" s="209" t="s">
        <v>1059</v>
      </c>
      <c r="V129" s="252">
        <v>960000000</v>
      </c>
      <c r="W129" s="252">
        <v>960000000</v>
      </c>
      <c r="X129" s="200"/>
      <c r="Y129" s="209"/>
      <c r="Z129" s="209"/>
      <c r="AA129" s="209"/>
      <c r="AB129" s="200"/>
      <c r="AC129" s="209"/>
      <c r="AD129" s="209"/>
      <c r="AE129" s="209"/>
      <c r="AF129" s="209"/>
      <c r="AG129" s="440"/>
      <c r="AH129" s="255"/>
    </row>
    <row r="130" spans="2:34" s="198" customFormat="1" ht="14.1" hidden="1" customHeight="1">
      <c r="B130" s="199">
        <v>121</v>
      </c>
      <c r="C130" s="200"/>
      <c r="D130" s="200" t="s">
        <v>455</v>
      </c>
      <c r="E130" s="437" t="s">
        <v>655</v>
      </c>
      <c r="F130" s="200">
        <v>2</v>
      </c>
      <c r="G130" s="200">
        <v>1</v>
      </c>
      <c r="H130" s="201" t="s">
        <v>93</v>
      </c>
      <c r="I130" s="201" t="s">
        <v>174</v>
      </c>
      <c r="J130" s="201" t="s">
        <v>1477</v>
      </c>
      <c r="K130" s="201" t="s">
        <v>2393</v>
      </c>
      <c r="L130" s="201" t="s">
        <v>2394</v>
      </c>
      <c r="M130" s="233">
        <v>201</v>
      </c>
      <c r="N130" s="233">
        <v>74.540000000000006</v>
      </c>
      <c r="O130" s="438"/>
      <c r="P130" s="60"/>
      <c r="Q130" s="200" t="s">
        <v>2395</v>
      </c>
      <c r="R130" s="200"/>
      <c r="S130" s="303" t="s">
        <v>2396</v>
      </c>
      <c r="T130" s="200">
        <v>2</v>
      </c>
      <c r="U130" s="209" t="s">
        <v>1059</v>
      </c>
      <c r="V130" s="252">
        <v>960000000</v>
      </c>
      <c r="W130" s="252">
        <v>960000000</v>
      </c>
      <c r="X130" s="200"/>
      <c r="Y130" s="209"/>
      <c r="Z130" s="209"/>
      <c r="AA130" s="209"/>
      <c r="AB130" s="200">
        <v>1</v>
      </c>
      <c r="AC130" s="209" t="s">
        <v>1059</v>
      </c>
      <c r="AD130" s="209">
        <v>36000000</v>
      </c>
      <c r="AE130" s="209">
        <v>36000000</v>
      </c>
      <c r="AF130" s="209"/>
      <c r="AG130" s="440"/>
      <c r="AH130" s="255" t="s">
        <v>1479</v>
      </c>
    </row>
    <row r="131" spans="2:34" s="198" customFormat="1" ht="14.1" hidden="1" customHeight="1">
      <c r="B131" s="199">
        <v>122</v>
      </c>
      <c r="C131" s="200"/>
      <c r="D131" s="200" t="s">
        <v>456</v>
      </c>
      <c r="E131" s="437" t="s">
        <v>214</v>
      </c>
      <c r="F131" s="200">
        <v>1</v>
      </c>
      <c r="G131" s="200">
        <v>1</v>
      </c>
      <c r="H131" s="201" t="s">
        <v>2239</v>
      </c>
      <c r="I131" s="201" t="s">
        <v>2397</v>
      </c>
      <c r="J131" s="201" t="s">
        <v>2398</v>
      </c>
      <c r="K131" s="201" t="s">
        <v>2399</v>
      </c>
      <c r="L131" s="201" t="s">
        <v>2400</v>
      </c>
      <c r="M131" s="233">
        <v>2065.9</v>
      </c>
      <c r="N131" s="233">
        <v>49.92</v>
      </c>
      <c r="O131" s="438"/>
      <c r="P131" s="60"/>
      <c r="Q131" s="200" t="s">
        <v>2401</v>
      </c>
      <c r="R131" s="200"/>
      <c r="S131" s="439" t="s">
        <v>214</v>
      </c>
      <c r="T131" s="200">
        <v>1</v>
      </c>
      <c r="U131" s="209" t="s">
        <v>1059</v>
      </c>
      <c r="V131" s="252">
        <v>966000000</v>
      </c>
      <c r="W131" s="252">
        <v>966000000</v>
      </c>
      <c r="X131" s="200"/>
      <c r="Y131" s="209"/>
      <c r="Z131" s="209"/>
      <c r="AA131" s="209"/>
      <c r="AB131" s="200"/>
      <c r="AC131" s="209"/>
      <c r="AD131" s="209"/>
      <c r="AE131" s="209"/>
      <c r="AF131" s="209"/>
      <c r="AG131" s="440"/>
      <c r="AH131" s="255"/>
    </row>
    <row r="132" spans="2:34" s="198" customFormat="1" ht="14.1" hidden="1" customHeight="1">
      <c r="B132" s="199">
        <v>123</v>
      </c>
      <c r="C132" s="200"/>
      <c r="D132" s="200" t="s">
        <v>456</v>
      </c>
      <c r="E132" s="437" t="s">
        <v>214</v>
      </c>
      <c r="F132" s="200">
        <v>1</v>
      </c>
      <c r="G132" s="200">
        <v>2</v>
      </c>
      <c r="H132" s="201" t="s">
        <v>2239</v>
      </c>
      <c r="I132" s="201" t="s">
        <v>2397</v>
      </c>
      <c r="J132" s="201" t="s">
        <v>2398</v>
      </c>
      <c r="K132" s="201" t="s">
        <v>2402</v>
      </c>
      <c r="L132" s="201" t="s">
        <v>2400</v>
      </c>
      <c r="M132" s="233">
        <v>2065.9</v>
      </c>
      <c r="N132" s="233">
        <v>60.015000000000001</v>
      </c>
      <c r="O132" s="438"/>
      <c r="P132" s="60"/>
      <c r="Q132" s="200" t="s">
        <v>2403</v>
      </c>
      <c r="R132" s="200"/>
      <c r="S132" s="439" t="s">
        <v>214</v>
      </c>
      <c r="T132" s="200">
        <v>1</v>
      </c>
      <c r="U132" s="209" t="s">
        <v>1059</v>
      </c>
      <c r="V132" s="252">
        <v>966000000</v>
      </c>
      <c r="W132" s="252">
        <v>966000000</v>
      </c>
      <c r="X132" s="200"/>
      <c r="Y132" s="209"/>
      <c r="Z132" s="209"/>
      <c r="AA132" s="209"/>
      <c r="AB132" s="200"/>
      <c r="AC132" s="209"/>
      <c r="AD132" s="209"/>
      <c r="AE132" s="209"/>
      <c r="AF132" s="209"/>
      <c r="AG132" s="440"/>
      <c r="AH132" s="255"/>
    </row>
    <row r="133" spans="2:34" s="198" customFormat="1" ht="14.1" hidden="1" customHeight="1">
      <c r="B133" s="199">
        <v>124</v>
      </c>
      <c r="C133" s="200"/>
      <c r="D133" s="200" t="s">
        <v>456</v>
      </c>
      <c r="E133" s="437" t="s">
        <v>214</v>
      </c>
      <c r="F133" s="200">
        <v>1</v>
      </c>
      <c r="G133" s="200">
        <v>3</v>
      </c>
      <c r="H133" s="201" t="s">
        <v>2239</v>
      </c>
      <c r="I133" s="201" t="s">
        <v>2397</v>
      </c>
      <c r="J133" s="201" t="s">
        <v>2398</v>
      </c>
      <c r="K133" s="201" t="s">
        <v>2404</v>
      </c>
      <c r="L133" s="201" t="s">
        <v>2400</v>
      </c>
      <c r="M133" s="233">
        <v>2065.9</v>
      </c>
      <c r="N133" s="233">
        <v>49.86</v>
      </c>
      <c r="O133" s="438"/>
      <c r="P133" s="60"/>
      <c r="Q133" s="200" t="s">
        <v>2405</v>
      </c>
      <c r="R133" s="200"/>
      <c r="S133" s="439" t="s">
        <v>214</v>
      </c>
      <c r="T133" s="200">
        <v>1</v>
      </c>
      <c r="U133" s="209" t="s">
        <v>1059</v>
      </c>
      <c r="V133" s="252">
        <v>966000000</v>
      </c>
      <c r="W133" s="252">
        <v>966000000</v>
      </c>
      <c r="X133" s="200"/>
      <c r="Y133" s="209"/>
      <c r="Z133" s="209"/>
      <c r="AA133" s="209"/>
      <c r="AB133" s="200"/>
      <c r="AC133" s="209"/>
      <c r="AD133" s="209"/>
      <c r="AE133" s="209"/>
      <c r="AF133" s="209"/>
      <c r="AG133" s="440"/>
      <c r="AH133" s="255"/>
    </row>
    <row r="134" spans="2:34" s="198" customFormat="1" ht="14.1" hidden="1" customHeight="1">
      <c r="B134" s="199">
        <v>125</v>
      </c>
      <c r="C134" s="200"/>
      <c r="D134" s="200" t="s">
        <v>456</v>
      </c>
      <c r="E134" s="437" t="s">
        <v>214</v>
      </c>
      <c r="F134" s="200">
        <v>1</v>
      </c>
      <c r="G134" s="200">
        <v>4</v>
      </c>
      <c r="H134" s="201" t="s">
        <v>2239</v>
      </c>
      <c r="I134" s="201" t="s">
        <v>2397</v>
      </c>
      <c r="J134" s="201" t="s">
        <v>2398</v>
      </c>
      <c r="K134" s="201" t="s">
        <v>2406</v>
      </c>
      <c r="L134" s="201" t="s">
        <v>2400</v>
      </c>
      <c r="M134" s="233">
        <v>2065.9</v>
      </c>
      <c r="N134" s="233">
        <v>62.54</v>
      </c>
      <c r="O134" s="438"/>
      <c r="P134" s="60"/>
      <c r="Q134" s="200" t="s">
        <v>2407</v>
      </c>
      <c r="R134" s="200"/>
      <c r="S134" s="439" t="s">
        <v>214</v>
      </c>
      <c r="T134" s="200">
        <v>1</v>
      </c>
      <c r="U134" s="209" t="s">
        <v>1059</v>
      </c>
      <c r="V134" s="252">
        <v>966000000</v>
      </c>
      <c r="W134" s="252">
        <v>966000000</v>
      </c>
      <c r="X134" s="200"/>
      <c r="Y134" s="209"/>
      <c r="Z134" s="209"/>
      <c r="AA134" s="209"/>
      <c r="AB134" s="200"/>
      <c r="AC134" s="209"/>
      <c r="AD134" s="209"/>
      <c r="AE134" s="209"/>
      <c r="AF134" s="209"/>
      <c r="AG134" s="440"/>
      <c r="AH134" s="255"/>
    </row>
    <row r="135" spans="2:34" s="198" customFormat="1" ht="14.1" hidden="1" customHeight="1">
      <c r="B135" s="199">
        <v>126</v>
      </c>
      <c r="C135" s="200"/>
      <c r="D135" s="200" t="s">
        <v>456</v>
      </c>
      <c r="E135" s="437" t="s">
        <v>214</v>
      </c>
      <c r="F135" s="200">
        <v>1</v>
      </c>
      <c r="G135" s="200">
        <v>5</v>
      </c>
      <c r="H135" s="201" t="s">
        <v>2239</v>
      </c>
      <c r="I135" s="201" t="s">
        <v>2397</v>
      </c>
      <c r="J135" s="201" t="s">
        <v>2398</v>
      </c>
      <c r="K135" s="201" t="s">
        <v>2408</v>
      </c>
      <c r="L135" s="201" t="s">
        <v>2400</v>
      </c>
      <c r="M135" s="233">
        <v>2065.9</v>
      </c>
      <c r="N135" s="233">
        <v>56.3</v>
      </c>
      <c r="O135" s="438"/>
      <c r="P135" s="60"/>
      <c r="Q135" s="200" t="s">
        <v>2409</v>
      </c>
      <c r="R135" s="200"/>
      <c r="S135" s="439" t="s">
        <v>214</v>
      </c>
      <c r="T135" s="200">
        <v>1</v>
      </c>
      <c r="U135" s="209" t="s">
        <v>1059</v>
      </c>
      <c r="V135" s="252">
        <v>966000000</v>
      </c>
      <c r="W135" s="252">
        <v>966000000</v>
      </c>
      <c r="X135" s="200"/>
      <c r="Y135" s="209"/>
      <c r="Z135" s="209"/>
      <c r="AA135" s="209"/>
      <c r="AB135" s="200"/>
      <c r="AC135" s="209"/>
      <c r="AD135" s="209"/>
      <c r="AE135" s="209"/>
      <c r="AF135" s="209"/>
      <c r="AG135" s="440"/>
      <c r="AH135" s="255"/>
    </row>
    <row r="136" spans="2:34" s="198" customFormat="1" ht="14.1" hidden="1" customHeight="1">
      <c r="B136" s="199">
        <v>127</v>
      </c>
      <c r="C136" s="200"/>
      <c r="D136" s="200" t="s">
        <v>457</v>
      </c>
      <c r="E136" s="437" t="s">
        <v>656</v>
      </c>
      <c r="F136" s="200">
        <v>1</v>
      </c>
      <c r="G136" s="200">
        <v>1</v>
      </c>
      <c r="H136" s="201" t="s">
        <v>2138</v>
      </c>
      <c r="I136" s="201" t="s">
        <v>2410</v>
      </c>
      <c r="J136" s="201" t="s">
        <v>2411</v>
      </c>
      <c r="K136" s="201" t="s">
        <v>2412</v>
      </c>
      <c r="L136" s="201" t="s">
        <v>2413</v>
      </c>
      <c r="M136" s="233">
        <v>995</v>
      </c>
      <c r="N136" s="233">
        <v>258.29000000000002</v>
      </c>
      <c r="O136" s="438"/>
      <c r="P136" s="60"/>
      <c r="Q136" s="200" t="s">
        <v>2414</v>
      </c>
      <c r="R136" s="200"/>
      <c r="S136" s="439" t="s">
        <v>656</v>
      </c>
      <c r="T136" s="200">
        <v>1</v>
      </c>
      <c r="U136" s="209" t="s">
        <v>1059</v>
      </c>
      <c r="V136" s="252">
        <v>1181700000</v>
      </c>
      <c r="W136" s="252">
        <v>1181700000</v>
      </c>
      <c r="X136" s="200"/>
      <c r="Y136" s="209"/>
      <c r="Z136" s="209"/>
      <c r="AA136" s="209"/>
      <c r="AB136" s="200"/>
      <c r="AC136" s="209"/>
      <c r="AD136" s="209"/>
      <c r="AE136" s="209"/>
      <c r="AF136" s="209"/>
      <c r="AG136" s="440"/>
      <c r="AH136" s="255"/>
    </row>
    <row r="137" spans="2:34" s="198" customFormat="1" ht="14.1" hidden="1" customHeight="1">
      <c r="B137" s="199">
        <v>128</v>
      </c>
      <c r="C137" s="200"/>
      <c r="D137" s="200" t="s">
        <v>457</v>
      </c>
      <c r="E137" s="437" t="s">
        <v>656</v>
      </c>
      <c r="F137" s="200">
        <v>1</v>
      </c>
      <c r="G137" s="200">
        <v>2</v>
      </c>
      <c r="H137" s="201" t="s">
        <v>2138</v>
      </c>
      <c r="I137" s="201" t="s">
        <v>2410</v>
      </c>
      <c r="J137" s="201" t="s">
        <v>2411</v>
      </c>
      <c r="K137" s="201" t="s">
        <v>2415</v>
      </c>
      <c r="L137" s="201" t="s">
        <v>2413</v>
      </c>
      <c r="M137" s="233">
        <v>995</v>
      </c>
      <c r="N137" s="233">
        <v>42.18</v>
      </c>
      <c r="O137" s="438"/>
      <c r="P137" s="60"/>
      <c r="Q137" s="200" t="s">
        <v>2416</v>
      </c>
      <c r="R137" s="200"/>
      <c r="S137" s="439" t="s">
        <v>656</v>
      </c>
      <c r="T137" s="200">
        <v>1</v>
      </c>
      <c r="U137" s="209" t="s">
        <v>1059</v>
      </c>
      <c r="V137" s="252">
        <v>1181700000</v>
      </c>
      <c r="W137" s="252">
        <v>1181700000</v>
      </c>
      <c r="X137" s="200"/>
      <c r="Y137" s="209"/>
      <c r="Z137" s="209"/>
      <c r="AA137" s="209"/>
      <c r="AB137" s="200"/>
      <c r="AC137" s="209"/>
      <c r="AD137" s="209"/>
      <c r="AE137" s="209"/>
      <c r="AF137" s="209"/>
      <c r="AG137" s="440"/>
      <c r="AH137" s="255"/>
    </row>
    <row r="138" spans="2:34" s="198" customFormat="1" ht="14.1" hidden="1" customHeight="1">
      <c r="B138" s="199">
        <v>129</v>
      </c>
      <c r="C138" s="200"/>
      <c r="D138" s="200" t="s">
        <v>458</v>
      </c>
      <c r="E138" s="437" t="s">
        <v>657</v>
      </c>
      <c r="F138" s="200">
        <v>1</v>
      </c>
      <c r="G138" s="200">
        <v>1</v>
      </c>
      <c r="H138" s="201" t="s">
        <v>2107</v>
      </c>
      <c r="I138" s="201" t="s">
        <v>2417</v>
      </c>
      <c r="J138" s="201" t="s">
        <v>2418</v>
      </c>
      <c r="K138" s="201" t="s">
        <v>2419</v>
      </c>
      <c r="L138" s="201" t="s">
        <v>2420</v>
      </c>
      <c r="M138" s="233">
        <v>32703.200000000001</v>
      </c>
      <c r="N138" s="233">
        <v>134.87</v>
      </c>
      <c r="O138" s="438"/>
      <c r="P138" s="60"/>
      <c r="Q138" s="200" t="s">
        <v>2421</v>
      </c>
      <c r="R138" s="200"/>
      <c r="S138" s="439" t="s">
        <v>657</v>
      </c>
      <c r="T138" s="200" t="s">
        <v>2111</v>
      </c>
      <c r="U138" s="209" t="s">
        <v>1059</v>
      </c>
      <c r="V138" s="252">
        <v>777600000</v>
      </c>
      <c r="W138" s="252">
        <v>777600000</v>
      </c>
      <c r="X138" s="200"/>
      <c r="Y138" s="209"/>
      <c r="Z138" s="209"/>
      <c r="AA138" s="209"/>
      <c r="AB138" s="200"/>
      <c r="AC138" s="209"/>
      <c r="AD138" s="209"/>
      <c r="AE138" s="209"/>
      <c r="AF138" s="209"/>
      <c r="AG138" s="440"/>
      <c r="AH138" s="255"/>
    </row>
    <row r="139" spans="2:34" s="198" customFormat="1" ht="14.1" hidden="1" customHeight="1">
      <c r="B139" s="199">
        <v>130</v>
      </c>
      <c r="C139" s="200"/>
      <c r="D139" s="200" t="s">
        <v>459</v>
      </c>
      <c r="E139" s="437" t="s">
        <v>239</v>
      </c>
      <c r="F139" s="200">
        <v>1</v>
      </c>
      <c r="G139" s="200">
        <v>1</v>
      </c>
      <c r="H139" s="201" t="s">
        <v>2107</v>
      </c>
      <c r="I139" s="201" t="s">
        <v>2422</v>
      </c>
      <c r="J139" s="201" t="s">
        <v>2423</v>
      </c>
      <c r="K139" s="201" t="s">
        <v>2424</v>
      </c>
      <c r="L139" s="201" t="s">
        <v>2425</v>
      </c>
      <c r="M139" s="233">
        <v>42227.5</v>
      </c>
      <c r="N139" s="233">
        <v>130.761</v>
      </c>
      <c r="O139" s="438"/>
      <c r="P139" s="60"/>
      <c r="Q139" s="200" t="s">
        <v>2426</v>
      </c>
      <c r="R139" s="200"/>
      <c r="S139" s="439" t="s">
        <v>239</v>
      </c>
      <c r="T139" s="200" t="s">
        <v>2118</v>
      </c>
      <c r="U139" s="209" t="s">
        <v>1059</v>
      </c>
      <c r="V139" s="252">
        <v>792000000</v>
      </c>
      <c r="W139" s="252">
        <v>792000000</v>
      </c>
      <c r="X139" s="200">
        <v>3</v>
      </c>
      <c r="Y139" s="209" t="s">
        <v>1059</v>
      </c>
      <c r="Z139" s="209">
        <v>55000000</v>
      </c>
      <c r="AA139" s="209">
        <v>55000000</v>
      </c>
      <c r="AB139" s="200"/>
      <c r="AC139" s="209"/>
      <c r="AD139" s="209"/>
      <c r="AE139" s="209"/>
      <c r="AF139" s="209"/>
      <c r="AG139" s="440"/>
      <c r="AH139" s="255"/>
    </row>
    <row r="140" spans="2:34" s="198" customFormat="1" ht="14.1" hidden="1" customHeight="1">
      <c r="B140" s="199">
        <v>131</v>
      </c>
      <c r="C140" s="200"/>
      <c r="D140" s="200" t="s">
        <v>460</v>
      </c>
      <c r="E140" s="437" t="s">
        <v>92</v>
      </c>
      <c r="F140" s="200">
        <v>1</v>
      </c>
      <c r="G140" s="200">
        <v>1</v>
      </c>
      <c r="H140" s="201" t="s">
        <v>2107</v>
      </c>
      <c r="I140" s="201" t="s">
        <v>2124</v>
      </c>
      <c r="J140" s="201" t="s">
        <v>2427</v>
      </c>
      <c r="K140" s="201" t="s">
        <v>2428</v>
      </c>
      <c r="L140" s="201" t="s">
        <v>2122</v>
      </c>
      <c r="M140" s="233">
        <v>893</v>
      </c>
      <c r="N140" s="233"/>
      <c r="O140" s="438"/>
      <c r="P140" s="60"/>
      <c r="Q140" s="200"/>
      <c r="R140" s="200"/>
      <c r="S140" s="439" t="s">
        <v>92</v>
      </c>
      <c r="T140" s="200" t="s">
        <v>2429</v>
      </c>
      <c r="U140" s="209" t="s">
        <v>1059</v>
      </c>
      <c r="V140" s="252">
        <v>585000000</v>
      </c>
      <c r="W140" s="252">
        <v>585000000</v>
      </c>
      <c r="X140" s="200"/>
      <c r="Y140" s="209"/>
      <c r="Z140" s="209"/>
      <c r="AA140" s="209"/>
      <c r="AB140" s="200">
        <v>3</v>
      </c>
      <c r="AC140" s="209" t="s">
        <v>1059</v>
      </c>
      <c r="AD140" s="209">
        <v>90000000</v>
      </c>
      <c r="AE140" s="209">
        <v>90000000</v>
      </c>
      <c r="AF140" s="209"/>
      <c r="AG140" s="440"/>
      <c r="AH140" s="255"/>
    </row>
    <row r="141" spans="2:34" s="198" customFormat="1" ht="14.1" hidden="1" customHeight="1">
      <c r="B141" s="199">
        <v>132</v>
      </c>
      <c r="C141" s="200"/>
      <c r="D141" s="200" t="s">
        <v>460</v>
      </c>
      <c r="E141" s="437" t="s">
        <v>92</v>
      </c>
      <c r="F141" s="200">
        <v>1</v>
      </c>
      <c r="G141" s="200">
        <v>2</v>
      </c>
      <c r="H141" s="201" t="s">
        <v>2107</v>
      </c>
      <c r="I141" s="201" t="s">
        <v>2124</v>
      </c>
      <c r="J141" s="201" t="s">
        <v>2427</v>
      </c>
      <c r="K141" s="201" t="s">
        <v>2430</v>
      </c>
      <c r="L141" s="201" t="s">
        <v>2431</v>
      </c>
      <c r="M141" s="233"/>
      <c r="N141" s="233">
        <v>554.65</v>
      </c>
      <c r="O141" s="438"/>
      <c r="P141" s="60"/>
      <c r="Q141" s="200"/>
      <c r="R141" s="200"/>
      <c r="S141" s="439" t="s">
        <v>92</v>
      </c>
      <c r="T141" s="200" t="s">
        <v>2429</v>
      </c>
      <c r="U141" s="209" t="s">
        <v>1059</v>
      </c>
      <c r="V141" s="252">
        <v>585000000</v>
      </c>
      <c r="W141" s="252">
        <v>585000000</v>
      </c>
      <c r="X141" s="200"/>
      <c r="Y141" s="209"/>
      <c r="Z141" s="209"/>
      <c r="AA141" s="209"/>
      <c r="AB141" s="200">
        <v>3</v>
      </c>
      <c r="AC141" s="209" t="s">
        <v>1059</v>
      </c>
      <c r="AD141" s="209">
        <v>90000000</v>
      </c>
      <c r="AE141" s="209">
        <v>90000000</v>
      </c>
      <c r="AF141" s="209"/>
      <c r="AG141" s="440"/>
      <c r="AH141" s="255"/>
    </row>
    <row r="142" spans="2:34" s="198" customFormat="1" ht="14.1" hidden="1" customHeight="1">
      <c r="B142" s="199">
        <v>133</v>
      </c>
      <c r="C142" s="200"/>
      <c r="D142" s="200" t="s">
        <v>460</v>
      </c>
      <c r="E142" s="437" t="s">
        <v>92</v>
      </c>
      <c r="F142" s="200">
        <v>1</v>
      </c>
      <c r="G142" s="200">
        <v>3</v>
      </c>
      <c r="H142" s="201" t="s">
        <v>2107</v>
      </c>
      <c r="I142" s="201" t="s">
        <v>2124</v>
      </c>
      <c r="J142" s="201" t="s">
        <v>2427</v>
      </c>
      <c r="K142" s="201" t="s">
        <v>2432</v>
      </c>
      <c r="L142" s="201" t="s">
        <v>2109</v>
      </c>
      <c r="M142" s="233">
        <v>98</v>
      </c>
      <c r="N142" s="233"/>
      <c r="O142" s="438"/>
      <c r="P142" s="60"/>
      <c r="Q142" s="200"/>
      <c r="R142" s="200"/>
      <c r="S142" s="439" t="s">
        <v>92</v>
      </c>
      <c r="T142" s="200" t="s">
        <v>2429</v>
      </c>
      <c r="U142" s="209" t="s">
        <v>1059</v>
      </c>
      <c r="V142" s="252">
        <v>585000000</v>
      </c>
      <c r="W142" s="252">
        <v>585000000</v>
      </c>
      <c r="X142" s="200"/>
      <c r="Y142" s="209"/>
      <c r="Z142" s="209"/>
      <c r="AA142" s="209"/>
      <c r="AB142" s="200">
        <v>3</v>
      </c>
      <c r="AC142" s="209" t="s">
        <v>1059</v>
      </c>
      <c r="AD142" s="209">
        <v>90000000</v>
      </c>
      <c r="AE142" s="209">
        <v>90000000</v>
      </c>
      <c r="AF142" s="209"/>
      <c r="AG142" s="440"/>
      <c r="AH142" s="255"/>
    </row>
    <row r="143" spans="2:34" s="198" customFormat="1" ht="14.1" hidden="1" customHeight="1">
      <c r="B143" s="199">
        <v>134</v>
      </c>
      <c r="C143" s="200"/>
      <c r="D143" s="200" t="s">
        <v>461</v>
      </c>
      <c r="E143" s="437" t="s">
        <v>658</v>
      </c>
      <c r="F143" s="200">
        <v>1</v>
      </c>
      <c r="G143" s="200">
        <v>1</v>
      </c>
      <c r="H143" s="201" t="s">
        <v>2279</v>
      </c>
      <c r="I143" s="201" t="s">
        <v>2433</v>
      </c>
      <c r="J143" s="201" t="s">
        <v>2434</v>
      </c>
      <c r="K143" s="201" t="s">
        <v>2435</v>
      </c>
      <c r="L143" s="201" t="s">
        <v>2106</v>
      </c>
      <c r="M143" s="233">
        <v>5746</v>
      </c>
      <c r="N143" s="233"/>
      <c r="O143" s="438"/>
      <c r="P143" s="60"/>
      <c r="Q143" s="200"/>
      <c r="R143" s="200"/>
      <c r="S143" s="439" t="s">
        <v>658</v>
      </c>
      <c r="T143" s="200" t="s">
        <v>2123</v>
      </c>
      <c r="U143" s="209" t="s">
        <v>1059</v>
      </c>
      <c r="V143" s="252">
        <v>870000000</v>
      </c>
      <c r="W143" s="252">
        <v>870000000</v>
      </c>
      <c r="X143" s="200"/>
      <c r="Y143" s="209"/>
      <c r="Z143" s="209"/>
      <c r="AA143" s="209"/>
      <c r="AB143" s="200"/>
      <c r="AC143" s="209"/>
      <c r="AD143" s="209"/>
      <c r="AE143" s="209"/>
      <c r="AF143" s="209"/>
      <c r="AG143" s="440"/>
      <c r="AH143" s="255"/>
    </row>
    <row r="144" spans="2:34" s="198" customFormat="1" ht="14.1" hidden="1" customHeight="1">
      <c r="B144" s="199">
        <v>135</v>
      </c>
      <c r="C144" s="200"/>
      <c r="D144" s="200" t="s">
        <v>461</v>
      </c>
      <c r="E144" s="437" t="s">
        <v>658</v>
      </c>
      <c r="F144" s="200">
        <v>1</v>
      </c>
      <c r="G144" s="200">
        <v>2</v>
      </c>
      <c r="H144" s="201" t="s">
        <v>2279</v>
      </c>
      <c r="I144" s="201" t="s">
        <v>2433</v>
      </c>
      <c r="J144" s="201" t="s">
        <v>2434</v>
      </c>
      <c r="K144" s="201" t="s">
        <v>2436</v>
      </c>
      <c r="L144" s="201" t="s">
        <v>2106</v>
      </c>
      <c r="M144" s="233">
        <v>172</v>
      </c>
      <c r="N144" s="233"/>
      <c r="O144" s="438"/>
      <c r="P144" s="60"/>
      <c r="Q144" s="200"/>
      <c r="R144" s="200"/>
      <c r="S144" s="439" t="s">
        <v>658</v>
      </c>
      <c r="T144" s="200" t="s">
        <v>2123</v>
      </c>
      <c r="U144" s="209" t="s">
        <v>1059</v>
      </c>
      <c r="V144" s="252">
        <v>870000000</v>
      </c>
      <c r="W144" s="252">
        <v>870000000</v>
      </c>
      <c r="X144" s="200"/>
      <c r="Y144" s="209"/>
      <c r="Z144" s="209"/>
      <c r="AA144" s="209"/>
      <c r="AB144" s="200"/>
      <c r="AC144" s="209"/>
      <c r="AD144" s="209"/>
      <c r="AE144" s="209"/>
      <c r="AF144" s="209"/>
      <c r="AG144" s="440"/>
      <c r="AH144" s="255"/>
    </row>
    <row r="145" spans="2:34" s="198" customFormat="1" ht="14.1" hidden="1" customHeight="1">
      <c r="B145" s="199">
        <v>136</v>
      </c>
      <c r="C145" s="200"/>
      <c r="D145" s="200" t="s">
        <v>461</v>
      </c>
      <c r="E145" s="437" t="s">
        <v>658</v>
      </c>
      <c r="F145" s="200">
        <v>1</v>
      </c>
      <c r="G145" s="200">
        <v>3</v>
      </c>
      <c r="H145" s="201" t="s">
        <v>2279</v>
      </c>
      <c r="I145" s="201" t="s">
        <v>2433</v>
      </c>
      <c r="J145" s="201" t="s">
        <v>2434</v>
      </c>
      <c r="K145" s="201" t="s">
        <v>2437</v>
      </c>
      <c r="L145" s="201" t="s">
        <v>2438</v>
      </c>
      <c r="M145" s="233"/>
      <c r="N145" s="233">
        <v>389.01</v>
      </c>
      <c r="O145" s="438"/>
      <c r="P145" s="60"/>
      <c r="Q145" s="200"/>
      <c r="R145" s="200"/>
      <c r="S145" s="439" t="s">
        <v>658</v>
      </c>
      <c r="T145" s="200" t="s">
        <v>2123</v>
      </c>
      <c r="U145" s="209" t="s">
        <v>1059</v>
      </c>
      <c r="V145" s="252">
        <v>870000000</v>
      </c>
      <c r="W145" s="252">
        <v>870000000</v>
      </c>
      <c r="X145" s="200"/>
      <c r="Y145" s="209"/>
      <c r="Z145" s="209"/>
      <c r="AA145" s="209"/>
      <c r="AB145" s="200"/>
      <c r="AC145" s="209"/>
      <c r="AD145" s="209"/>
      <c r="AE145" s="209"/>
      <c r="AF145" s="209"/>
      <c r="AG145" s="440"/>
      <c r="AH145" s="255"/>
    </row>
    <row r="146" spans="2:34" s="198" customFormat="1" ht="14.1" hidden="1" customHeight="1">
      <c r="B146" s="199">
        <v>137</v>
      </c>
      <c r="C146" s="200"/>
      <c r="D146" s="200" t="s">
        <v>461</v>
      </c>
      <c r="E146" s="437" t="s">
        <v>658</v>
      </c>
      <c r="F146" s="200">
        <v>1</v>
      </c>
      <c r="G146" s="200">
        <v>4</v>
      </c>
      <c r="H146" s="201" t="s">
        <v>2279</v>
      </c>
      <c r="I146" s="201" t="s">
        <v>2433</v>
      </c>
      <c r="J146" s="201" t="s">
        <v>2434</v>
      </c>
      <c r="K146" s="201" t="s">
        <v>2439</v>
      </c>
      <c r="L146" s="201" t="s">
        <v>2440</v>
      </c>
      <c r="M146" s="233"/>
      <c r="N146" s="233">
        <v>840.28</v>
      </c>
      <c r="O146" s="438"/>
      <c r="P146" s="60"/>
      <c r="Q146" s="200"/>
      <c r="R146" s="200"/>
      <c r="S146" s="439" t="s">
        <v>658</v>
      </c>
      <c r="T146" s="200" t="s">
        <v>2123</v>
      </c>
      <c r="U146" s="209" t="s">
        <v>1059</v>
      </c>
      <c r="V146" s="252">
        <v>870000000</v>
      </c>
      <c r="W146" s="252">
        <v>870000000</v>
      </c>
      <c r="X146" s="200"/>
      <c r="Y146" s="209"/>
      <c r="Z146" s="209"/>
      <c r="AA146" s="209"/>
      <c r="AB146" s="200"/>
      <c r="AC146" s="209"/>
      <c r="AD146" s="209"/>
      <c r="AE146" s="209"/>
      <c r="AF146" s="209"/>
      <c r="AG146" s="440"/>
      <c r="AH146" s="255"/>
    </row>
    <row r="147" spans="2:34" s="198" customFormat="1" ht="14.1" hidden="1" customHeight="1">
      <c r="B147" s="199">
        <v>138</v>
      </c>
      <c r="C147" s="200"/>
      <c r="D147" s="200" t="s">
        <v>461</v>
      </c>
      <c r="E147" s="437" t="s">
        <v>658</v>
      </c>
      <c r="F147" s="200">
        <v>1</v>
      </c>
      <c r="G147" s="200">
        <v>5</v>
      </c>
      <c r="H147" s="201" t="s">
        <v>2279</v>
      </c>
      <c r="I147" s="201" t="s">
        <v>2433</v>
      </c>
      <c r="J147" s="201" t="s">
        <v>2434</v>
      </c>
      <c r="K147" s="201" t="s">
        <v>2441</v>
      </c>
      <c r="L147" s="201" t="s">
        <v>2442</v>
      </c>
      <c r="M147" s="233"/>
      <c r="N147" s="233">
        <v>1358.09</v>
      </c>
      <c r="O147" s="438">
        <v>19</v>
      </c>
      <c r="P147" s="60"/>
      <c r="Q147" s="200"/>
      <c r="R147" s="200"/>
      <c r="S147" s="439" t="s">
        <v>658</v>
      </c>
      <c r="T147" s="200" t="s">
        <v>2123</v>
      </c>
      <c r="U147" s="209" t="s">
        <v>1059</v>
      </c>
      <c r="V147" s="252">
        <v>870000000</v>
      </c>
      <c r="W147" s="252">
        <v>870000000</v>
      </c>
      <c r="X147" s="200"/>
      <c r="Y147" s="209"/>
      <c r="Z147" s="209"/>
      <c r="AA147" s="209"/>
      <c r="AB147" s="200"/>
      <c r="AC147" s="209"/>
      <c r="AD147" s="209"/>
      <c r="AE147" s="209"/>
      <c r="AF147" s="209"/>
      <c r="AG147" s="440"/>
      <c r="AH147" s="255"/>
    </row>
    <row r="148" spans="2:34" s="198" customFormat="1" ht="14.1" hidden="1" customHeight="1">
      <c r="B148" s="199">
        <v>139</v>
      </c>
      <c r="C148" s="200"/>
      <c r="D148" s="200" t="s">
        <v>461</v>
      </c>
      <c r="E148" s="437" t="s">
        <v>658</v>
      </c>
      <c r="F148" s="200">
        <v>1</v>
      </c>
      <c r="G148" s="200">
        <v>6</v>
      </c>
      <c r="H148" s="201" t="s">
        <v>2279</v>
      </c>
      <c r="I148" s="201" t="s">
        <v>2433</v>
      </c>
      <c r="J148" s="201" t="s">
        <v>2434</v>
      </c>
      <c r="K148" s="201" t="s">
        <v>2443</v>
      </c>
      <c r="L148" s="201" t="s">
        <v>2444</v>
      </c>
      <c r="M148" s="233"/>
      <c r="N148" s="233">
        <v>209.09</v>
      </c>
      <c r="O148" s="438"/>
      <c r="P148" s="60"/>
      <c r="Q148" s="200"/>
      <c r="R148" s="200"/>
      <c r="S148" s="439" t="s">
        <v>658</v>
      </c>
      <c r="T148" s="200" t="s">
        <v>2123</v>
      </c>
      <c r="U148" s="209" t="s">
        <v>1059</v>
      </c>
      <c r="V148" s="252">
        <v>870000000</v>
      </c>
      <c r="W148" s="252">
        <v>870000000</v>
      </c>
      <c r="X148" s="200"/>
      <c r="Y148" s="209"/>
      <c r="Z148" s="209"/>
      <c r="AA148" s="209"/>
      <c r="AB148" s="200"/>
      <c r="AC148" s="209"/>
      <c r="AD148" s="209"/>
      <c r="AE148" s="209"/>
      <c r="AF148" s="209"/>
      <c r="AG148" s="440"/>
      <c r="AH148" s="255"/>
    </row>
    <row r="149" spans="2:34" s="198" customFormat="1" ht="14.1" hidden="1" customHeight="1">
      <c r="B149" s="199">
        <v>140</v>
      </c>
      <c r="C149" s="200"/>
      <c r="D149" s="200" t="s">
        <v>461</v>
      </c>
      <c r="E149" s="437" t="s">
        <v>658</v>
      </c>
      <c r="F149" s="200">
        <v>2</v>
      </c>
      <c r="G149" s="200">
        <v>1</v>
      </c>
      <c r="H149" s="201" t="s">
        <v>2279</v>
      </c>
      <c r="I149" s="201" t="s">
        <v>2445</v>
      </c>
      <c r="J149" s="201" t="s">
        <v>2446</v>
      </c>
      <c r="K149" s="201" t="s">
        <v>2447</v>
      </c>
      <c r="L149" s="201" t="s">
        <v>2448</v>
      </c>
      <c r="M149" s="233">
        <v>1652</v>
      </c>
      <c r="N149" s="233"/>
      <c r="O149" s="438"/>
      <c r="P149" s="60"/>
      <c r="Q149" s="200"/>
      <c r="R149" s="200"/>
      <c r="S149" s="303" t="s">
        <v>2449</v>
      </c>
      <c r="T149" s="200">
        <v>2</v>
      </c>
      <c r="U149" s="209" t="s">
        <v>1059</v>
      </c>
      <c r="V149" s="252">
        <v>120000000</v>
      </c>
      <c r="W149" s="252">
        <v>120000000</v>
      </c>
      <c r="X149" s="200"/>
      <c r="Y149" s="209"/>
      <c r="Z149" s="209"/>
      <c r="AA149" s="209"/>
      <c r="AB149" s="200">
        <v>1</v>
      </c>
      <c r="AC149" s="209" t="s">
        <v>1059</v>
      </c>
      <c r="AD149" s="209">
        <v>130000000</v>
      </c>
      <c r="AE149" s="209">
        <v>130000000</v>
      </c>
      <c r="AF149" s="209"/>
      <c r="AG149" s="440"/>
      <c r="AH149" s="255"/>
    </row>
    <row r="150" spans="2:34" s="198" customFormat="1" ht="14.1" hidden="1" customHeight="1">
      <c r="B150" s="199">
        <v>141</v>
      </c>
      <c r="C150" s="200"/>
      <c r="D150" s="200" t="s">
        <v>462</v>
      </c>
      <c r="E150" s="437" t="s">
        <v>659</v>
      </c>
      <c r="F150" s="200">
        <v>1</v>
      </c>
      <c r="G150" s="200">
        <v>1</v>
      </c>
      <c r="H150" s="201" t="s">
        <v>2239</v>
      </c>
      <c r="I150" s="201" t="s">
        <v>2397</v>
      </c>
      <c r="J150" s="201" t="s">
        <v>2398</v>
      </c>
      <c r="K150" s="201" t="s">
        <v>2450</v>
      </c>
      <c r="L150" s="201" t="s">
        <v>2451</v>
      </c>
      <c r="M150" s="233">
        <v>1538.3</v>
      </c>
      <c r="N150" s="233">
        <v>444.23</v>
      </c>
      <c r="O150" s="438"/>
      <c r="P150" s="60"/>
      <c r="Q150" s="200" t="s">
        <v>2452</v>
      </c>
      <c r="R150" s="200"/>
      <c r="S150" s="439" t="s">
        <v>659</v>
      </c>
      <c r="T150" s="200" t="s">
        <v>2123</v>
      </c>
      <c r="U150" s="209" t="s">
        <v>1059</v>
      </c>
      <c r="V150" s="252">
        <v>490800000</v>
      </c>
      <c r="W150" s="252">
        <v>490800000</v>
      </c>
      <c r="X150" s="200"/>
      <c r="Y150" s="209"/>
      <c r="Z150" s="209"/>
      <c r="AA150" s="209"/>
      <c r="AB150" s="200"/>
      <c r="AC150" s="209"/>
      <c r="AD150" s="209"/>
      <c r="AE150" s="209"/>
      <c r="AF150" s="209"/>
      <c r="AG150" s="440"/>
      <c r="AH150" s="255"/>
    </row>
    <row r="151" spans="2:34" s="198" customFormat="1" ht="14.1" hidden="1" customHeight="1">
      <c r="B151" s="199">
        <v>142</v>
      </c>
      <c r="C151" s="200"/>
      <c r="D151" s="200" t="s">
        <v>462</v>
      </c>
      <c r="E151" s="437" t="s">
        <v>659</v>
      </c>
      <c r="F151" s="200">
        <v>2</v>
      </c>
      <c r="G151" s="200">
        <v>1</v>
      </c>
      <c r="H151" s="201" t="s">
        <v>2239</v>
      </c>
      <c r="I151" s="201" t="s">
        <v>2397</v>
      </c>
      <c r="J151" s="201" t="s">
        <v>2398</v>
      </c>
      <c r="K151" s="201" t="s">
        <v>2453</v>
      </c>
      <c r="L151" s="201" t="s">
        <v>2451</v>
      </c>
      <c r="M151" s="233">
        <v>1538.3</v>
      </c>
      <c r="N151" s="233">
        <v>529.4</v>
      </c>
      <c r="O151" s="438"/>
      <c r="P151" s="60"/>
      <c r="Q151" s="200" t="s">
        <v>2454</v>
      </c>
      <c r="R151" s="200"/>
      <c r="S151" s="439" t="s">
        <v>659</v>
      </c>
      <c r="T151" s="200">
        <v>1</v>
      </c>
      <c r="U151" s="209" t="s">
        <v>1059</v>
      </c>
      <c r="V151" s="252">
        <v>120000000</v>
      </c>
      <c r="W151" s="252">
        <v>120000000</v>
      </c>
      <c r="X151" s="200"/>
      <c r="Y151" s="209"/>
      <c r="Z151" s="209"/>
      <c r="AA151" s="209"/>
      <c r="AB151" s="200"/>
      <c r="AC151" s="209"/>
      <c r="AD151" s="209"/>
      <c r="AE151" s="209"/>
      <c r="AF151" s="209"/>
      <c r="AG151" s="440"/>
      <c r="AH151" s="255"/>
    </row>
    <row r="152" spans="2:34" s="198" customFormat="1" ht="14.1" hidden="1" customHeight="1">
      <c r="B152" s="199">
        <v>143</v>
      </c>
      <c r="C152" s="200"/>
      <c r="D152" s="200" t="s">
        <v>463</v>
      </c>
      <c r="E152" s="437" t="s">
        <v>152</v>
      </c>
      <c r="F152" s="200">
        <v>1</v>
      </c>
      <c r="G152" s="200">
        <v>1</v>
      </c>
      <c r="H152" s="201" t="s">
        <v>2138</v>
      </c>
      <c r="I152" s="201" t="s">
        <v>2139</v>
      </c>
      <c r="J152" s="201" t="s">
        <v>2140</v>
      </c>
      <c r="K152" s="201" t="s">
        <v>2455</v>
      </c>
      <c r="L152" s="201" t="s">
        <v>2456</v>
      </c>
      <c r="M152" s="233">
        <v>15367.6</v>
      </c>
      <c r="N152" s="233">
        <v>84.98</v>
      </c>
      <c r="O152" s="438"/>
      <c r="P152" s="60"/>
      <c r="Q152" s="200" t="s">
        <v>2457</v>
      </c>
      <c r="R152" s="200"/>
      <c r="S152" s="439" t="s">
        <v>152</v>
      </c>
      <c r="T152" s="200" t="s">
        <v>2123</v>
      </c>
      <c r="U152" s="209" t="s">
        <v>1059</v>
      </c>
      <c r="V152" s="252">
        <v>399000000</v>
      </c>
      <c r="W152" s="252">
        <v>399000000</v>
      </c>
      <c r="X152" s="200"/>
      <c r="Y152" s="209"/>
      <c r="Z152" s="209"/>
      <c r="AA152" s="209"/>
      <c r="AB152" s="200"/>
      <c r="AC152" s="209"/>
      <c r="AD152" s="209"/>
      <c r="AE152" s="209"/>
      <c r="AF152" s="209"/>
      <c r="AG152" s="440"/>
      <c r="AH152" s="255"/>
    </row>
    <row r="153" spans="2:34" s="198" customFormat="1" ht="14.1" hidden="1" customHeight="1">
      <c r="B153" s="199">
        <v>144</v>
      </c>
      <c r="C153" s="200"/>
      <c r="D153" s="200" t="s">
        <v>464</v>
      </c>
      <c r="E153" s="437" t="s">
        <v>130</v>
      </c>
      <c r="F153" s="200">
        <v>1</v>
      </c>
      <c r="G153" s="200">
        <v>1</v>
      </c>
      <c r="H153" s="201" t="s">
        <v>2138</v>
      </c>
      <c r="I153" s="201" t="s">
        <v>2410</v>
      </c>
      <c r="J153" s="201" t="s">
        <v>2458</v>
      </c>
      <c r="K153" s="201" t="s">
        <v>2459</v>
      </c>
      <c r="L153" s="201" t="s">
        <v>2460</v>
      </c>
      <c r="M153" s="233">
        <v>66508.5</v>
      </c>
      <c r="N153" s="233">
        <v>177.86</v>
      </c>
      <c r="O153" s="438"/>
      <c r="P153" s="60"/>
      <c r="Q153" s="200" t="s">
        <v>2461</v>
      </c>
      <c r="R153" s="200"/>
      <c r="S153" s="439" t="s">
        <v>130</v>
      </c>
      <c r="T153" s="200" t="s">
        <v>2118</v>
      </c>
      <c r="U153" s="209" t="s">
        <v>1059</v>
      </c>
      <c r="V153" s="252">
        <v>823200000</v>
      </c>
      <c r="W153" s="252">
        <v>823200000</v>
      </c>
      <c r="X153" s="200"/>
      <c r="Y153" s="209"/>
      <c r="Z153" s="209"/>
      <c r="AA153" s="209"/>
      <c r="AB153" s="200"/>
      <c r="AC153" s="209"/>
      <c r="AD153" s="209"/>
      <c r="AE153" s="209"/>
      <c r="AF153" s="209"/>
      <c r="AG153" s="440"/>
      <c r="AH153" s="255"/>
    </row>
    <row r="154" spans="2:34" s="198" customFormat="1" ht="14.1" hidden="1" customHeight="1">
      <c r="B154" s="199">
        <v>145</v>
      </c>
      <c r="C154" s="200"/>
      <c r="D154" s="200" t="s">
        <v>465</v>
      </c>
      <c r="E154" s="437" t="s">
        <v>175</v>
      </c>
      <c r="F154" s="200">
        <v>1</v>
      </c>
      <c r="G154" s="200">
        <v>1</v>
      </c>
      <c r="H154" s="201" t="s">
        <v>2138</v>
      </c>
      <c r="I154" s="201" t="s">
        <v>2462</v>
      </c>
      <c r="J154" s="201" t="s">
        <v>2463</v>
      </c>
      <c r="K154" s="201" t="s">
        <v>2464</v>
      </c>
      <c r="L154" s="201" t="s">
        <v>2465</v>
      </c>
      <c r="M154" s="233">
        <v>8783</v>
      </c>
      <c r="N154" s="233">
        <v>199.46</v>
      </c>
      <c r="O154" s="438"/>
      <c r="P154" s="60"/>
      <c r="Q154" s="200" t="s">
        <v>2466</v>
      </c>
      <c r="R154" s="200"/>
      <c r="S154" s="439" t="s">
        <v>175</v>
      </c>
      <c r="T154" s="200">
        <v>1</v>
      </c>
      <c r="U154" s="209" t="s">
        <v>1059</v>
      </c>
      <c r="V154" s="252">
        <v>624000000</v>
      </c>
      <c r="W154" s="252">
        <v>624000000</v>
      </c>
      <c r="X154" s="200"/>
      <c r="Y154" s="209"/>
      <c r="Z154" s="209"/>
      <c r="AA154" s="209"/>
      <c r="AB154" s="200"/>
      <c r="AC154" s="209"/>
      <c r="AD154" s="209"/>
      <c r="AE154" s="209"/>
      <c r="AF154" s="209"/>
      <c r="AG154" s="440"/>
      <c r="AH154" s="255"/>
    </row>
    <row r="155" spans="2:34" s="198" customFormat="1" ht="14.1" hidden="1" customHeight="1">
      <c r="B155" s="199">
        <v>146</v>
      </c>
      <c r="C155" s="200"/>
      <c r="D155" s="200" t="s">
        <v>466</v>
      </c>
      <c r="E155" s="437" t="s">
        <v>152</v>
      </c>
      <c r="F155" s="200">
        <v>1</v>
      </c>
      <c r="G155" s="200">
        <v>1</v>
      </c>
      <c r="H155" s="201" t="s">
        <v>2107</v>
      </c>
      <c r="I155" s="201" t="s">
        <v>2126</v>
      </c>
      <c r="J155" s="201" t="s">
        <v>2127</v>
      </c>
      <c r="K155" s="201" t="s">
        <v>2467</v>
      </c>
      <c r="L155" s="201" t="s">
        <v>2468</v>
      </c>
      <c r="M155" s="233" t="s">
        <v>2129</v>
      </c>
      <c r="N155" s="233">
        <v>162.7081</v>
      </c>
      <c r="O155" s="438"/>
      <c r="P155" s="60"/>
      <c r="Q155" s="200" t="s">
        <v>2129</v>
      </c>
      <c r="R155" s="200"/>
      <c r="S155" s="439" t="s">
        <v>152</v>
      </c>
      <c r="T155" s="200">
        <v>1</v>
      </c>
      <c r="U155" s="209" t="s">
        <v>1059</v>
      </c>
      <c r="V155" s="252">
        <v>630120000</v>
      </c>
      <c r="W155" s="252">
        <v>630120000</v>
      </c>
      <c r="X155" s="200"/>
      <c r="Y155" s="209"/>
      <c r="Z155" s="209"/>
      <c r="AA155" s="209"/>
      <c r="AB155" s="200"/>
      <c r="AC155" s="209"/>
      <c r="AD155" s="209"/>
      <c r="AE155" s="209"/>
      <c r="AF155" s="209"/>
      <c r="AG155" s="440"/>
      <c r="AH155" s="255"/>
    </row>
    <row r="156" spans="2:34" s="198" customFormat="1" ht="14.1" hidden="1" customHeight="1">
      <c r="B156" s="199">
        <v>147</v>
      </c>
      <c r="C156" s="200"/>
      <c r="D156" s="200" t="s">
        <v>467</v>
      </c>
      <c r="E156" s="437" t="s">
        <v>175</v>
      </c>
      <c r="F156" s="200">
        <v>1</v>
      </c>
      <c r="G156" s="200">
        <v>1</v>
      </c>
      <c r="H156" s="201" t="s">
        <v>2469</v>
      </c>
      <c r="I156" s="201" t="s">
        <v>2470</v>
      </c>
      <c r="J156" s="201" t="s">
        <v>2471</v>
      </c>
      <c r="K156" s="201" t="s">
        <v>2472</v>
      </c>
      <c r="L156" s="201" t="s">
        <v>2473</v>
      </c>
      <c r="M156" s="233">
        <v>29642.799999999999</v>
      </c>
      <c r="N156" s="233">
        <v>157.91999999999999</v>
      </c>
      <c r="O156" s="438"/>
      <c r="P156" s="60"/>
      <c r="Q156" s="200" t="s">
        <v>2474</v>
      </c>
      <c r="R156" s="200"/>
      <c r="S156" s="439" t="s">
        <v>175</v>
      </c>
      <c r="T156" s="200">
        <v>1</v>
      </c>
      <c r="U156" s="209" t="s">
        <v>1059</v>
      </c>
      <c r="V156" s="252">
        <v>596520000</v>
      </c>
      <c r="W156" s="252">
        <v>596520000</v>
      </c>
      <c r="X156" s="200"/>
      <c r="Y156" s="209"/>
      <c r="Z156" s="209"/>
      <c r="AA156" s="209"/>
      <c r="AB156" s="200"/>
      <c r="AC156" s="209"/>
      <c r="AD156" s="209"/>
      <c r="AE156" s="209"/>
      <c r="AF156" s="209"/>
      <c r="AG156" s="440"/>
      <c r="AH156" s="255"/>
    </row>
    <row r="157" spans="2:34" s="198" customFormat="1" ht="14.1" hidden="1" customHeight="1">
      <c r="B157" s="199">
        <v>148</v>
      </c>
      <c r="C157" s="200"/>
      <c r="D157" s="200" t="s">
        <v>468</v>
      </c>
      <c r="E157" s="437" t="s">
        <v>138</v>
      </c>
      <c r="F157" s="200">
        <v>1</v>
      </c>
      <c r="G157" s="200">
        <v>1</v>
      </c>
      <c r="H157" s="201" t="s">
        <v>2138</v>
      </c>
      <c r="I157" s="201" t="s">
        <v>2475</v>
      </c>
      <c r="J157" s="201" t="s">
        <v>2476</v>
      </c>
      <c r="K157" s="201" t="s">
        <v>2477</v>
      </c>
      <c r="L157" s="201" t="s">
        <v>2478</v>
      </c>
      <c r="M157" s="233">
        <v>2761</v>
      </c>
      <c r="N157" s="233">
        <v>72.510000000000005</v>
      </c>
      <c r="O157" s="438"/>
      <c r="P157" s="60"/>
      <c r="Q157" s="200" t="s">
        <v>2479</v>
      </c>
      <c r="R157" s="200"/>
      <c r="S157" s="439" t="s">
        <v>138</v>
      </c>
      <c r="T157" s="200" t="s">
        <v>2111</v>
      </c>
      <c r="U157" s="209" t="s">
        <v>1059</v>
      </c>
      <c r="V157" s="252">
        <v>510000000</v>
      </c>
      <c r="W157" s="252">
        <v>510000000</v>
      </c>
      <c r="X157" s="200"/>
      <c r="Y157" s="209"/>
      <c r="Z157" s="209"/>
      <c r="AA157" s="209"/>
      <c r="AB157" s="200"/>
      <c r="AC157" s="209"/>
      <c r="AD157" s="209"/>
      <c r="AE157" s="209"/>
      <c r="AF157" s="209"/>
      <c r="AG157" s="440"/>
      <c r="AH157" s="255"/>
    </row>
    <row r="158" spans="2:34" s="198" customFormat="1" ht="14.1" hidden="1" customHeight="1">
      <c r="B158" s="199">
        <v>149</v>
      </c>
      <c r="C158" s="200"/>
      <c r="D158" s="200" t="s">
        <v>469</v>
      </c>
      <c r="E158" s="437" t="s">
        <v>234</v>
      </c>
      <c r="F158" s="200">
        <v>1</v>
      </c>
      <c r="G158" s="200">
        <v>1</v>
      </c>
      <c r="H158" s="201" t="s">
        <v>2138</v>
      </c>
      <c r="I158" s="201" t="s">
        <v>2410</v>
      </c>
      <c r="J158" s="201" t="s">
        <v>2458</v>
      </c>
      <c r="K158" s="201" t="s">
        <v>2480</v>
      </c>
      <c r="L158" s="201" t="s">
        <v>2481</v>
      </c>
      <c r="M158" s="233">
        <v>10404.799999999999</v>
      </c>
      <c r="N158" s="233">
        <v>120.11</v>
      </c>
      <c r="O158" s="438"/>
      <c r="P158" s="60"/>
      <c r="Q158" s="200" t="s">
        <v>2482</v>
      </c>
      <c r="R158" s="200" t="s">
        <v>2130</v>
      </c>
      <c r="S158" s="303" t="s">
        <v>2483</v>
      </c>
      <c r="T158" s="200">
        <v>1</v>
      </c>
      <c r="U158" s="209" t="s">
        <v>1059</v>
      </c>
      <c r="V158" s="252">
        <v>600000000</v>
      </c>
      <c r="W158" s="252">
        <v>600000000</v>
      </c>
      <c r="X158" s="200"/>
      <c r="Y158" s="209"/>
      <c r="Z158" s="209"/>
      <c r="AA158" s="209"/>
      <c r="AB158" s="200"/>
      <c r="AC158" s="209"/>
      <c r="AD158" s="209"/>
      <c r="AE158" s="209"/>
      <c r="AF158" s="209"/>
      <c r="AG158" s="440"/>
      <c r="AH158" s="255"/>
    </row>
    <row r="159" spans="2:34" s="198" customFormat="1" ht="14.1" hidden="1" customHeight="1">
      <c r="B159" s="199">
        <v>150</v>
      </c>
      <c r="C159" s="200"/>
      <c r="D159" s="200" t="s">
        <v>470</v>
      </c>
      <c r="E159" s="437" t="s">
        <v>168</v>
      </c>
      <c r="F159" s="200">
        <v>1</v>
      </c>
      <c r="G159" s="200">
        <v>1</v>
      </c>
      <c r="H159" s="201" t="s">
        <v>2239</v>
      </c>
      <c r="I159" s="201" t="s">
        <v>2484</v>
      </c>
      <c r="J159" s="201" t="s">
        <v>2485</v>
      </c>
      <c r="K159" s="201" t="s">
        <v>2486</v>
      </c>
      <c r="L159" s="201" t="s">
        <v>2487</v>
      </c>
      <c r="M159" s="233">
        <v>56905.599999999999</v>
      </c>
      <c r="N159" s="233">
        <v>163.61799999999999</v>
      </c>
      <c r="O159" s="438"/>
      <c r="P159" s="60"/>
      <c r="Q159" s="200" t="s">
        <v>2488</v>
      </c>
      <c r="R159" s="200"/>
      <c r="S159" s="439" t="s">
        <v>168</v>
      </c>
      <c r="T159" s="200">
        <v>1</v>
      </c>
      <c r="U159" s="209" t="s">
        <v>1059</v>
      </c>
      <c r="V159" s="252">
        <v>597600000</v>
      </c>
      <c r="W159" s="252">
        <v>597600000</v>
      </c>
      <c r="X159" s="200"/>
      <c r="Y159" s="209"/>
      <c r="Z159" s="209"/>
      <c r="AA159" s="209"/>
      <c r="AB159" s="200"/>
      <c r="AC159" s="209"/>
      <c r="AD159" s="209"/>
      <c r="AE159" s="209"/>
      <c r="AF159" s="209"/>
      <c r="AG159" s="440"/>
      <c r="AH159" s="255"/>
    </row>
    <row r="160" spans="2:34" s="198" customFormat="1" ht="14.1" hidden="1" customHeight="1">
      <c r="B160" s="199">
        <v>151</v>
      </c>
      <c r="C160" s="200"/>
      <c r="D160" s="200" t="s">
        <v>471</v>
      </c>
      <c r="E160" s="437" t="s">
        <v>130</v>
      </c>
      <c r="F160" s="200">
        <v>1</v>
      </c>
      <c r="G160" s="200">
        <v>1</v>
      </c>
      <c r="H160" s="201" t="s">
        <v>2107</v>
      </c>
      <c r="I160" s="201" t="s">
        <v>2422</v>
      </c>
      <c r="J160" s="201" t="s">
        <v>2423</v>
      </c>
      <c r="K160" s="201" t="s">
        <v>2489</v>
      </c>
      <c r="L160" s="201" t="s">
        <v>2490</v>
      </c>
      <c r="M160" s="233">
        <v>53639.5</v>
      </c>
      <c r="N160" s="233">
        <v>134.85900000000001</v>
      </c>
      <c r="O160" s="438"/>
      <c r="P160" s="60"/>
      <c r="Q160" s="200" t="s">
        <v>2491</v>
      </c>
      <c r="R160" s="200"/>
      <c r="S160" s="439" t="s">
        <v>130</v>
      </c>
      <c r="T160" s="200">
        <v>1</v>
      </c>
      <c r="U160" s="209" t="s">
        <v>1059</v>
      </c>
      <c r="V160" s="252">
        <v>584400000</v>
      </c>
      <c r="W160" s="252">
        <v>584400000</v>
      </c>
      <c r="X160" s="200"/>
      <c r="Y160" s="209"/>
      <c r="Z160" s="209"/>
      <c r="AA160" s="209"/>
      <c r="AB160" s="200"/>
      <c r="AC160" s="209"/>
      <c r="AD160" s="209"/>
      <c r="AE160" s="209"/>
      <c r="AF160" s="209"/>
      <c r="AG160" s="440"/>
      <c r="AH160" s="255"/>
    </row>
    <row r="161" spans="2:34" s="198" customFormat="1" ht="14.1" hidden="1" customHeight="1">
      <c r="B161" s="199">
        <v>152</v>
      </c>
      <c r="C161" s="200"/>
      <c r="D161" s="200" t="s">
        <v>472</v>
      </c>
      <c r="E161" s="437" t="s">
        <v>152</v>
      </c>
      <c r="F161" s="200">
        <v>1</v>
      </c>
      <c r="G161" s="200">
        <v>1</v>
      </c>
      <c r="H161" s="201" t="s">
        <v>2469</v>
      </c>
      <c r="I161" s="201" t="s">
        <v>2470</v>
      </c>
      <c r="J161" s="201" t="s">
        <v>2471</v>
      </c>
      <c r="K161" s="201" t="s">
        <v>2492</v>
      </c>
      <c r="L161" s="201" t="s">
        <v>2473</v>
      </c>
      <c r="M161" s="233">
        <v>29642.799999999999</v>
      </c>
      <c r="N161" s="233">
        <v>129.96199999999999</v>
      </c>
      <c r="O161" s="438"/>
      <c r="P161" s="60"/>
      <c r="Q161" s="200" t="s">
        <v>2493</v>
      </c>
      <c r="R161" s="200"/>
      <c r="S161" s="439" t="s">
        <v>152</v>
      </c>
      <c r="T161" s="200" t="s">
        <v>2123</v>
      </c>
      <c r="U161" s="209" t="s">
        <v>1059</v>
      </c>
      <c r="V161" s="252">
        <v>579360000</v>
      </c>
      <c r="W161" s="252">
        <v>579360000</v>
      </c>
      <c r="X161" s="200"/>
      <c r="Y161" s="209"/>
      <c r="Z161" s="209"/>
      <c r="AA161" s="209"/>
      <c r="AB161" s="200"/>
      <c r="AC161" s="209"/>
      <c r="AD161" s="209"/>
      <c r="AE161" s="209"/>
      <c r="AF161" s="209"/>
      <c r="AG161" s="440"/>
      <c r="AH161" s="255"/>
    </row>
    <row r="162" spans="2:34" s="198" customFormat="1" ht="14.1" hidden="1" customHeight="1">
      <c r="B162" s="199">
        <v>153</v>
      </c>
      <c r="C162" s="200"/>
      <c r="D162" s="200" t="s">
        <v>473</v>
      </c>
      <c r="E162" s="437" t="s">
        <v>137</v>
      </c>
      <c r="F162" s="200">
        <v>1</v>
      </c>
      <c r="G162" s="200">
        <v>1</v>
      </c>
      <c r="H162" s="201" t="s">
        <v>2138</v>
      </c>
      <c r="I162" s="201" t="s">
        <v>2494</v>
      </c>
      <c r="J162" s="201" t="s">
        <v>2495</v>
      </c>
      <c r="K162" s="201" t="s">
        <v>2496</v>
      </c>
      <c r="L162" s="201" t="s">
        <v>2122</v>
      </c>
      <c r="M162" s="233">
        <v>200.3</v>
      </c>
      <c r="N162" s="233"/>
      <c r="O162" s="438"/>
      <c r="P162" s="60"/>
      <c r="Q162" s="200"/>
      <c r="R162" s="200"/>
      <c r="S162" s="439" t="s">
        <v>137</v>
      </c>
      <c r="T162" s="200">
        <v>1</v>
      </c>
      <c r="U162" s="209" t="s">
        <v>1059</v>
      </c>
      <c r="V162" s="252">
        <v>396000000</v>
      </c>
      <c r="W162" s="252">
        <v>396000000</v>
      </c>
      <c r="X162" s="200"/>
      <c r="Y162" s="209"/>
      <c r="Z162" s="209"/>
      <c r="AA162" s="209"/>
      <c r="AB162" s="200"/>
      <c r="AC162" s="209"/>
      <c r="AD162" s="209"/>
      <c r="AE162" s="209"/>
      <c r="AF162" s="209"/>
      <c r="AG162" s="440"/>
      <c r="AH162" s="255"/>
    </row>
    <row r="163" spans="2:34" s="198" customFormat="1" ht="14.1" hidden="1" customHeight="1">
      <c r="B163" s="199">
        <v>154</v>
      </c>
      <c r="C163" s="200"/>
      <c r="D163" s="200" t="s">
        <v>473</v>
      </c>
      <c r="E163" s="437" t="s">
        <v>137</v>
      </c>
      <c r="F163" s="200">
        <v>1</v>
      </c>
      <c r="G163" s="200">
        <v>2</v>
      </c>
      <c r="H163" s="201" t="s">
        <v>2138</v>
      </c>
      <c r="I163" s="201" t="s">
        <v>2494</v>
      </c>
      <c r="J163" s="201" t="s">
        <v>2495</v>
      </c>
      <c r="K163" s="201" t="s">
        <v>2497</v>
      </c>
      <c r="L163" s="201" t="s">
        <v>2498</v>
      </c>
      <c r="M163" s="233"/>
      <c r="N163" s="233">
        <v>325.74</v>
      </c>
      <c r="O163" s="438"/>
      <c r="P163" s="60"/>
      <c r="Q163" s="200"/>
      <c r="R163" s="200"/>
      <c r="S163" s="439" t="s">
        <v>137</v>
      </c>
      <c r="T163" s="200">
        <v>1</v>
      </c>
      <c r="U163" s="209" t="s">
        <v>1059</v>
      </c>
      <c r="V163" s="252">
        <v>396000000</v>
      </c>
      <c r="W163" s="252">
        <v>396000000</v>
      </c>
      <c r="X163" s="200"/>
      <c r="Y163" s="209"/>
      <c r="Z163" s="209"/>
      <c r="AA163" s="209"/>
      <c r="AB163" s="200"/>
      <c r="AC163" s="209"/>
      <c r="AD163" s="209"/>
      <c r="AE163" s="209"/>
      <c r="AF163" s="209"/>
      <c r="AG163" s="440"/>
      <c r="AH163" s="255"/>
    </row>
    <row r="164" spans="2:34" s="198" customFormat="1" ht="14.1" hidden="1" customHeight="1">
      <c r="B164" s="199">
        <v>155</v>
      </c>
      <c r="C164" s="200"/>
      <c r="D164" s="200" t="s">
        <v>473</v>
      </c>
      <c r="E164" s="437" t="s">
        <v>137</v>
      </c>
      <c r="F164" s="200">
        <v>2</v>
      </c>
      <c r="G164" s="200">
        <v>1</v>
      </c>
      <c r="H164" s="201" t="s">
        <v>2239</v>
      </c>
      <c r="I164" s="201" t="s">
        <v>2299</v>
      </c>
      <c r="J164" s="201" t="s">
        <v>2499</v>
      </c>
      <c r="K164" s="201" t="s">
        <v>2500</v>
      </c>
      <c r="L164" s="201" t="s">
        <v>2481</v>
      </c>
      <c r="M164" s="233">
        <v>14813</v>
      </c>
      <c r="N164" s="233">
        <v>163.51</v>
      </c>
      <c r="O164" s="438"/>
      <c r="P164" s="60"/>
      <c r="Q164" s="200" t="s">
        <v>2501</v>
      </c>
      <c r="R164" s="200"/>
      <c r="S164" s="439" t="s">
        <v>137</v>
      </c>
      <c r="T164" s="200">
        <v>1</v>
      </c>
      <c r="U164" s="209" t="s">
        <v>1059</v>
      </c>
      <c r="V164" s="252">
        <v>180000000</v>
      </c>
      <c r="W164" s="252">
        <v>180000000</v>
      </c>
      <c r="X164" s="200"/>
      <c r="Y164" s="209"/>
      <c r="Z164" s="209"/>
      <c r="AA164" s="209"/>
      <c r="AB164" s="200"/>
      <c r="AC164" s="209"/>
      <c r="AD164" s="209"/>
      <c r="AE164" s="209"/>
      <c r="AF164" s="209"/>
      <c r="AG164" s="440"/>
      <c r="AH164" s="255"/>
    </row>
    <row r="165" spans="2:34" s="198" customFormat="1" ht="14.1" hidden="1" customHeight="1">
      <c r="B165" s="199">
        <v>156</v>
      </c>
      <c r="C165" s="200"/>
      <c r="D165" s="200" t="s">
        <v>474</v>
      </c>
      <c r="E165" s="437" t="s">
        <v>175</v>
      </c>
      <c r="F165" s="200">
        <v>1</v>
      </c>
      <c r="G165" s="200">
        <v>1</v>
      </c>
      <c r="H165" s="201" t="s">
        <v>2502</v>
      </c>
      <c r="I165" s="201" t="s">
        <v>2503</v>
      </c>
      <c r="J165" s="201" t="s">
        <v>2504</v>
      </c>
      <c r="K165" s="201" t="s">
        <v>2505</v>
      </c>
      <c r="L165" s="201" t="s">
        <v>2122</v>
      </c>
      <c r="M165" s="233">
        <v>362.6</v>
      </c>
      <c r="N165" s="233"/>
      <c r="O165" s="438"/>
      <c r="P165" s="60"/>
      <c r="Q165" s="200"/>
      <c r="R165" s="200"/>
      <c r="S165" s="439" t="s">
        <v>175</v>
      </c>
      <c r="T165" s="200" t="s">
        <v>2123</v>
      </c>
      <c r="U165" s="209" t="s">
        <v>1059</v>
      </c>
      <c r="V165" s="252">
        <v>780800000</v>
      </c>
      <c r="W165" s="252">
        <v>780800000</v>
      </c>
      <c r="X165" s="200"/>
      <c r="Y165" s="209"/>
      <c r="Z165" s="209"/>
      <c r="AA165" s="209"/>
      <c r="AB165" s="200"/>
      <c r="AC165" s="209"/>
      <c r="AD165" s="209"/>
      <c r="AE165" s="209"/>
      <c r="AF165" s="209"/>
      <c r="AG165" s="440"/>
      <c r="AH165" s="255"/>
    </row>
    <row r="166" spans="2:34" s="198" customFormat="1" ht="14.1" hidden="1" customHeight="1">
      <c r="B166" s="199">
        <v>157</v>
      </c>
      <c r="C166" s="200"/>
      <c r="D166" s="200" t="s">
        <v>474</v>
      </c>
      <c r="E166" s="437" t="s">
        <v>175</v>
      </c>
      <c r="F166" s="200">
        <v>1</v>
      </c>
      <c r="G166" s="200">
        <v>2</v>
      </c>
      <c r="H166" s="201" t="s">
        <v>2502</v>
      </c>
      <c r="I166" s="201" t="s">
        <v>2503</v>
      </c>
      <c r="J166" s="201" t="s">
        <v>2504</v>
      </c>
      <c r="K166" s="201" t="s">
        <v>2506</v>
      </c>
      <c r="L166" s="201" t="s">
        <v>2122</v>
      </c>
      <c r="M166" s="233">
        <v>142.1</v>
      </c>
      <c r="N166" s="233"/>
      <c r="O166" s="438"/>
      <c r="P166" s="60"/>
      <c r="Q166" s="200"/>
      <c r="R166" s="200"/>
      <c r="S166" s="439" t="s">
        <v>175</v>
      </c>
      <c r="T166" s="200" t="s">
        <v>2123</v>
      </c>
      <c r="U166" s="209" t="s">
        <v>1059</v>
      </c>
      <c r="V166" s="252">
        <v>780800000</v>
      </c>
      <c r="W166" s="252">
        <v>780800000</v>
      </c>
      <c r="X166" s="200"/>
      <c r="Y166" s="209"/>
      <c r="Z166" s="209"/>
      <c r="AA166" s="209"/>
      <c r="AB166" s="200"/>
      <c r="AC166" s="209"/>
      <c r="AD166" s="209"/>
      <c r="AE166" s="209"/>
      <c r="AF166" s="209"/>
      <c r="AG166" s="440"/>
      <c r="AH166" s="255"/>
    </row>
    <row r="167" spans="2:34" s="198" customFormat="1" ht="14.1" hidden="1" customHeight="1">
      <c r="B167" s="199">
        <v>158</v>
      </c>
      <c r="C167" s="200"/>
      <c r="D167" s="200" t="s">
        <v>474</v>
      </c>
      <c r="E167" s="437" t="s">
        <v>175</v>
      </c>
      <c r="F167" s="200">
        <v>1</v>
      </c>
      <c r="G167" s="200">
        <v>3</v>
      </c>
      <c r="H167" s="201" t="s">
        <v>2502</v>
      </c>
      <c r="I167" s="201" t="s">
        <v>2503</v>
      </c>
      <c r="J167" s="201" t="s">
        <v>2504</v>
      </c>
      <c r="K167" s="201" t="s">
        <v>2507</v>
      </c>
      <c r="L167" s="201" t="s">
        <v>2122</v>
      </c>
      <c r="M167" s="233">
        <v>117.7</v>
      </c>
      <c r="N167" s="233"/>
      <c r="O167" s="438"/>
      <c r="P167" s="60"/>
      <c r="Q167" s="200"/>
      <c r="R167" s="200"/>
      <c r="S167" s="439" t="s">
        <v>175</v>
      </c>
      <c r="T167" s="200" t="s">
        <v>2123</v>
      </c>
      <c r="U167" s="209" t="s">
        <v>1059</v>
      </c>
      <c r="V167" s="252">
        <v>780800000</v>
      </c>
      <c r="W167" s="252">
        <v>780800000</v>
      </c>
      <c r="X167" s="200"/>
      <c r="Y167" s="209"/>
      <c r="Z167" s="209"/>
      <c r="AA167" s="209"/>
      <c r="AB167" s="200"/>
      <c r="AC167" s="209"/>
      <c r="AD167" s="209"/>
      <c r="AE167" s="209"/>
      <c r="AF167" s="209"/>
      <c r="AG167" s="440"/>
      <c r="AH167" s="255"/>
    </row>
    <row r="168" spans="2:34" s="198" customFormat="1" ht="14.1" hidden="1" customHeight="1">
      <c r="B168" s="199">
        <v>159</v>
      </c>
      <c r="C168" s="200"/>
      <c r="D168" s="200" t="s">
        <v>474</v>
      </c>
      <c r="E168" s="437" t="s">
        <v>175</v>
      </c>
      <c r="F168" s="200">
        <v>1</v>
      </c>
      <c r="G168" s="200">
        <v>4</v>
      </c>
      <c r="H168" s="201" t="s">
        <v>2502</v>
      </c>
      <c r="I168" s="201" t="s">
        <v>2503</v>
      </c>
      <c r="J168" s="201" t="s">
        <v>2504</v>
      </c>
      <c r="K168" s="201" t="s">
        <v>2508</v>
      </c>
      <c r="L168" s="201" t="s">
        <v>2509</v>
      </c>
      <c r="M168" s="233"/>
      <c r="N168" s="233">
        <v>297.85000000000002</v>
      </c>
      <c r="O168" s="438"/>
      <c r="P168" s="60"/>
      <c r="Q168" s="200"/>
      <c r="R168" s="200"/>
      <c r="S168" s="439" t="s">
        <v>175</v>
      </c>
      <c r="T168" s="200" t="s">
        <v>2123</v>
      </c>
      <c r="U168" s="209" t="s">
        <v>1059</v>
      </c>
      <c r="V168" s="252">
        <v>780800000</v>
      </c>
      <c r="W168" s="252">
        <v>780800000</v>
      </c>
      <c r="X168" s="200"/>
      <c r="Y168" s="209"/>
      <c r="Z168" s="209"/>
      <c r="AA168" s="209"/>
      <c r="AB168" s="200"/>
      <c r="AC168" s="209"/>
      <c r="AD168" s="209"/>
      <c r="AE168" s="209"/>
      <c r="AF168" s="209"/>
      <c r="AG168" s="440"/>
      <c r="AH168" s="255"/>
    </row>
    <row r="169" spans="2:34" s="198" customFormat="1" ht="14.1" hidden="1" customHeight="1">
      <c r="B169" s="199">
        <v>160</v>
      </c>
      <c r="C169" s="200"/>
      <c r="D169" s="200" t="s">
        <v>475</v>
      </c>
      <c r="E169" s="437" t="s">
        <v>175</v>
      </c>
      <c r="F169" s="200">
        <v>1</v>
      </c>
      <c r="G169" s="200">
        <v>1</v>
      </c>
      <c r="H169" s="201" t="s">
        <v>2107</v>
      </c>
      <c r="I169" s="201" t="s">
        <v>2126</v>
      </c>
      <c r="J169" s="201" t="s">
        <v>2127</v>
      </c>
      <c r="K169" s="201" t="s">
        <v>2510</v>
      </c>
      <c r="L169" s="201" t="s">
        <v>2128</v>
      </c>
      <c r="M169" s="233" t="s">
        <v>2129</v>
      </c>
      <c r="N169" s="233">
        <v>134.7996</v>
      </c>
      <c r="O169" s="438"/>
      <c r="P169" s="60"/>
      <c r="Q169" s="200" t="s">
        <v>2129</v>
      </c>
      <c r="R169" s="200" t="s">
        <v>2511</v>
      </c>
      <c r="S169" s="303" t="s">
        <v>2512</v>
      </c>
      <c r="T169" s="200">
        <v>1</v>
      </c>
      <c r="U169" s="209" t="s">
        <v>1059</v>
      </c>
      <c r="V169" s="252">
        <v>533760000</v>
      </c>
      <c r="W169" s="252">
        <v>533760000</v>
      </c>
      <c r="X169" s="200"/>
      <c r="Y169" s="209"/>
      <c r="Z169" s="209"/>
      <c r="AA169" s="209"/>
      <c r="AB169" s="200"/>
      <c r="AC169" s="209"/>
      <c r="AD169" s="209"/>
      <c r="AE169" s="209"/>
      <c r="AF169" s="209"/>
      <c r="AG169" s="440"/>
      <c r="AH169" s="255"/>
    </row>
    <row r="170" spans="2:34" s="198" customFormat="1" ht="14.1" hidden="1" customHeight="1">
      <c r="B170" s="199">
        <v>161</v>
      </c>
      <c r="C170" s="200"/>
      <c r="D170" s="200" t="s">
        <v>476</v>
      </c>
      <c r="E170" s="437" t="s">
        <v>168</v>
      </c>
      <c r="F170" s="200">
        <v>1</v>
      </c>
      <c r="G170" s="200">
        <v>1</v>
      </c>
      <c r="H170" s="201" t="s">
        <v>2513</v>
      </c>
      <c r="I170" s="201" t="s">
        <v>2514</v>
      </c>
      <c r="J170" s="201" t="s">
        <v>2515</v>
      </c>
      <c r="K170" s="201" t="s">
        <v>2516</v>
      </c>
      <c r="L170" s="201" t="s">
        <v>2122</v>
      </c>
      <c r="M170" s="233">
        <v>356</v>
      </c>
      <c r="N170" s="233"/>
      <c r="O170" s="438"/>
      <c r="P170" s="60"/>
      <c r="Q170" s="200"/>
      <c r="R170" s="200"/>
      <c r="S170" s="303" t="s">
        <v>2517</v>
      </c>
      <c r="T170" s="200" t="s">
        <v>2123</v>
      </c>
      <c r="U170" s="209" t="s">
        <v>1059</v>
      </c>
      <c r="V170" s="252">
        <v>552000000</v>
      </c>
      <c r="W170" s="252">
        <v>552000000</v>
      </c>
      <c r="X170" s="200"/>
      <c r="Y170" s="209"/>
      <c r="Z170" s="209"/>
      <c r="AA170" s="209"/>
      <c r="AB170" s="200"/>
      <c r="AC170" s="209"/>
      <c r="AD170" s="209"/>
      <c r="AE170" s="209"/>
      <c r="AF170" s="209"/>
      <c r="AG170" s="440"/>
      <c r="AH170" s="255"/>
    </row>
    <row r="171" spans="2:34" s="198" customFormat="1" ht="14.1" hidden="1" customHeight="1">
      <c r="B171" s="199">
        <v>162</v>
      </c>
      <c r="C171" s="200"/>
      <c r="D171" s="200" t="s">
        <v>476</v>
      </c>
      <c r="E171" s="437" t="s">
        <v>168</v>
      </c>
      <c r="F171" s="200">
        <v>1</v>
      </c>
      <c r="G171" s="200">
        <v>2</v>
      </c>
      <c r="H171" s="201" t="s">
        <v>2513</v>
      </c>
      <c r="I171" s="201" t="s">
        <v>2514</v>
      </c>
      <c r="J171" s="201" t="s">
        <v>2515</v>
      </c>
      <c r="K171" s="201" t="s">
        <v>2518</v>
      </c>
      <c r="L171" s="201" t="s">
        <v>2519</v>
      </c>
      <c r="M171" s="233"/>
      <c r="N171" s="233">
        <v>545.47</v>
      </c>
      <c r="O171" s="438"/>
      <c r="P171" s="60"/>
      <c r="Q171" s="200"/>
      <c r="R171" s="200"/>
      <c r="S171" s="303" t="s">
        <v>2517</v>
      </c>
      <c r="T171" s="200" t="s">
        <v>2123</v>
      </c>
      <c r="U171" s="209" t="s">
        <v>1059</v>
      </c>
      <c r="V171" s="252">
        <v>552000000</v>
      </c>
      <c r="W171" s="252">
        <v>552000000</v>
      </c>
      <c r="X171" s="200"/>
      <c r="Y171" s="209"/>
      <c r="Z171" s="209"/>
      <c r="AA171" s="209"/>
      <c r="AB171" s="200"/>
      <c r="AC171" s="209"/>
      <c r="AD171" s="209"/>
      <c r="AE171" s="209"/>
      <c r="AF171" s="209"/>
      <c r="AG171" s="440"/>
      <c r="AH171" s="255"/>
    </row>
    <row r="172" spans="2:34" s="198" customFormat="1" ht="14.1" hidden="1" customHeight="1">
      <c r="B172" s="199">
        <v>163</v>
      </c>
      <c r="C172" s="200"/>
      <c r="D172" s="200" t="s">
        <v>476</v>
      </c>
      <c r="E172" s="437" t="s">
        <v>168</v>
      </c>
      <c r="F172" s="200">
        <v>2</v>
      </c>
      <c r="G172" s="200">
        <v>1</v>
      </c>
      <c r="H172" s="201" t="s">
        <v>2513</v>
      </c>
      <c r="I172" s="201" t="s">
        <v>2514</v>
      </c>
      <c r="J172" s="201" t="s">
        <v>2515</v>
      </c>
      <c r="K172" s="201" t="s">
        <v>2520</v>
      </c>
      <c r="L172" s="201" t="s">
        <v>2122</v>
      </c>
      <c r="M172" s="233">
        <v>322</v>
      </c>
      <c r="N172" s="233"/>
      <c r="O172" s="438"/>
      <c r="P172" s="60"/>
      <c r="Q172" s="200"/>
      <c r="R172" s="200"/>
      <c r="S172" s="439" t="s">
        <v>168</v>
      </c>
      <c r="T172" s="200" t="s">
        <v>2123</v>
      </c>
      <c r="U172" s="209" t="s">
        <v>1059</v>
      </c>
      <c r="V172" s="252">
        <v>552000000</v>
      </c>
      <c r="W172" s="252">
        <v>552000000</v>
      </c>
      <c r="X172" s="200"/>
      <c r="Y172" s="209"/>
      <c r="Z172" s="209"/>
      <c r="AA172" s="209"/>
      <c r="AB172" s="200"/>
      <c r="AC172" s="209"/>
      <c r="AD172" s="209"/>
      <c r="AE172" s="209"/>
      <c r="AF172" s="209"/>
      <c r="AG172" s="440"/>
      <c r="AH172" s="255"/>
    </row>
    <row r="173" spans="2:34" s="198" customFormat="1" ht="14.1" hidden="1" customHeight="1">
      <c r="B173" s="199">
        <v>164</v>
      </c>
      <c r="C173" s="200"/>
      <c r="D173" s="200" t="s">
        <v>476</v>
      </c>
      <c r="E173" s="437" t="s">
        <v>168</v>
      </c>
      <c r="F173" s="200">
        <v>2</v>
      </c>
      <c r="G173" s="200">
        <v>2</v>
      </c>
      <c r="H173" s="201" t="s">
        <v>2513</v>
      </c>
      <c r="I173" s="201" t="s">
        <v>2514</v>
      </c>
      <c r="J173" s="201" t="s">
        <v>2515</v>
      </c>
      <c r="K173" s="201" t="s">
        <v>2521</v>
      </c>
      <c r="L173" s="201" t="s">
        <v>2519</v>
      </c>
      <c r="M173" s="233"/>
      <c r="N173" s="233">
        <v>503.86</v>
      </c>
      <c r="O173" s="438"/>
      <c r="P173" s="60"/>
      <c r="Q173" s="200"/>
      <c r="R173" s="200"/>
      <c r="S173" s="439" t="s">
        <v>168</v>
      </c>
      <c r="T173" s="200" t="s">
        <v>2123</v>
      </c>
      <c r="U173" s="209" t="s">
        <v>1059</v>
      </c>
      <c r="V173" s="252">
        <v>552000000</v>
      </c>
      <c r="W173" s="252">
        <v>552000000</v>
      </c>
      <c r="X173" s="200"/>
      <c r="Y173" s="209"/>
      <c r="Z173" s="209"/>
      <c r="AA173" s="209"/>
      <c r="AB173" s="200"/>
      <c r="AC173" s="209"/>
      <c r="AD173" s="209"/>
      <c r="AE173" s="209"/>
      <c r="AF173" s="209"/>
      <c r="AG173" s="440"/>
      <c r="AH173" s="255"/>
    </row>
    <row r="174" spans="2:34" s="198" customFormat="1" ht="14.1" hidden="1" customHeight="1">
      <c r="B174" s="199">
        <v>165</v>
      </c>
      <c r="C174" s="200"/>
      <c r="D174" s="200" t="s">
        <v>476</v>
      </c>
      <c r="E174" s="437" t="s">
        <v>168</v>
      </c>
      <c r="F174" s="200">
        <v>3</v>
      </c>
      <c r="G174" s="200">
        <v>1</v>
      </c>
      <c r="H174" s="201" t="s">
        <v>2513</v>
      </c>
      <c r="I174" s="201" t="s">
        <v>2514</v>
      </c>
      <c r="J174" s="201" t="s">
        <v>2515</v>
      </c>
      <c r="K174" s="201" t="s">
        <v>2522</v>
      </c>
      <c r="L174" s="201" t="s">
        <v>2122</v>
      </c>
      <c r="M174" s="233">
        <v>317</v>
      </c>
      <c r="N174" s="233"/>
      <c r="O174" s="438"/>
      <c r="P174" s="60"/>
      <c r="Q174" s="200"/>
      <c r="R174" s="200"/>
      <c r="S174" s="439" t="s">
        <v>109</v>
      </c>
      <c r="T174" s="200" t="s">
        <v>2123</v>
      </c>
      <c r="U174" s="209" t="s">
        <v>1059</v>
      </c>
      <c r="V174" s="252">
        <v>552000000</v>
      </c>
      <c r="W174" s="252">
        <v>552000000</v>
      </c>
      <c r="X174" s="200"/>
      <c r="Y174" s="209"/>
      <c r="Z174" s="209"/>
      <c r="AA174" s="209"/>
      <c r="AB174" s="200"/>
      <c r="AC174" s="209"/>
      <c r="AD174" s="209"/>
      <c r="AE174" s="209"/>
      <c r="AF174" s="209"/>
      <c r="AG174" s="440"/>
      <c r="AH174" s="255"/>
    </row>
    <row r="175" spans="2:34" s="198" customFormat="1" ht="14.1" hidden="1" customHeight="1">
      <c r="B175" s="199">
        <v>166</v>
      </c>
      <c r="C175" s="200"/>
      <c r="D175" s="200" t="s">
        <v>476</v>
      </c>
      <c r="E175" s="437" t="s">
        <v>168</v>
      </c>
      <c r="F175" s="200">
        <v>3</v>
      </c>
      <c r="G175" s="200">
        <v>2</v>
      </c>
      <c r="H175" s="201" t="s">
        <v>2513</v>
      </c>
      <c r="I175" s="201" t="s">
        <v>2514</v>
      </c>
      <c r="J175" s="201" t="s">
        <v>2515</v>
      </c>
      <c r="K175" s="201" t="s">
        <v>2523</v>
      </c>
      <c r="L175" s="201" t="s">
        <v>2519</v>
      </c>
      <c r="M175" s="233"/>
      <c r="N175" s="233">
        <v>499.6</v>
      </c>
      <c r="O175" s="438"/>
      <c r="P175" s="60"/>
      <c r="Q175" s="200"/>
      <c r="R175" s="200"/>
      <c r="S175" s="439" t="s">
        <v>109</v>
      </c>
      <c r="T175" s="200" t="s">
        <v>2123</v>
      </c>
      <c r="U175" s="209" t="s">
        <v>1059</v>
      </c>
      <c r="V175" s="252">
        <v>552000000</v>
      </c>
      <c r="W175" s="252">
        <v>552000000</v>
      </c>
      <c r="X175" s="200"/>
      <c r="Y175" s="209"/>
      <c r="Z175" s="209"/>
      <c r="AA175" s="209"/>
      <c r="AB175" s="200"/>
      <c r="AC175" s="209"/>
      <c r="AD175" s="209"/>
      <c r="AE175" s="209"/>
      <c r="AF175" s="209"/>
      <c r="AG175" s="440"/>
      <c r="AH175" s="255"/>
    </row>
    <row r="176" spans="2:34" s="198" customFormat="1" ht="14.1" hidden="1" customHeight="1">
      <c r="B176" s="199">
        <v>167</v>
      </c>
      <c r="C176" s="200"/>
      <c r="D176" s="200" t="s">
        <v>477</v>
      </c>
      <c r="E176" s="437" t="s">
        <v>148</v>
      </c>
      <c r="F176" s="200">
        <v>1</v>
      </c>
      <c r="G176" s="200">
        <v>1</v>
      </c>
      <c r="H176" s="201" t="s">
        <v>2107</v>
      </c>
      <c r="I176" s="201" t="s">
        <v>2422</v>
      </c>
      <c r="J176" s="201" t="s">
        <v>2423</v>
      </c>
      <c r="K176" s="201" t="s">
        <v>2524</v>
      </c>
      <c r="L176" s="201" t="s">
        <v>2525</v>
      </c>
      <c r="M176" s="233">
        <v>67289.600000000006</v>
      </c>
      <c r="N176" s="233">
        <v>126.489</v>
      </c>
      <c r="O176" s="438"/>
      <c r="P176" s="60"/>
      <c r="Q176" s="200" t="s">
        <v>2526</v>
      </c>
      <c r="R176" s="200"/>
      <c r="S176" s="303" t="s">
        <v>2527</v>
      </c>
      <c r="T176" s="200" t="s">
        <v>2123</v>
      </c>
      <c r="U176" s="209" t="s">
        <v>1059</v>
      </c>
      <c r="V176" s="252">
        <v>555600000</v>
      </c>
      <c r="W176" s="252">
        <v>555600000</v>
      </c>
      <c r="X176" s="200"/>
      <c r="Y176" s="209"/>
      <c r="Z176" s="209"/>
      <c r="AA176" s="209"/>
      <c r="AB176" s="200"/>
      <c r="AC176" s="209"/>
      <c r="AD176" s="209"/>
      <c r="AE176" s="209"/>
      <c r="AF176" s="209"/>
      <c r="AG176" s="440"/>
      <c r="AH176" s="255"/>
    </row>
    <row r="177" spans="2:34" s="198" customFormat="1" ht="14.1" hidden="1" customHeight="1">
      <c r="B177" s="199">
        <v>168</v>
      </c>
      <c r="C177" s="200"/>
      <c r="D177" s="200" t="s">
        <v>478</v>
      </c>
      <c r="E177" s="437" t="s">
        <v>109</v>
      </c>
      <c r="F177" s="200">
        <v>1</v>
      </c>
      <c r="G177" s="200">
        <v>1</v>
      </c>
      <c r="H177" s="201" t="s">
        <v>2107</v>
      </c>
      <c r="I177" s="201" t="s">
        <v>2528</v>
      </c>
      <c r="J177" s="201" t="s">
        <v>2529</v>
      </c>
      <c r="K177" s="201" t="s">
        <v>2530</v>
      </c>
      <c r="L177" s="201" t="s">
        <v>2531</v>
      </c>
      <c r="M177" s="233">
        <v>19016</v>
      </c>
      <c r="N177" s="233">
        <v>168.75</v>
      </c>
      <c r="O177" s="438"/>
      <c r="P177" s="60"/>
      <c r="Q177" s="200" t="s">
        <v>2532</v>
      </c>
      <c r="R177" s="200"/>
      <c r="S177" s="439" t="s">
        <v>109</v>
      </c>
      <c r="T177" s="200" t="s">
        <v>2118</v>
      </c>
      <c r="U177" s="209" t="s">
        <v>1059</v>
      </c>
      <c r="V177" s="252">
        <v>540000000</v>
      </c>
      <c r="W177" s="252">
        <v>540000000</v>
      </c>
      <c r="X177" s="200"/>
      <c r="Y177" s="209"/>
      <c r="Z177" s="209"/>
      <c r="AA177" s="209"/>
      <c r="AB177" s="200"/>
      <c r="AC177" s="209"/>
      <c r="AD177" s="209"/>
      <c r="AE177" s="209"/>
      <c r="AF177" s="209"/>
      <c r="AG177" s="440"/>
      <c r="AH177" s="255"/>
    </row>
    <row r="178" spans="2:34" s="198" customFormat="1" ht="14.1" hidden="1" customHeight="1">
      <c r="B178" s="199">
        <v>169</v>
      </c>
      <c r="C178" s="200"/>
      <c r="D178" s="200" t="s">
        <v>479</v>
      </c>
      <c r="E178" s="437" t="s">
        <v>109</v>
      </c>
      <c r="F178" s="200">
        <v>1</v>
      </c>
      <c r="G178" s="200">
        <v>1</v>
      </c>
      <c r="H178" s="201" t="s">
        <v>2107</v>
      </c>
      <c r="I178" s="201" t="s">
        <v>2126</v>
      </c>
      <c r="J178" s="201" t="s">
        <v>2127</v>
      </c>
      <c r="K178" s="201" t="s">
        <v>2533</v>
      </c>
      <c r="L178" s="201" t="s">
        <v>2128</v>
      </c>
      <c r="M178" s="233" t="s">
        <v>2129</v>
      </c>
      <c r="N178" s="233">
        <v>137.13939999999999</v>
      </c>
      <c r="O178" s="438"/>
      <c r="P178" s="60"/>
      <c r="Q178" s="200" t="s">
        <v>2129</v>
      </c>
      <c r="R178" s="200"/>
      <c r="S178" s="439" t="s">
        <v>109</v>
      </c>
      <c r="T178" s="200">
        <v>1</v>
      </c>
      <c r="U178" s="209" t="s">
        <v>1059</v>
      </c>
      <c r="V178" s="252">
        <v>533640000</v>
      </c>
      <c r="W178" s="252">
        <v>533640000</v>
      </c>
      <c r="X178" s="200"/>
      <c r="Y178" s="209"/>
      <c r="Z178" s="209"/>
      <c r="AA178" s="209"/>
      <c r="AB178" s="200"/>
      <c r="AC178" s="209"/>
      <c r="AD178" s="209"/>
      <c r="AE178" s="209"/>
      <c r="AF178" s="209"/>
      <c r="AG178" s="440"/>
      <c r="AH178" s="255"/>
    </row>
    <row r="179" spans="2:34" s="198" customFormat="1" ht="14.1" hidden="1" customHeight="1">
      <c r="B179" s="199">
        <v>170</v>
      </c>
      <c r="C179" s="200"/>
      <c r="D179" s="200" t="s">
        <v>480</v>
      </c>
      <c r="E179" s="437" t="s">
        <v>660</v>
      </c>
      <c r="F179" s="200">
        <v>1</v>
      </c>
      <c r="G179" s="200">
        <v>1</v>
      </c>
      <c r="H179" s="201" t="s">
        <v>2502</v>
      </c>
      <c r="I179" s="201" t="s">
        <v>2534</v>
      </c>
      <c r="J179" s="201" t="s">
        <v>2535</v>
      </c>
      <c r="K179" s="201" t="s">
        <v>2536</v>
      </c>
      <c r="L179" s="201" t="s">
        <v>2122</v>
      </c>
      <c r="M179" s="233">
        <v>909</v>
      </c>
      <c r="N179" s="233"/>
      <c r="O179" s="438"/>
      <c r="P179" s="60"/>
      <c r="Q179" s="200"/>
      <c r="R179" s="200"/>
      <c r="S179" s="439" t="s">
        <v>660</v>
      </c>
      <c r="T179" s="200">
        <v>1</v>
      </c>
      <c r="U179" s="209" t="s">
        <v>1059</v>
      </c>
      <c r="V179" s="252">
        <v>780000000</v>
      </c>
      <c r="W179" s="252">
        <v>780000000</v>
      </c>
      <c r="X179" s="200"/>
      <c r="Y179" s="209"/>
      <c r="Z179" s="209"/>
      <c r="AA179" s="209"/>
      <c r="AB179" s="200"/>
      <c r="AC179" s="209"/>
      <c r="AD179" s="209"/>
      <c r="AE179" s="209"/>
      <c r="AF179" s="209"/>
      <c r="AG179" s="440"/>
      <c r="AH179" s="255"/>
    </row>
    <row r="180" spans="2:34" s="198" customFormat="1" ht="14.1" hidden="1" customHeight="1">
      <c r="B180" s="199">
        <v>171</v>
      </c>
      <c r="C180" s="200"/>
      <c r="D180" s="200" t="s">
        <v>480</v>
      </c>
      <c r="E180" s="437" t="s">
        <v>660</v>
      </c>
      <c r="F180" s="200">
        <v>1</v>
      </c>
      <c r="G180" s="200">
        <v>2</v>
      </c>
      <c r="H180" s="201" t="s">
        <v>2502</v>
      </c>
      <c r="I180" s="201" t="s">
        <v>2534</v>
      </c>
      <c r="J180" s="201" t="s">
        <v>2535</v>
      </c>
      <c r="K180" s="201" t="s">
        <v>2537</v>
      </c>
      <c r="L180" s="201" t="s">
        <v>2538</v>
      </c>
      <c r="M180" s="233"/>
      <c r="N180" s="233">
        <v>1615.68</v>
      </c>
      <c r="O180" s="438"/>
      <c r="P180" s="60"/>
      <c r="Q180" s="200"/>
      <c r="R180" s="200"/>
      <c r="S180" s="439" t="s">
        <v>660</v>
      </c>
      <c r="T180" s="200">
        <v>1</v>
      </c>
      <c r="U180" s="209" t="s">
        <v>1059</v>
      </c>
      <c r="V180" s="252">
        <v>780000000</v>
      </c>
      <c r="W180" s="252">
        <v>780000000</v>
      </c>
      <c r="X180" s="200"/>
      <c r="Y180" s="209"/>
      <c r="Z180" s="209"/>
      <c r="AA180" s="209"/>
      <c r="AB180" s="200"/>
      <c r="AC180" s="209"/>
      <c r="AD180" s="209"/>
      <c r="AE180" s="209"/>
      <c r="AF180" s="209"/>
      <c r="AG180" s="440"/>
      <c r="AH180" s="255"/>
    </row>
    <row r="181" spans="2:34" s="198" customFormat="1" ht="14.1" hidden="1" customHeight="1">
      <c r="B181" s="199">
        <v>172</v>
      </c>
      <c r="C181" s="200"/>
      <c r="D181" s="200" t="s">
        <v>481</v>
      </c>
      <c r="E181" s="437" t="s">
        <v>109</v>
      </c>
      <c r="F181" s="200">
        <v>1</v>
      </c>
      <c r="G181" s="200">
        <v>1</v>
      </c>
      <c r="H181" s="201" t="s">
        <v>2107</v>
      </c>
      <c r="I181" s="201" t="s">
        <v>2422</v>
      </c>
      <c r="J181" s="201" t="s">
        <v>2423</v>
      </c>
      <c r="K181" s="201" t="s">
        <v>2539</v>
      </c>
      <c r="L181" s="201" t="s">
        <v>2540</v>
      </c>
      <c r="M181" s="233">
        <v>56002.2</v>
      </c>
      <c r="N181" s="233">
        <v>124.858</v>
      </c>
      <c r="O181" s="438"/>
      <c r="P181" s="60"/>
      <c r="Q181" s="200" t="s">
        <v>2541</v>
      </c>
      <c r="R181" s="200"/>
      <c r="S181" s="439" t="s">
        <v>109</v>
      </c>
      <c r="T181" s="200">
        <v>1</v>
      </c>
      <c r="U181" s="209" t="s">
        <v>1059</v>
      </c>
      <c r="V181" s="252">
        <v>534000000</v>
      </c>
      <c r="W181" s="252">
        <v>534000000</v>
      </c>
      <c r="X181" s="200"/>
      <c r="Y181" s="209"/>
      <c r="Z181" s="209"/>
      <c r="AA181" s="209"/>
      <c r="AB181" s="200"/>
      <c r="AC181" s="209"/>
      <c r="AD181" s="209"/>
      <c r="AE181" s="209"/>
      <c r="AF181" s="209"/>
      <c r="AG181" s="440"/>
      <c r="AH181" s="255"/>
    </row>
    <row r="182" spans="2:34" s="198" customFormat="1" ht="14.1" hidden="1" customHeight="1">
      <c r="B182" s="199">
        <v>173</v>
      </c>
      <c r="C182" s="200"/>
      <c r="D182" s="200" t="s">
        <v>482</v>
      </c>
      <c r="E182" s="437" t="s">
        <v>109</v>
      </c>
      <c r="F182" s="200">
        <v>1</v>
      </c>
      <c r="G182" s="200">
        <v>1</v>
      </c>
      <c r="H182" s="201" t="s">
        <v>2107</v>
      </c>
      <c r="I182" s="201" t="s">
        <v>2126</v>
      </c>
      <c r="J182" s="201" t="s">
        <v>2127</v>
      </c>
      <c r="K182" s="201" t="s">
        <v>2542</v>
      </c>
      <c r="L182" s="201" t="s">
        <v>2128</v>
      </c>
      <c r="M182" s="233" t="s">
        <v>2129</v>
      </c>
      <c r="N182" s="233">
        <v>134.89109999999999</v>
      </c>
      <c r="O182" s="438"/>
      <c r="P182" s="60"/>
      <c r="Q182" s="200" t="s">
        <v>2129</v>
      </c>
      <c r="R182" s="200"/>
      <c r="S182" s="439" t="s">
        <v>109</v>
      </c>
      <c r="T182" s="200">
        <v>1</v>
      </c>
      <c r="U182" s="209" t="s">
        <v>1059</v>
      </c>
      <c r="V182" s="252">
        <v>526680000</v>
      </c>
      <c r="W182" s="252">
        <v>526680000</v>
      </c>
      <c r="X182" s="200"/>
      <c r="Y182" s="209"/>
      <c r="Z182" s="209"/>
      <c r="AA182" s="209"/>
      <c r="AB182" s="200"/>
      <c r="AC182" s="209"/>
      <c r="AD182" s="209"/>
      <c r="AE182" s="209"/>
      <c r="AF182" s="209"/>
      <c r="AG182" s="440"/>
      <c r="AH182" s="255"/>
    </row>
    <row r="183" spans="2:34" s="198" customFormat="1" ht="14.1" hidden="1" customHeight="1">
      <c r="B183" s="199">
        <v>174</v>
      </c>
      <c r="C183" s="200"/>
      <c r="D183" s="200" t="s">
        <v>483</v>
      </c>
      <c r="E183" s="437" t="s">
        <v>661</v>
      </c>
      <c r="F183" s="200">
        <v>1</v>
      </c>
      <c r="G183" s="200">
        <v>1</v>
      </c>
      <c r="H183" s="201" t="s">
        <v>2107</v>
      </c>
      <c r="I183" s="201" t="s">
        <v>2543</v>
      </c>
      <c r="J183" s="201" t="s">
        <v>2544</v>
      </c>
      <c r="K183" s="201" t="s">
        <v>2545</v>
      </c>
      <c r="L183" s="201" t="s">
        <v>2546</v>
      </c>
      <c r="M183" s="233">
        <v>23885.5</v>
      </c>
      <c r="N183" s="233">
        <v>132.06399999999999</v>
      </c>
      <c r="O183" s="438"/>
      <c r="P183" s="60"/>
      <c r="Q183" s="200" t="s">
        <v>2547</v>
      </c>
      <c r="R183" s="200"/>
      <c r="S183" s="439" t="s">
        <v>661</v>
      </c>
      <c r="T183" s="200">
        <v>1</v>
      </c>
      <c r="U183" s="209" t="s">
        <v>1059</v>
      </c>
      <c r="V183" s="252">
        <v>518400000</v>
      </c>
      <c r="W183" s="252">
        <v>518400000</v>
      </c>
      <c r="X183" s="200"/>
      <c r="Y183" s="209"/>
      <c r="Z183" s="209"/>
      <c r="AA183" s="209"/>
      <c r="AB183" s="200"/>
      <c r="AC183" s="209"/>
      <c r="AD183" s="209"/>
      <c r="AE183" s="209"/>
      <c r="AF183" s="209"/>
      <c r="AG183" s="440"/>
      <c r="AH183" s="255"/>
    </row>
    <row r="184" spans="2:34" s="198" customFormat="1" ht="14.1" hidden="1" customHeight="1">
      <c r="B184" s="199">
        <v>175</v>
      </c>
      <c r="C184" s="200"/>
      <c r="D184" s="200" t="s">
        <v>484</v>
      </c>
      <c r="E184" s="437" t="s">
        <v>152</v>
      </c>
      <c r="F184" s="200">
        <v>1</v>
      </c>
      <c r="G184" s="200">
        <v>1</v>
      </c>
      <c r="H184" s="201" t="s">
        <v>2107</v>
      </c>
      <c r="I184" s="201" t="s">
        <v>2548</v>
      </c>
      <c r="J184" s="201" t="s">
        <v>2549</v>
      </c>
      <c r="K184" s="201" t="s">
        <v>2550</v>
      </c>
      <c r="L184" s="201" t="s">
        <v>2481</v>
      </c>
      <c r="M184" s="233">
        <v>22695.599999999999</v>
      </c>
      <c r="N184" s="233">
        <v>147.22</v>
      </c>
      <c r="O184" s="438"/>
      <c r="P184" s="60"/>
      <c r="Q184" s="200" t="s">
        <v>2551</v>
      </c>
      <c r="R184" s="200"/>
      <c r="S184" s="439" t="s">
        <v>152</v>
      </c>
      <c r="T184" s="200" t="s">
        <v>2123</v>
      </c>
      <c r="U184" s="209" t="s">
        <v>1059</v>
      </c>
      <c r="V184" s="252">
        <v>516000000</v>
      </c>
      <c r="W184" s="252">
        <v>516000000</v>
      </c>
      <c r="X184" s="200"/>
      <c r="Y184" s="209"/>
      <c r="Z184" s="209"/>
      <c r="AA184" s="209"/>
      <c r="AB184" s="200"/>
      <c r="AC184" s="209"/>
      <c r="AD184" s="209"/>
      <c r="AE184" s="209"/>
      <c r="AF184" s="209"/>
      <c r="AG184" s="440"/>
      <c r="AH184" s="255"/>
    </row>
    <row r="185" spans="2:34" s="198" customFormat="1" ht="14.1" hidden="1" customHeight="1">
      <c r="B185" s="199">
        <v>176</v>
      </c>
      <c r="C185" s="200"/>
      <c r="D185" s="200" t="s">
        <v>485</v>
      </c>
      <c r="E185" s="437" t="s">
        <v>202</v>
      </c>
      <c r="F185" s="200">
        <v>1</v>
      </c>
      <c r="G185" s="200">
        <v>1</v>
      </c>
      <c r="H185" s="201" t="s">
        <v>2119</v>
      </c>
      <c r="I185" s="201" t="s">
        <v>2326</v>
      </c>
      <c r="J185" s="201" t="s">
        <v>2552</v>
      </c>
      <c r="K185" s="201" t="s">
        <v>2553</v>
      </c>
      <c r="L185" s="201" t="s">
        <v>2554</v>
      </c>
      <c r="M185" s="233">
        <v>28231.3</v>
      </c>
      <c r="N185" s="233">
        <v>132.55600000000001</v>
      </c>
      <c r="O185" s="438"/>
      <c r="P185" s="60"/>
      <c r="Q185" s="200" t="s">
        <v>2555</v>
      </c>
      <c r="R185" s="200" t="s">
        <v>2511</v>
      </c>
      <c r="S185" s="303" t="s">
        <v>2556</v>
      </c>
      <c r="T185" s="200" t="s">
        <v>2118</v>
      </c>
      <c r="U185" s="209" t="s">
        <v>1059</v>
      </c>
      <c r="V185" s="252">
        <v>417600000</v>
      </c>
      <c r="W185" s="252">
        <v>417600000</v>
      </c>
      <c r="X185" s="200"/>
      <c r="Y185" s="209"/>
      <c r="Z185" s="209"/>
      <c r="AA185" s="209"/>
      <c r="AB185" s="200"/>
      <c r="AC185" s="209"/>
      <c r="AD185" s="209"/>
      <c r="AE185" s="209"/>
      <c r="AF185" s="209"/>
      <c r="AG185" s="440"/>
      <c r="AH185" s="255"/>
    </row>
    <row r="186" spans="2:34" s="198" customFormat="1" ht="14.1" hidden="1" customHeight="1">
      <c r="B186" s="199">
        <v>177</v>
      </c>
      <c r="C186" s="200"/>
      <c r="D186" s="200" t="s">
        <v>486</v>
      </c>
      <c r="E186" s="437" t="s">
        <v>183</v>
      </c>
      <c r="F186" s="200">
        <v>1</v>
      </c>
      <c r="G186" s="200">
        <v>1</v>
      </c>
      <c r="H186" s="201" t="s">
        <v>2107</v>
      </c>
      <c r="I186" s="201" t="s">
        <v>2528</v>
      </c>
      <c r="J186" s="201" t="s">
        <v>2557</v>
      </c>
      <c r="K186" s="201" t="s">
        <v>2558</v>
      </c>
      <c r="L186" s="201" t="s">
        <v>2559</v>
      </c>
      <c r="M186" s="233">
        <v>3489</v>
      </c>
      <c r="N186" s="233">
        <v>216.96</v>
      </c>
      <c r="O186" s="438"/>
      <c r="P186" s="60"/>
      <c r="Q186" s="200" t="s">
        <v>2560</v>
      </c>
      <c r="R186" s="200"/>
      <c r="S186" s="439" t="s">
        <v>183</v>
      </c>
      <c r="T186" s="200">
        <v>1</v>
      </c>
      <c r="U186" s="209" t="s">
        <v>1059</v>
      </c>
      <c r="V186" s="252">
        <v>546000000</v>
      </c>
      <c r="W186" s="252">
        <v>546000000</v>
      </c>
      <c r="X186" s="200"/>
      <c r="Y186" s="209"/>
      <c r="Z186" s="209"/>
      <c r="AA186" s="209"/>
      <c r="AB186" s="200"/>
      <c r="AC186" s="209"/>
      <c r="AD186" s="209"/>
      <c r="AE186" s="209"/>
      <c r="AF186" s="209"/>
      <c r="AG186" s="440"/>
      <c r="AH186" s="255"/>
    </row>
    <row r="187" spans="2:34" s="198" customFormat="1" ht="14.1" hidden="1" customHeight="1">
      <c r="B187" s="199">
        <v>178</v>
      </c>
      <c r="C187" s="200"/>
      <c r="D187" s="200" t="s">
        <v>487</v>
      </c>
      <c r="E187" s="437" t="s">
        <v>208</v>
      </c>
      <c r="F187" s="200">
        <v>1</v>
      </c>
      <c r="G187" s="200">
        <v>1</v>
      </c>
      <c r="H187" s="201" t="s">
        <v>2239</v>
      </c>
      <c r="I187" s="201" t="s">
        <v>2132</v>
      </c>
      <c r="J187" s="201" t="s">
        <v>2561</v>
      </c>
      <c r="K187" s="201" t="s">
        <v>2562</v>
      </c>
      <c r="L187" s="201" t="s">
        <v>2563</v>
      </c>
      <c r="M187" s="233">
        <v>712.7</v>
      </c>
      <c r="N187" s="233">
        <v>357.95</v>
      </c>
      <c r="O187" s="438"/>
      <c r="P187" s="60"/>
      <c r="Q187" s="200" t="s">
        <v>2564</v>
      </c>
      <c r="R187" s="200" t="s">
        <v>2511</v>
      </c>
      <c r="S187" s="303" t="s">
        <v>2565</v>
      </c>
      <c r="T187" s="200" t="s">
        <v>2123</v>
      </c>
      <c r="U187" s="209" t="s">
        <v>1059</v>
      </c>
      <c r="V187" s="252">
        <v>845000000</v>
      </c>
      <c r="W187" s="252">
        <v>845000000</v>
      </c>
      <c r="X187" s="200"/>
      <c r="Y187" s="209"/>
      <c r="Z187" s="209"/>
      <c r="AA187" s="209"/>
      <c r="AB187" s="200"/>
      <c r="AC187" s="209"/>
      <c r="AD187" s="209"/>
      <c r="AE187" s="209"/>
      <c r="AF187" s="209"/>
      <c r="AG187" s="440"/>
      <c r="AH187" s="255"/>
    </row>
    <row r="188" spans="2:34" s="198" customFormat="1" ht="14.1" hidden="1" customHeight="1">
      <c r="B188" s="199">
        <v>179</v>
      </c>
      <c r="C188" s="200"/>
      <c r="D188" s="200" t="s">
        <v>488</v>
      </c>
      <c r="E188" s="437" t="s">
        <v>662</v>
      </c>
      <c r="F188" s="200">
        <v>1</v>
      </c>
      <c r="G188" s="200">
        <v>1</v>
      </c>
      <c r="H188" s="201" t="s">
        <v>2107</v>
      </c>
      <c r="I188" s="201" t="s">
        <v>2566</v>
      </c>
      <c r="J188" s="201" t="s">
        <v>2567</v>
      </c>
      <c r="K188" s="201" t="s">
        <v>2568</v>
      </c>
      <c r="L188" s="201" t="s">
        <v>2569</v>
      </c>
      <c r="M188" s="233">
        <v>2585.4</v>
      </c>
      <c r="N188" s="233">
        <v>237.6</v>
      </c>
      <c r="O188" s="438"/>
      <c r="P188" s="60"/>
      <c r="Q188" s="200" t="s">
        <v>2570</v>
      </c>
      <c r="R188" s="200"/>
      <c r="S188" s="439" t="s">
        <v>662</v>
      </c>
      <c r="T188" s="200">
        <v>1</v>
      </c>
      <c r="U188" s="209" t="s">
        <v>1059</v>
      </c>
      <c r="V188" s="252">
        <v>420000000</v>
      </c>
      <c r="W188" s="252">
        <v>420000000</v>
      </c>
      <c r="X188" s="200"/>
      <c r="Y188" s="209"/>
      <c r="Z188" s="209"/>
      <c r="AA188" s="209"/>
      <c r="AB188" s="200"/>
      <c r="AC188" s="209"/>
      <c r="AD188" s="209"/>
      <c r="AE188" s="209"/>
      <c r="AF188" s="209"/>
      <c r="AG188" s="440"/>
      <c r="AH188" s="255"/>
    </row>
    <row r="189" spans="2:34" s="198" customFormat="1" ht="14.1" hidden="1" customHeight="1">
      <c r="B189" s="199">
        <v>180</v>
      </c>
      <c r="C189" s="200"/>
      <c r="D189" s="200" t="s">
        <v>489</v>
      </c>
      <c r="E189" s="437" t="s">
        <v>130</v>
      </c>
      <c r="F189" s="200">
        <v>1</v>
      </c>
      <c r="G189" s="200">
        <v>1</v>
      </c>
      <c r="H189" s="201" t="s">
        <v>2279</v>
      </c>
      <c r="I189" s="201" t="s">
        <v>2571</v>
      </c>
      <c r="J189" s="201" t="s">
        <v>2572</v>
      </c>
      <c r="K189" s="201" t="s">
        <v>2573</v>
      </c>
      <c r="L189" s="201" t="s">
        <v>2574</v>
      </c>
      <c r="M189" s="233">
        <v>67991.399999999994</v>
      </c>
      <c r="N189" s="233">
        <v>99.126000000000005</v>
      </c>
      <c r="O189" s="438"/>
      <c r="P189" s="60"/>
      <c r="Q189" s="200" t="s">
        <v>2575</v>
      </c>
      <c r="R189" s="200"/>
      <c r="S189" s="439" t="s">
        <v>130</v>
      </c>
      <c r="T189" s="200">
        <v>1</v>
      </c>
      <c r="U189" s="209" t="s">
        <v>1059</v>
      </c>
      <c r="V189" s="252">
        <v>280080000</v>
      </c>
      <c r="W189" s="252">
        <v>280080000</v>
      </c>
      <c r="X189" s="200"/>
      <c r="Y189" s="209"/>
      <c r="Z189" s="209"/>
      <c r="AA189" s="209"/>
      <c r="AB189" s="200"/>
      <c r="AC189" s="209"/>
      <c r="AD189" s="209"/>
      <c r="AE189" s="209"/>
      <c r="AF189" s="209"/>
      <c r="AG189" s="440"/>
      <c r="AH189" s="255"/>
    </row>
    <row r="190" spans="2:34" s="198" customFormat="1" ht="14.1" hidden="1" customHeight="1">
      <c r="B190" s="199">
        <v>181</v>
      </c>
      <c r="C190" s="200"/>
      <c r="D190" s="200" t="s">
        <v>490</v>
      </c>
      <c r="E190" s="437" t="s">
        <v>152</v>
      </c>
      <c r="F190" s="200">
        <v>1</v>
      </c>
      <c r="G190" s="200">
        <v>1</v>
      </c>
      <c r="H190" s="201" t="s">
        <v>2107</v>
      </c>
      <c r="I190" s="201" t="s">
        <v>2576</v>
      </c>
      <c r="J190" s="201" t="s">
        <v>2577</v>
      </c>
      <c r="K190" s="201" t="s">
        <v>2578</v>
      </c>
      <c r="L190" s="201" t="s">
        <v>2579</v>
      </c>
      <c r="M190" s="233">
        <v>14742.2</v>
      </c>
      <c r="N190" s="233">
        <v>135.15119999999999</v>
      </c>
      <c r="O190" s="438"/>
      <c r="P190" s="60"/>
      <c r="Q190" s="200" t="s">
        <v>2580</v>
      </c>
      <c r="R190" s="200"/>
      <c r="S190" s="439" t="s">
        <v>152</v>
      </c>
      <c r="T190" s="200">
        <v>1</v>
      </c>
      <c r="U190" s="209" t="s">
        <v>1059</v>
      </c>
      <c r="V190" s="252">
        <v>522000000</v>
      </c>
      <c r="W190" s="252">
        <v>522000000</v>
      </c>
      <c r="X190" s="200"/>
      <c r="Y190" s="209"/>
      <c r="Z190" s="209"/>
      <c r="AA190" s="209"/>
      <c r="AB190" s="200"/>
      <c r="AC190" s="209"/>
      <c r="AD190" s="209"/>
      <c r="AE190" s="209"/>
      <c r="AF190" s="209"/>
      <c r="AG190" s="440"/>
      <c r="AH190" s="255"/>
    </row>
    <row r="191" spans="2:34" s="198" customFormat="1" ht="14.1" hidden="1" customHeight="1">
      <c r="B191" s="199">
        <v>182</v>
      </c>
      <c r="C191" s="200"/>
      <c r="D191" s="200" t="s">
        <v>491</v>
      </c>
      <c r="E191" s="437" t="s">
        <v>152</v>
      </c>
      <c r="F191" s="200">
        <v>1</v>
      </c>
      <c r="G191" s="200">
        <v>1</v>
      </c>
      <c r="H191" s="201" t="s">
        <v>2107</v>
      </c>
      <c r="I191" s="201" t="s">
        <v>2126</v>
      </c>
      <c r="J191" s="201" t="s">
        <v>2127</v>
      </c>
      <c r="K191" s="201" t="s">
        <v>2581</v>
      </c>
      <c r="L191" s="201" t="s">
        <v>2128</v>
      </c>
      <c r="M191" s="233" t="s">
        <v>2129</v>
      </c>
      <c r="N191" s="233">
        <v>130.0652</v>
      </c>
      <c r="O191" s="438"/>
      <c r="P191" s="60"/>
      <c r="Q191" s="200" t="s">
        <v>2129</v>
      </c>
      <c r="R191" s="200"/>
      <c r="S191" s="439" t="s">
        <v>152</v>
      </c>
      <c r="T191" s="200">
        <v>1</v>
      </c>
      <c r="U191" s="209" t="s">
        <v>1059</v>
      </c>
      <c r="V191" s="252">
        <v>428400000</v>
      </c>
      <c r="W191" s="252">
        <v>428400000</v>
      </c>
      <c r="X191" s="200"/>
      <c r="Y191" s="209"/>
      <c r="Z191" s="209"/>
      <c r="AA191" s="209"/>
      <c r="AB191" s="200"/>
      <c r="AC191" s="209"/>
      <c r="AD191" s="209"/>
      <c r="AE191" s="209"/>
      <c r="AF191" s="209"/>
      <c r="AG191" s="440"/>
      <c r="AH191" s="255"/>
    </row>
    <row r="192" spans="2:34" s="198" customFormat="1" ht="14.1" hidden="1" customHeight="1">
      <c r="B192" s="199">
        <v>183</v>
      </c>
      <c r="C192" s="200"/>
      <c r="D192" s="200" t="s">
        <v>492</v>
      </c>
      <c r="E192" s="437" t="s">
        <v>663</v>
      </c>
      <c r="F192" s="200">
        <v>1</v>
      </c>
      <c r="G192" s="200">
        <v>1</v>
      </c>
      <c r="H192" s="201" t="s">
        <v>2107</v>
      </c>
      <c r="I192" s="201" t="s">
        <v>2582</v>
      </c>
      <c r="J192" s="201" t="s">
        <v>2583</v>
      </c>
      <c r="K192" s="201" t="s">
        <v>2584</v>
      </c>
      <c r="L192" s="201" t="s">
        <v>2420</v>
      </c>
      <c r="M192" s="233">
        <v>41863.4</v>
      </c>
      <c r="N192" s="233">
        <v>134.66999999999999</v>
      </c>
      <c r="O192" s="438"/>
      <c r="P192" s="60"/>
      <c r="Q192" s="200" t="s">
        <v>2585</v>
      </c>
      <c r="R192" s="200"/>
      <c r="S192" s="439" t="s">
        <v>663</v>
      </c>
      <c r="T192" s="200" t="s">
        <v>2123</v>
      </c>
      <c r="U192" s="209" t="s">
        <v>1059</v>
      </c>
      <c r="V192" s="252">
        <v>396000000</v>
      </c>
      <c r="W192" s="252">
        <v>396000000</v>
      </c>
      <c r="X192" s="200"/>
      <c r="Y192" s="209"/>
      <c r="Z192" s="209"/>
      <c r="AA192" s="209"/>
      <c r="AB192" s="200"/>
      <c r="AC192" s="209"/>
      <c r="AD192" s="209"/>
      <c r="AE192" s="209"/>
      <c r="AF192" s="209"/>
      <c r="AG192" s="440"/>
      <c r="AH192" s="255"/>
    </row>
    <row r="193" spans="2:34" s="198" customFormat="1" ht="14.1" hidden="1" customHeight="1">
      <c r="B193" s="199">
        <v>184</v>
      </c>
      <c r="C193" s="200"/>
      <c r="D193" s="200" t="s">
        <v>493</v>
      </c>
      <c r="E193" s="437" t="s">
        <v>214</v>
      </c>
      <c r="F193" s="200">
        <v>1</v>
      </c>
      <c r="G193" s="200">
        <v>1</v>
      </c>
      <c r="H193" s="201" t="s">
        <v>2107</v>
      </c>
      <c r="I193" s="201" t="s">
        <v>2359</v>
      </c>
      <c r="J193" s="201" t="s">
        <v>2586</v>
      </c>
      <c r="K193" s="201" t="s">
        <v>2587</v>
      </c>
      <c r="L193" s="201" t="s">
        <v>2588</v>
      </c>
      <c r="M193" s="233">
        <v>979</v>
      </c>
      <c r="N193" s="233"/>
      <c r="O193" s="438"/>
      <c r="P193" s="60"/>
      <c r="Q193" s="200"/>
      <c r="R193" s="200"/>
      <c r="S193" s="439" t="s">
        <v>214</v>
      </c>
      <c r="T193" s="200" t="s">
        <v>2123</v>
      </c>
      <c r="U193" s="209" t="s">
        <v>1059</v>
      </c>
      <c r="V193" s="252">
        <v>455000000</v>
      </c>
      <c r="W193" s="252">
        <v>455000000</v>
      </c>
      <c r="X193" s="200"/>
      <c r="Y193" s="209"/>
      <c r="Z193" s="209"/>
      <c r="AA193" s="209"/>
      <c r="AB193" s="200"/>
      <c r="AC193" s="209"/>
      <c r="AD193" s="209"/>
      <c r="AE193" s="209"/>
      <c r="AF193" s="209"/>
      <c r="AG193" s="440"/>
      <c r="AH193" s="255"/>
    </row>
    <row r="194" spans="2:34" s="198" customFormat="1" ht="14.1" hidden="1" customHeight="1">
      <c r="B194" s="199">
        <v>185</v>
      </c>
      <c r="C194" s="200"/>
      <c r="D194" s="200" t="s">
        <v>493</v>
      </c>
      <c r="E194" s="437" t="s">
        <v>214</v>
      </c>
      <c r="F194" s="200">
        <v>1</v>
      </c>
      <c r="G194" s="200">
        <v>2</v>
      </c>
      <c r="H194" s="201" t="s">
        <v>2107</v>
      </c>
      <c r="I194" s="201" t="s">
        <v>2359</v>
      </c>
      <c r="J194" s="201" t="s">
        <v>2586</v>
      </c>
      <c r="K194" s="201" t="s">
        <v>2589</v>
      </c>
      <c r="L194" s="201" t="s">
        <v>2590</v>
      </c>
      <c r="M194" s="233"/>
      <c r="N194" s="233">
        <v>120.73</v>
      </c>
      <c r="O194" s="438">
        <v>5</v>
      </c>
      <c r="P194" s="60"/>
      <c r="Q194" s="200"/>
      <c r="R194" s="200"/>
      <c r="S194" s="439" t="s">
        <v>214</v>
      </c>
      <c r="T194" s="200" t="s">
        <v>2123</v>
      </c>
      <c r="U194" s="209" t="s">
        <v>1059</v>
      </c>
      <c r="V194" s="252">
        <v>455000000</v>
      </c>
      <c r="W194" s="252">
        <v>455000000</v>
      </c>
      <c r="X194" s="200"/>
      <c r="Y194" s="209"/>
      <c r="Z194" s="209"/>
      <c r="AA194" s="209"/>
      <c r="AB194" s="200"/>
      <c r="AC194" s="209"/>
      <c r="AD194" s="209"/>
      <c r="AE194" s="209"/>
      <c r="AF194" s="209"/>
      <c r="AG194" s="440"/>
      <c r="AH194" s="255"/>
    </row>
    <row r="195" spans="2:34" s="198" customFormat="1" ht="14.1" hidden="1" customHeight="1">
      <c r="B195" s="199">
        <v>186</v>
      </c>
      <c r="C195" s="200"/>
      <c r="D195" s="200" t="s">
        <v>494</v>
      </c>
      <c r="E195" s="437" t="s">
        <v>109</v>
      </c>
      <c r="F195" s="200">
        <v>1</v>
      </c>
      <c r="G195" s="200">
        <v>1</v>
      </c>
      <c r="H195" s="201" t="s">
        <v>2107</v>
      </c>
      <c r="I195" s="201" t="s">
        <v>2126</v>
      </c>
      <c r="J195" s="201" t="s">
        <v>2127</v>
      </c>
      <c r="K195" s="201" t="s">
        <v>2591</v>
      </c>
      <c r="L195" s="201" t="s">
        <v>2128</v>
      </c>
      <c r="M195" s="233" t="s">
        <v>2129</v>
      </c>
      <c r="N195" s="233">
        <v>123.2561</v>
      </c>
      <c r="O195" s="438"/>
      <c r="P195" s="60"/>
      <c r="Q195" s="200" t="s">
        <v>2129</v>
      </c>
      <c r="R195" s="200"/>
      <c r="S195" s="439" t="s">
        <v>109</v>
      </c>
      <c r="T195" s="200">
        <v>1</v>
      </c>
      <c r="U195" s="209" t="s">
        <v>1059</v>
      </c>
      <c r="V195" s="252">
        <v>417600000</v>
      </c>
      <c r="W195" s="252">
        <v>417600000</v>
      </c>
      <c r="X195" s="200"/>
      <c r="Y195" s="209"/>
      <c r="Z195" s="209"/>
      <c r="AA195" s="209"/>
      <c r="AB195" s="200"/>
      <c r="AC195" s="209"/>
      <c r="AD195" s="209"/>
      <c r="AE195" s="209"/>
      <c r="AF195" s="209"/>
      <c r="AG195" s="440"/>
      <c r="AH195" s="255"/>
    </row>
    <row r="196" spans="2:34" s="198" customFormat="1" ht="14.1" hidden="1" customHeight="1">
      <c r="B196" s="199">
        <v>187</v>
      </c>
      <c r="C196" s="200"/>
      <c r="D196" s="200" t="s">
        <v>495</v>
      </c>
      <c r="E196" s="437" t="s">
        <v>109</v>
      </c>
      <c r="F196" s="200">
        <v>1</v>
      </c>
      <c r="G196" s="200">
        <v>1</v>
      </c>
      <c r="H196" s="201" t="s">
        <v>2107</v>
      </c>
      <c r="I196" s="201" t="s">
        <v>2592</v>
      </c>
      <c r="J196" s="201" t="s">
        <v>2593</v>
      </c>
      <c r="K196" s="201" t="s">
        <v>2594</v>
      </c>
      <c r="L196" s="201" t="s">
        <v>2531</v>
      </c>
      <c r="M196" s="233">
        <v>50654.1</v>
      </c>
      <c r="N196" s="233">
        <v>127.785</v>
      </c>
      <c r="O196" s="438"/>
      <c r="P196" s="60"/>
      <c r="Q196" s="200" t="s">
        <v>2595</v>
      </c>
      <c r="R196" s="200"/>
      <c r="S196" s="439" t="s">
        <v>109</v>
      </c>
      <c r="T196" s="200" t="s">
        <v>2195</v>
      </c>
      <c r="U196" s="209" t="s">
        <v>1059</v>
      </c>
      <c r="V196" s="252">
        <v>393600000</v>
      </c>
      <c r="W196" s="252">
        <v>393600000</v>
      </c>
      <c r="X196" s="200"/>
      <c r="Y196" s="209"/>
      <c r="Z196" s="209"/>
      <c r="AA196" s="209"/>
      <c r="AB196" s="200"/>
      <c r="AC196" s="209"/>
      <c r="AD196" s="209"/>
      <c r="AE196" s="209"/>
      <c r="AF196" s="209"/>
      <c r="AG196" s="440"/>
      <c r="AH196" s="255"/>
    </row>
    <row r="197" spans="2:34" s="198" customFormat="1" ht="14.1" hidden="1" customHeight="1">
      <c r="B197" s="199">
        <v>188</v>
      </c>
      <c r="C197" s="200"/>
      <c r="D197" s="200" t="s">
        <v>496</v>
      </c>
      <c r="E197" s="437" t="s">
        <v>194</v>
      </c>
      <c r="F197" s="200">
        <v>1</v>
      </c>
      <c r="G197" s="200">
        <v>1</v>
      </c>
      <c r="H197" s="201" t="s">
        <v>2107</v>
      </c>
      <c r="I197" s="201" t="s">
        <v>2422</v>
      </c>
      <c r="J197" s="201" t="s">
        <v>2596</v>
      </c>
      <c r="K197" s="201" t="s">
        <v>2597</v>
      </c>
      <c r="L197" s="201" t="s">
        <v>2598</v>
      </c>
      <c r="M197" s="233">
        <v>583</v>
      </c>
      <c r="N197" s="233">
        <v>58.1</v>
      </c>
      <c r="O197" s="438"/>
      <c r="P197" s="60"/>
      <c r="Q197" s="200" t="s">
        <v>2599</v>
      </c>
      <c r="R197" s="200"/>
      <c r="S197" s="439" t="s">
        <v>194</v>
      </c>
      <c r="T197" s="200">
        <v>1</v>
      </c>
      <c r="U197" s="209" t="s">
        <v>1059</v>
      </c>
      <c r="V197" s="252">
        <v>379200000</v>
      </c>
      <c r="W197" s="252">
        <v>379200000</v>
      </c>
      <c r="X197" s="200"/>
      <c r="Y197" s="209"/>
      <c r="Z197" s="209"/>
      <c r="AA197" s="209"/>
      <c r="AB197" s="200"/>
      <c r="AC197" s="209"/>
      <c r="AD197" s="209"/>
      <c r="AE197" s="209"/>
      <c r="AF197" s="209"/>
      <c r="AG197" s="440"/>
      <c r="AH197" s="255"/>
    </row>
    <row r="198" spans="2:34" s="198" customFormat="1" ht="14.1" hidden="1" customHeight="1">
      <c r="B198" s="199">
        <v>189</v>
      </c>
      <c r="C198" s="200"/>
      <c r="D198" s="200" t="s">
        <v>496</v>
      </c>
      <c r="E198" s="437" t="s">
        <v>194</v>
      </c>
      <c r="F198" s="200">
        <v>1</v>
      </c>
      <c r="G198" s="200">
        <v>2</v>
      </c>
      <c r="H198" s="201" t="s">
        <v>2107</v>
      </c>
      <c r="I198" s="201" t="s">
        <v>2422</v>
      </c>
      <c r="J198" s="201" t="s">
        <v>2596</v>
      </c>
      <c r="K198" s="201" t="s">
        <v>2600</v>
      </c>
      <c r="L198" s="201" t="s">
        <v>2598</v>
      </c>
      <c r="M198" s="233">
        <v>583</v>
      </c>
      <c r="N198" s="233">
        <v>96.42</v>
      </c>
      <c r="O198" s="438"/>
      <c r="P198" s="60"/>
      <c r="Q198" s="200" t="s">
        <v>2601</v>
      </c>
      <c r="R198" s="200"/>
      <c r="S198" s="439" t="s">
        <v>194</v>
      </c>
      <c r="T198" s="200">
        <v>1</v>
      </c>
      <c r="U198" s="209" t="s">
        <v>1059</v>
      </c>
      <c r="V198" s="252">
        <v>379200000</v>
      </c>
      <c r="W198" s="252">
        <v>379200000</v>
      </c>
      <c r="X198" s="200"/>
      <c r="Y198" s="209"/>
      <c r="Z198" s="209"/>
      <c r="AA198" s="209"/>
      <c r="AB198" s="200"/>
      <c r="AC198" s="209"/>
      <c r="AD198" s="209"/>
      <c r="AE198" s="209"/>
      <c r="AF198" s="209"/>
      <c r="AG198" s="440"/>
      <c r="AH198" s="255"/>
    </row>
    <row r="199" spans="2:34" s="198" customFormat="1" ht="14.1" hidden="1" customHeight="1">
      <c r="B199" s="199">
        <v>190</v>
      </c>
      <c r="C199" s="200"/>
      <c r="D199" s="200" t="s">
        <v>496</v>
      </c>
      <c r="E199" s="437" t="s">
        <v>194</v>
      </c>
      <c r="F199" s="200">
        <v>1</v>
      </c>
      <c r="G199" s="200">
        <v>3</v>
      </c>
      <c r="H199" s="201" t="s">
        <v>2107</v>
      </c>
      <c r="I199" s="201" t="s">
        <v>2422</v>
      </c>
      <c r="J199" s="201" t="s">
        <v>2596</v>
      </c>
      <c r="K199" s="201" t="s">
        <v>2602</v>
      </c>
      <c r="L199" s="201" t="s">
        <v>2598</v>
      </c>
      <c r="M199" s="233">
        <v>583</v>
      </c>
      <c r="N199" s="233">
        <v>86.25</v>
      </c>
      <c r="O199" s="438"/>
      <c r="P199" s="60"/>
      <c r="Q199" s="200" t="s">
        <v>2603</v>
      </c>
      <c r="R199" s="200"/>
      <c r="S199" s="439" t="s">
        <v>194</v>
      </c>
      <c r="T199" s="200">
        <v>1</v>
      </c>
      <c r="U199" s="209" t="s">
        <v>1059</v>
      </c>
      <c r="V199" s="252">
        <v>379200000</v>
      </c>
      <c r="W199" s="252">
        <v>379200000</v>
      </c>
      <c r="X199" s="200"/>
      <c r="Y199" s="209"/>
      <c r="Z199" s="209"/>
      <c r="AA199" s="209"/>
      <c r="AB199" s="200"/>
      <c r="AC199" s="209"/>
      <c r="AD199" s="209"/>
      <c r="AE199" s="209"/>
      <c r="AF199" s="209"/>
      <c r="AG199" s="440"/>
      <c r="AH199" s="255"/>
    </row>
    <row r="200" spans="2:34" s="198" customFormat="1" ht="14.1" hidden="1" customHeight="1">
      <c r="B200" s="199">
        <v>191</v>
      </c>
      <c r="C200" s="200"/>
      <c r="D200" s="200" t="s">
        <v>497</v>
      </c>
      <c r="E200" s="437" t="s">
        <v>175</v>
      </c>
      <c r="F200" s="200">
        <v>1</v>
      </c>
      <c r="G200" s="200">
        <v>1</v>
      </c>
      <c r="H200" s="201" t="s">
        <v>2138</v>
      </c>
      <c r="I200" s="201" t="s">
        <v>2604</v>
      </c>
      <c r="J200" s="201" t="s">
        <v>2605</v>
      </c>
      <c r="K200" s="201" t="s">
        <v>2606</v>
      </c>
      <c r="L200" s="201" t="s">
        <v>2607</v>
      </c>
      <c r="M200" s="233">
        <v>826</v>
      </c>
      <c r="N200" s="233">
        <v>168.72</v>
      </c>
      <c r="O200" s="438"/>
      <c r="P200" s="60"/>
      <c r="Q200" s="200" t="s">
        <v>2608</v>
      </c>
      <c r="R200" s="200" t="s">
        <v>2130</v>
      </c>
      <c r="S200" s="303" t="s">
        <v>2609</v>
      </c>
      <c r="T200" s="200" t="s">
        <v>2117</v>
      </c>
      <c r="U200" s="209" t="s">
        <v>1059</v>
      </c>
      <c r="V200" s="252">
        <v>351000000</v>
      </c>
      <c r="W200" s="252">
        <v>351000000</v>
      </c>
      <c r="X200" s="200"/>
      <c r="Y200" s="209"/>
      <c r="Z200" s="209"/>
      <c r="AA200" s="209"/>
      <c r="AB200" s="200">
        <v>1</v>
      </c>
      <c r="AC200" s="209" t="s">
        <v>1059</v>
      </c>
      <c r="AD200" s="209">
        <v>240000000</v>
      </c>
      <c r="AE200" s="209">
        <v>240000000</v>
      </c>
      <c r="AF200" s="209"/>
      <c r="AG200" s="440"/>
      <c r="AH200" s="255"/>
    </row>
    <row r="201" spans="2:34" s="198" customFormat="1" ht="14.1" hidden="1" customHeight="1">
      <c r="B201" s="199">
        <v>192</v>
      </c>
      <c r="C201" s="200"/>
      <c r="D201" s="200" t="s">
        <v>497</v>
      </c>
      <c r="E201" s="437" t="s">
        <v>175</v>
      </c>
      <c r="F201" s="200">
        <v>2</v>
      </c>
      <c r="G201" s="200">
        <v>1</v>
      </c>
      <c r="H201" s="201" t="s">
        <v>2138</v>
      </c>
      <c r="I201" s="201" t="s">
        <v>2604</v>
      </c>
      <c r="J201" s="201" t="s">
        <v>2605</v>
      </c>
      <c r="K201" s="201" t="s">
        <v>2610</v>
      </c>
      <c r="L201" s="201" t="s">
        <v>2607</v>
      </c>
      <c r="M201" s="233">
        <v>826</v>
      </c>
      <c r="N201" s="233">
        <v>87</v>
      </c>
      <c r="O201" s="438"/>
      <c r="P201" s="60"/>
      <c r="Q201" s="200" t="s">
        <v>2611</v>
      </c>
      <c r="R201" s="200"/>
      <c r="S201" s="303" t="s">
        <v>2320</v>
      </c>
      <c r="T201" s="200">
        <v>1</v>
      </c>
      <c r="U201" s="209" t="s">
        <v>1059</v>
      </c>
      <c r="V201" s="252">
        <v>144000000</v>
      </c>
      <c r="W201" s="252">
        <v>144000000</v>
      </c>
      <c r="X201" s="200"/>
      <c r="Y201" s="209"/>
      <c r="Z201" s="209"/>
      <c r="AA201" s="209"/>
      <c r="AB201" s="200"/>
      <c r="AC201" s="209"/>
      <c r="AD201" s="209"/>
      <c r="AE201" s="209"/>
      <c r="AF201" s="209"/>
      <c r="AG201" s="440"/>
      <c r="AH201" s="255"/>
    </row>
    <row r="202" spans="2:34" s="198" customFormat="1" ht="14.1" hidden="1" customHeight="1">
      <c r="B202" s="199">
        <v>193</v>
      </c>
      <c r="C202" s="200"/>
      <c r="D202" s="200" t="s">
        <v>498</v>
      </c>
      <c r="E202" s="437" t="s">
        <v>183</v>
      </c>
      <c r="F202" s="200">
        <v>1</v>
      </c>
      <c r="G202" s="200">
        <v>1</v>
      </c>
      <c r="H202" s="201" t="s">
        <v>2107</v>
      </c>
      <c r="I202" s="201" t="s">
        <v>2612</v>
      </c>
      <c r="J202" s="201" t="s">
        <v>2613</v>
      </c>
      <c r="K202" s="201" t="s">
        <v>2614</v>
      </c>
      <c r="L202" s="201" t="s">
        <v>2394</v>
      </c>
      <c r="M202" s="233">
        <v>1147</v>
      </c>
      <c r="N202" s="233">
        <v>59.95</v>
      </c>
      <c r="O202" s="438"/>
      <c r="P202" s="60"/>
      <c r="Q202" s="200" t="s">
        <v>2615</v>
      </c>
      <c r="R202" s="200"/>
      <c r="S202" s="303" t="s">
        <v>2320</v>
      </c>
      <c r="T202" s="200">
        <v>1</v>
      </c>
      <c r="U202" s="209" t="s">
        <v>1059</v>
      </c>
      <c r="V202" s="252">
        <v>97500000</v>
      </c>
      <c r="W202" s="252">
        <v>97500000</v>
      </c>
      <c r="X202" s="200"/>
      <c r="Y202" s="209"/>
      <c r="Z202" s="209"/>
      <c r="AA202" s="209"/>
      <c r="AB202" s="200"/>
      <c r="AC202" s="209"/>
      <c r="AD202" s="209"/>
      <c r="AE202" s="209"/>
      <c r="AF202" s="209"/>
      <c r="AG202" s="440"/>
      <c r="AH202" s="255"/>
    </row>
    <row r="203" spans="2:34" s="198" customFormat="1" ht="14.1" hidden="1" customHeight="1">
      <c r="B203" s="199">
        <v>194</v>
      </c>
      <c r="C203" s="200"/>
      <c r="D203" s="200" t="s">
        <v>498</v>
      </c>
      <c r="E203" s="437" t="s">
        <v>183</v>
      </c>
      <c r="F203" s="200">
        <v>2</v>
      </c>
      <c r="G203" s="200">
        <v>1</v>
      </c>
      <c r="H203" s="201" t="s">
        <v>2107</v>
      </c>
      <c r="I203" s="201" t="s">
        <v>2612</v>
      </c>
      <c r="J203" s="201" t="s">
        <v>2613</v>
      </c>
      <c r="K203" s="201" t="s">
        <v>2616</v>
      </c>
      <c r="L203" s="201" t="s">
        <v>2394</v>
      </c>
      <c r="M203" s="233">
        <v>1147</v>
      </c>
      <c r="N203" s="233">
        <v>59.95</v>
      </c>
      <c r="O203" s="438"/>
      <c r="P203" s="60"/>
      <c r="Q203" s="200" t="s">
        <v>2615</v>
      </c>
      <c r="R203" s="200"/>
      <c r="S203" s="303" t="s">
        <v>2320</v>
      </c>
      <c r="T203" s="200">
        <v>1</v>
      </c>
      <c r="U203" s="209" t="s">
        <v>1059</v>
      </c>
      <c r="V203" s="252">
        <v>97500000</v>
      </c>
      <c r="W203" s="252">
        <v>97500000</v>
      </c>
      <c r="X203" s="200"/>
      <c r="Y203" s="209"/>
      <c r="Z203" s="209"/>
      <c r="AA203" s="209"/>
      <c r="AB203" s="200"/>
      <c r="AC203" s="209"/>
      <c r="AD203" s="209"/>
      <c r="AE203" s="209"/>
      <c r="AF203" s="209"/>
      <c r="AG203" s="440"/>
      <c r="AH203" s="255"/>
    </row>
    <row r="204" spans="2:34" s="198" customFormat="1" ht="14.1" hidden="1" customHeight="1">
      <c r="B204" s="199">
        <v>195</v>
      </c>
      <c r="C204" s="200"/>
      <c r="D204" s="200" t="s">
        <v>498</v>
      </c>
      <c r="E204" s="437" t="s">
        <v>183</v>
      </c>
      <c r="F204" s="200">
        <v>3</v>
      </c>
      <c r="G204" s="200">
        <v>1</v>
      </c>
      <c r="H204" s="201" t="s">
        <v>2107</v>
      </c>
      <c r="I204" s="201" t="s">
        <v>2612</v>
      </c>
      <c r="J204" s="201" t="s">
        <v>2613</v>
      </c>
      <c r="K204" s="201" t="s">
        <v>2617</v>
      </c>
      <c r="L204" s="201" t="s">
        <v>2394</v>
      </c>
      <c r="M204" s="233">
        <v>1147</v>
      </c>
      <c r="N204" s="233">
        <v>59.95</v>
      </c>
      <c r="O204" s="438"/>
      <c r="P204" s="60"/>
      <c r="Q204" s="200" t="s">
        <v>2615</v>
      </c>
      <c r="R204" s="200"/>
      <c r="S204" s="439" t="s">
        <v>183</v>
      </c>
      <c r="T204" s="200">
        <v>1</v>
      </c>
      <c r="U204" s="209" t="s">
        <v>1059</v>
      </c>
      <c r="V204" s="252">
        <v>97500000</v>
      </c>
      <c r="W204" s="252">
        <v>97500000</v>
      </c>
      <c r="X204" s="200"/>
      <c r="Y204" s="209"/>
      <c r="Z204" s="209"/>
      <c r="AA204" s="209"/>
      <c r="AB204" s="200"/>
      <c r="AC204" s="209"/>
      <c r="AD204" s="209"/>
      <c r="AE204" s="209"/>
      <c r="AF204" s="209"/>
      <c r="AG204" s="440"/>
      <c r="AH204" s="255"/>
    </row>
    <row r="205" spans="2:34" s="198" customFormat="1" ht="14.1" hidden="1" customHeight="1">
      <c r="B205" s="199">
        <v>196</v>
      </c>
      <c r="C205" s="200"/>
      <c r="D205" s="200" t="s">
        <v>498</v>
      </c>
      <c r="E205" s="437" t="s">
        <v>183</v>
      </c>
      <c r="F205" s="200">
        <v>4</v>
      </c>
      <c r="G205" s="200">
        <v>1</v>
      </c>
      <c r="H205" s="201" t="s">
        <v>2107</v>
      </c>
      <c r="I205" s="201" t="s">
        <v>2612</v>
      </c>
      <c r="J205" s="201" t="s">
        <v>2613</v>
      </c>
      <c r="K205" s="201" t="s">
        <v>2618</v>
      </c>
      <c r="L205" s="201" t="s">
        <v>2394</v>
      </c>
      <c r="M205" s="233">
        <v>1147</v>
      </c>
      <c r="N205" s="233">
        <v>57.54</v>
      </c>
      <c r="O205" s="438"/>
      <c r="P205" s="60"/>
      <c r="Q205" s="200" t="s">
        <v>2619</v>
      </c>
      <c r="R205" s="200"/>
      <c r="S205" s="303" t="s">
        <v>2620</v>
      </c>
      <c r="T205" s="200">
        <v>1</v>
      </c>
      <c r="U205" s="209" t="s">
        <v>1059</v>
      </c>
      <c r="V205" s="252">
        <v>97500000</v>
      </c>
      <c r="W205" s="252">
        <v>97500000</v>
      </c>
      <c r="X205" s="200"/>
      <c r="Y205" s="209"/>
      <c r="Z205" s="209"/>
      <c r="AA205" s="209"/>
      <c r="AB205" s="200"/>
      <c r="AC205" s="209"/>
      <c r="AD205" s="209"/>
      <c r="AE205" s="209"/>
      <c r="AF205" s="209"/>
      <c r="AG205" s="440"/>
      <c r="AH205" s="255"/>
    </row>
    <row r="206" spans="2:34" s="198" customFormat="1" ht="14.1" hidden="1" customHeight="1">
      <c r="B206" s="199">
        <v>197</v>
      </c>
      <c r="C206" s="200"/>
      <c r="D206" s="200" t="s">
        <v>499</v>
      </c>
      <c r="E206" s="437" t="s">
        <v>109</v>
      </c>
      <c r="F206" s="200">
        <v>1</v>
      </c>
      <c r="G206" s="200">
        <v>1</v>
      </c>
      <c r="H206" s="201" t="s">
        <v>2107</v>
      </c>
      <c r="I206" s="201" t="s">
        <v>2108</v>
      </c>
      <c r="J206" s="201" t="s">
        <v>2621</v>
      </c>
      <c r="K206" s="201" t="s">
        <v>2622</v>
      </c>
      <c r="L206" s="201" t="s">
        <v>2115</v>
      </c>
      <c r="M206" s="233">
        <v>500</v>
      </c>
      <c r="N206" s="233"/>
      <c r="O206" s="438"/>
      <c r="P206" s="60"/>
      <c r="Q206" s="200"/>
      <c r="R206" s="200"/>
      <c r="S206" s="439" t="s">
        <v>109</v>
      </c>
      <c r="T206" s="200" t="s">
        <v>2123</v>
      </c>
      <c r="U206" s="209" t="s">
        <v>1059</v>
      </c>
      <c r="V206" s="252">
        <v>384000000</v>
      </c>
      <c r="W206" s="252">
        <v>384000000</v>
      </c>
      <c r="X206" s="200"/>
      <c r="Y206" s="209"/>
      <c r="Z206" s="209"/>
      <c r="AA206" s="209"/>
      <c r="AB206" s="200"/>
      <c r="AC206" s="209"/>
      <c r="AD206" s="209"/>
      <c r="AE206" s="209"/>
      <c r="AF206" s="209"/>
      <c r="AG206" s="440"/>
      <c r="AH206" s="255"/>
    </row>
    <row r="207" spans="2:34" s="198" customFormat="1" ht="14.1" hidden="1" customHeight="1">
      <c r="B207" s="199">
        <v>198</v>
      </c>
      <c r="C207" s="200"/>
      <c r="D207" s="200" t="s">
        <v>500</v>
      </c>
      <c r="E207" s="437" t="s">
        <v>130</v>
      </c>
      <c r="F207" s="200">
        <v>1</v>
      </c>
      <c r="G207" s="200">
        <v>1</v>
      </c>
      <c r="H207" s="201" t="s">
        <v>2107</v>
      </c>
      <c r="I207" s="201" t="s">
        <v>2422</v>
      </c>
      <c r="J207" s="201" t="s">
        <v>2623</v>
      </c>
      <c r="K207" s="201" t="s">
        <v>2624</v>
      </c>
      <c r="L207" s="201" t="s">
        <v>2525</v>
      </c>
      <c r="M207" s="233">
        <v>6557</v>
      </c>
      <c r="N207" s="233">
        <v>120.1587</v>
      </c>
      <c r="O207" s="438"/>
      <c r="P207" s="60"/>
      <c r="Q207" s="200" t="s">
        <v>2625</v>
      </c>
      <c r="R207" s="200"/>
      <c r="S207" s="439" t="s">
        <v>130</v>
      </c>
      <c r="T207" s="200" t="s">
        <v>2111</v>
      </c>
      <c r="U207" s="209" t="s">
        <v>1059</v>
      </c>
      <c r="V207" s="252">
        <v>414000000</v>
      </c>
      <c r="W207" s="252">
        <v>414000000</v>
      </c>
      <c r="X207" s="200"/>
      <c r="Y207" s="209"/>
      <c r="Z207" s="209"/>
      <c r="AA207" s="209"/>
      <c r="AB207" s="200"/>
      <c r="AC207" s="209"/>
      <c r="AD207" s="209"/>
      <c r="AE207" s="209"/>
      <c r="AF207" s="209"/>
      <c r="AG207" s="440"/>
      <c r="AH207" s="255"/>
    </row>
    <row r="208" spans="2:34" s="198" customFormat="1" ht="14.1" hidden="1" customHeight="1">
      <c r="B208" s="199">
        <v>199</v>
      </c>
      <c r="C208" s="200"/>
      <c r="D208" s="200" t="s">
        <v>501</v>
      </c>
      <c r="E208" s="437" t="s">
        <v>664</v>
      </c>
      <c r="F208" s="200">
        <v>1</v>
      </c>
      <c r="G208" s="200">
        <v>1</v>
      </c>
      <c r="H208" s="201" t="s">
        <v>2107</v>
      </c>
      <c r="I208" s="201" t="s">
        <v>2126</v>
      </c>
      <c r="J208" s="201" t="s">
        <v>2626</v>
      </c>
      <c r="K208" s="201" t="s">
        <v>2627</v>
      </c>
      <c r="L208" s="201" t="s">
        <v>2628</v>
      </c>
      <c r="M208" s="233">
        <v>47364.3</v>
      </c>
      <c r="N208" s="233">
        <v>111</v>
      </c>
      <c r="O208" s="438"/>
      <c r="P208" s="60"/>
      <c r="Q208" s="200" t="s">
        <v>2629</v>
      </c>
      <c r="R208" s="200"/>
      <c r="S208" s="439" t="s">
        <v>664</v>
      </c>
      <c r="T208" s="200">
        <v>1</v>
      </c>
      <c r="U208" s="209" t="s">
        <v>1059</v>
      </c>
      <c r="V208" s="252">
        <v>384000000</v>
      </c>
      <c r="W208" s="252">
        <v>384000000</v>
      </c>
      <c r="X208" s="200"/>
      <c r="Y208" s="209"/>
      <c r="Z208" s="209"/>
      <c r="AA208" s="209"/>
      <c r="AB208" s="200"/>
      <c r="AC208" s="209"/>
      <c r="AD208" s="209"/>
      <c r="AE208" s="209"/>
      <c r="AF208" s="209"/>
      <c r="AG208" s="440"/>
      <c r="AH208" s="255"/>
    </row>
    <row r="209" spans="2:34" s="198" customFormat="1" ht="14.1" hidden="1" customHeight="1">
      <c r="B209" s="199">
        <v>200</v>
      </c>
      <c r="C209" s="200"/>
      <c r="D209" s="200" t="s">
        <v>502</v>
      </c>
      <c r="E209" s="437" t="s">
        <v>109</v>
      </c>
      <c r="F209" s="200">
        <v>1</v>
      </c>
      <c r="G209" s="200">
        <v>1</v>
      </c>
      <c r="H209" s="201" t="s">
        <v>2107</v>
      </c>
      <c r="I209" s="201" t="s">
        <v>2108</v>
      </c>
      <c r="J209" s="201" t="s">
        <v>2630</v>
      </c>
      <c r="K209" s="201" t="s">
        <v>2631</v>
      </c>
      <c r="L209" s="201" t="s">
        <v>2632</v>
      </c>
      <c r="M209" s="233" t="s">
        <v>2129</v>
      </c>
      <c r="N209" s="233">
        <v>119.45780000000001</v>
      </c>
      <c r="O209" s="438"/>
      <c r="P209" s="60"/>
      <c r="Q209" s="200" t="s">
        <v>2129</v>
      </c>
      <c r="R209" s="200"/>
      <c r="S209" s="439" t="s">
        <v>109</v>
      </c>
      <c r="T209" s="200">
        <v>1</v>
      </c>
      <c r="U209" s="208" t="s">
        <v>1059</v>
      </c>
      <c r="V209" s="252">
        <v>360000000</v>
      </c>
      <c r="W209" s="209">
        <v>360000000</v>
      </c>
      <c r="X209" s="200"/>
      <c r="Y209" s="209"/>
      <c r="Z209" s="209"/>
      <c r="AA209" s="209"/>
      <c r="AB209" s="200"/>
      <c r="AC209" s="209"/>
      <c r="AD209" s="209"/>
      <c r="AE209" s="209"/>
      <c r="AF209" s="209"/>
      <c r="AG209" s="440"/>
      <c r="AH209" s="255"/>
    </row>
    <row r="210" spans="2:34" s="198" customFormat="1" ht="14.1" hidden="1" customHeight="1">
      <c r="B210" s="199">
        <v>201</v>
      </c>
      <c r="C210" s="200"/>
      <c r="D210" s="200" t="s">
        <v>503</v>
      </c>
      <c r="E210" s="437" t="s">
        <v>661</v>
      </c>
      <c r="F210" s="200">
        <v>1</v>
      </c>
      <c r="G210" s="200">
        <v>1</v>
      </c>
      <c r="H210" s="201" t="s">
        <v>2107</v>
      </c>
      <c r="I210" s="201" t="s">
        <v>2592</v>
      </c>
      <c r="J210" s="201" t="s">
        <v>2633</v>
      </c>
      <c r="K210" s="201" t="s">
        <v>2634</v>
      </c>
      <c r="L210" s="201" t="s">
        <v>2420</v>
      </c>
      <c r="M210" s="233">
        <v>84007.4</v>
      </c>
      <c r="N210" s="233">
        <v>122.79</v>
      </c>
      <c r="O210" s="438"/>
      <c r="P210" s="60"/>
      <c r="Q210" s="441" t="s">
        <v>2635</v>
      </c>
      <c r="R210" s="200"/>
      <c r="S210" s="439" t="s">
        <v>661</v>
      </c>
      <c r="T210" s="200">
        <v>1</v>
      </c>
      <c r="U210" s="208" t="s">
        <v>1059</v>
      </c>
      <c r="V210" s="252">
        <v>360000000</v>
      </c>
      <c r="W210" s="209">
        <v>360000000</v>
      </c>
      <c r="X210" s="200"/>
      <c r="Y210" s="209"/>
      <c r="Z210" s="209"/>
      <c r="AA210" s="209"/>
      <c r="AB210" s="200"/>
      <c r="AC210" s="209"/>
      <c r="AD210" s="209"/>
      <c r="AE210" s="209"/>
      <c r="AF210" s="209"/>
      <c r="AG210" s="440"/>
      <c r="AH210" s="255"/>
    </row>
    <row r="211" spans="2:34" s="198" customFormat="1" ht="14.1" hidden="1" customHeight="1">
      <c r="B211" s="199">
        <v>202</v>
      </c>
      <c r="C211" s="200"/>
      <c r="D211" s="200" t="s">
        <v>504</v>
      </c>
      <c r="E211" s="437" t="s">
        <v>152</v>
      </c>
      <c r="F211" s="200">
        <v>1</v>
      </c>
      <c r="G211" s="200">
        <v>1</v>
      </c>
      <c r="H211" s="201" t="s">
        <v>2279</v>
      </c>
      <c r="I211" s="201" t="s">
        <v>2571</v>
      </c>
      <c r="J211" s="201" t="s">
        <v>2572</v>
      </c>
      <c r="K211" s="201" t="s">
        <v>2636</v>
      </c>
      <c r="L211" s="201" t="s">
        <v>2637</v>
      </c>
      <c r="M211" s="233">
        <v>67991.399999999994</v>
      </c>
      <c r="N211" s="233">
        <v>124.816</v>
      </c>
      <c r="O211" s="438"/>
      <c r="P211" s="60"/>
      <c r="Q211" s="441" t="s">
        <v>2638</v>
      </c>
      <c r="R211" s="200"/>
      <c r="S211" s="439" t="s">
        <v>152</v>
      </c>
      <c r="T211" s="200">
        <v>1</v>
      </c>
      <c r="U211" s="208" t="s">
        <v>1059</v>
      </c>
      <c r="V211" s="252">
        <v>358800000</v>
      </c>
      <c r="W211" s="252">
        <v>358800000</v>
      </c>
      <c r="X211" s="200"/>
      <c r="Y211" s="209"/>
      <c r="Z211" s="209"/>
      <c r="AA211" s="209"/>
      <c r="AB211" s="200"/>
      <c r="AC211" s="209"/>
      <c r="AD211" s="209"/>
      <c r="AE211" s="209"/>
      <c r="AF211" s="209"/>
      <c r="AG211" s="440"/>
      <c r="AH211" s="255"/>
    </row>
    <row r="212" spans="2:34" s="198" customFormat="1" ht="14.1" hidden="1" customHeight="1">
      <c r="B212" s="199">
        <v>203</v>
      </c>
      <c r="C212" s="200"/>
      <c r="D212" s="200" t="s">
        <v>505</v>
      </c>
      <c r="E212" s="437" t="s">
        <v>152</v>
      </c>
      <c r="F212" s="200">
        <v>1</v>
      </c>
      <c r="G212" s="200">
        <v>1</v>
      </c>
      <c r="H212" s="201" t="s">
        <v>2107</v>
      </c>
      <c r="I212" s="201" t="s">
        <v>2592</v>
      </c>
      <c r="J212" s="201" t="s">
        <v>2639</v>
      </c>
      <c r="K212" s="201" t="s">
        <v>2640</v>
      </c>
      <c r="L212" s="201" t="s">
        <v>2490</v>
      </c>
      <c r="M212" s="233">
        <v>32002</v>
      </c>
      <c r="N212" s="233">
        <v>116.92400000000001</v>
      </c>
      <c r="O212" s="438"/>
      <c r="P212" s="60"/>
      <c r="Q212" s="200" t="s">
        <v>2641</v>
      </c>
      <c r="R212" s="200"/>
      <c r="S212" s="439" t="s">
        <v>152</v>
      </c>
      <c r="T212" s="200">
        <v>1</v>
      </c>
      <c r="U212" s="208" t="s">
        <v>1059</v>
      </c>
      <c r="V212" s="252">
        <v>352800000</v>
      </c>
      <c r="W212" s="252">
        <v>352800000</v>
      </c>
      <c r="X212" s="200"/>
      <c r="Y212" s="209"/>
      <c r="Z212" s="209"/>
      <c r="AA212" s="209"/>
      <c r="AB212" s="200"/>
      <c r="AC212" s="209"/>
      <c r="AD212" s="209"/>
      <c r="AE212" s="209"/>
      <c r="AF212" s="209"/>
      <c r="AG212" s="440"/>
      <c r="AH212" s="255"/>
    </row>
    <row r="213" spans="2:34" s="198" customFormat="1" ht="14.1" hidden="1" customHeight="1">
      <c r="B213" s="199">
        <v>204</v>
      </c>
      <c r="C213" s="200"/>
      <c r="D213" s="200" t="s">
        <v>506</v>
      </c>
      <c r="E213" s="437" t="s">
        <v>157</v>
      </c>
      <c r="F213" s="200">
        <v>1</v>
      </c>
      <c r="G213" s="200">
        <v>1</v>
      </c>
      <c r="H213" s="201" t="s">
        <v>2107</v>
      </c>
      <c r="I213" s="201" t="s">
        <v>2417</v>
      </c>
      <c r="J213" s="201" t="s">
        <v>2642</v>
      </c>
      <c r="K213" s="201" t="s">
        <v>2643</v>
      </c>
      <c r="L213" s="201" t="s">
        <v>2644</v>
      </c>
      <c r="M213" s="233">
        <v>53513</v>
      </c>
      <c r="N213" s="233">
        <v>124.06</v>
      </c>
      <c r="O213" s="438"/>
      <c r="P213" s="60"/>
      <c r="Q213" s="441" t="s">
        <v>2645</v>
      </c>
      <c r="R213" s="200"/>
      <c r="S213" s="439" t="s">
        <v>157</v>
      </c>
      <c r="T213" s="200">
        <v>1</v>
      </c>
      <c r="U213" s="208" t="s">
        <v>1059</v>
      </c>
      <c r="V213" s="252">
        <v>333000000</v>
      </c>
      <c r="W213" s="252">
        <v>333000000</v>
      </c>
      <c r="X213" s="200"/>
      <c r="Y213" s="209"/>
      <c r="Z213" s="209"/>
      <c r="AA213" s="209"/>
      <c r="AB213" s="200"/>
      <c r="AC213" s="209"/>
      <c r="AD213" s="209"/>
      <c r="AE213" s="209"/>
      <c r="AF213" s="209"/>
      <c r="AG213" s="440"/>
      <c r="AH213" s="255"/>
    </row>
    <row r="214" spans="2:34" s="198" customFormat="1" ht="14.1" hidden="1" customHeight="1">
      <c r="B214" s="199">
        <v>205</v>
      </c>
      <c r="C214" s="200"/>
      <c r="D214" s="200" t="s">
        <v>507</v>
      </c>
      <c r="E214" s="437" t="s">
        <v>168</v>
      </c>
      <c r="F214" s="200">
        <v>1</v>
      </c>
      <c r="G214" s="200">
        <v>1</v>
      </c>
      <c r="H214" s="201" t="s">
        <v>2107</v>
      </c>
      <c r="I214" s="201" t="s">
        <v>2528</v>
      </c>
      <c r="J214" s="201" t="s">
        <v>2646</v>
      </c>
      <c r="K214" s="201" t="s">
        <v>2647</v>
      </c>
      <c r="L214" s="201" t="s">
        <v>2648</v>
      </c>
      <c r="M214" s="233">
        <v>37616.9</v>
      </c>
      <c r="N214" s="233">
        <v>101.31100000000001</v>
      </c>
      <c r="O214" s="438"/>
      <c r="P214" s="60"/>
      <c r="Q214" s="441" t="s">
        <v>2649</v>
      </c>
      <c r="R214" s="200"/>
      <c r="S214" s="439" t="s">
        <v>168</v>
      </c>
      <c r="T214" s="200">
        <v>1</v>
      </c>
      <c r="U214" s="208" t="s">
        <v>1059</v>
      </c>
      <c r="V214" s="252">
        <v>332400000</v>
      </c>
      <c r="W214" s="252">
        <v>332400000</v>
      </c>
      <c r="X214" s="200"/>
      <c r="Y214" s="209"/>
      <c r="Z214" s="209"/>
      <c r="AA214" s="209"/>
      <c r="AB214" s="200"/>
      <c r="AC214" s="209"/>
      <c r="AD214" s="209"/>
      <c r="AE214" s="209"/>
      <c r="AF214" s="209"/>
      <c r="AG214" s="440"/>
      <c r="AH214" s="255"/>
    </row>
    <row r="215" spans="2:34" s="198" customFormat="1" ht="14.1" hidden="1" customHeight="1">
      <c r="B215" s="199">
        <v>206</v>
      </c>
      <c r="C215" s="200"/>
      <c r="D215" s="200" t="s">
        <v>508</v>
      </c>
      <c r="E215" s="437" t="s">
        <v>211</v>
      </c>
      <c r="F215" s="200">
        <v>1</v>
      </c>
      <c r="G215" s="200">
        <v>1</v>
      </c>
      <c r="H215" s="201" t="s">
        <v>2107</v>
      </c>
      <c r="I215" s="201" t="s">
        <v>2417</v>
      </c>
      <c r="J215" s="201" t="s">
        <v>2650</v>
      </c>
      <c r="K215" s="201" t="s">
        <v>2651</v>
      </c>
      <c r="L215" s="201" t="s">
        <v>2652</v>
      </c>
      <c r="M215" s="233" t="s">
        <v>2129</v>
      </c>
      <c r="N215" s="233">
        <v>84.989800000000002</v>
      </c>
      <c r="O215" s="438"/>
      <c r="P215" s="60"/>
      <c r="Q215" s="200" t="s">
        <v>2129</v>
      </c>
      <c r="R215" s="200"/>
      <c r="S215" s="439" t="s">
        <v>211</v>
      </c>
      <c r="T215" s="200">
        <v>1</v>
      </c>
      <c r="U215" s="208" t="s">
        <v>1059</v>
      </c>
      <c r="V215" s="252">
        <v>330000000</v>
      </c>
      <c r="W215" s="252">
        <v>330000000</v>
      </c>
      <c r="X215" s="200"/>
      <c r="Y215" s="209"/>
      <c r="Z215" s="209"/>
      <c r="AA215" s="209"/>
      <c r="AB215" s="200"/>
      <c r="AC215" s="209"/>
      <c r="AD215" s="209"/>
      <c r="AE215" s="209"/>
      <c r="AF215" s="209"/>
      <c r="AG215" s="440"/>
      <c r="AH215" s="255"/>
    </row>
    <row r="216" spans="2:34" s="198" customFormat="1" ht="14.1" hidden="1" customHeight="1">
      <c r="B216" s="199">
        <v>207</v>
      </c>
      <c r="C216" s="200"/>
      <c r="D216" s="200" t="s">
        <v>509</v>
      </c>
      <c r="E216" s="437" t="s">
        <v>130</v>
      </c>
      <c r="F216" s="200">
        <v>1</v>
      </c>
      <c r="G216" s="200">
        <v>1</v>
      </c>
      <c r="H216" s="201" t="s">
        <v>2107</v>
      </c>
      <c r="I216" s="201" t="s">
        <v>2126</v>
      </c>
      <c r="J216" s="201" t="s">
        <v>2653</v>
      </c>
      <c r="K216" s="201" t="s">
        <v>2654</v>
      </c>
      <c r="L216" s="201" t="s">
        <v>2655</v>
      </c>
      <c r="M216" s="233">
        <v>8622</v>
      </c>
      <c r="N216" s="233">
        <v>175.5</v>
      </c>
      <c r="O216" s="438"/>
      <c r="P216" s="60"/>
      <c r="Q216" s="441" t="s">
        <v>2656</v>
      </c>
      <c r="R216" s="200"/>
      <c r="S216" s="439" t="s">
        <v>130</v>
      </c>
      <c r="T216" s="200">
        <v>1</v>
      </c>
      <c r="U216" s="208" t="s">
        <v>1059</v>
      </c>
      <c r="V216" s="252">
        <v>310800000</v>
      </c>
      <c r="W216" s="252">
        <v>310800000</v>
      </c>
      <c r="X216" s="200"/>
      <c r="Y216" s="209"/>
      <c r="Z216" s="209"/>
      <c r="AA216" s="209"/>
      <c r="AB216" s="200"/>
      <c r="AC216" s="209"/>
      <c r="AD216" s="209"/>
      <c r="AE216" s="209"/>
      <c r="AF216" s="209"/>
      <c r="AG216" s="440"/>
      <c r="AH216" s="255"/>
    </row>
    <row r="217" spans="2:34" s="198" customFormat="1" ht="14.1" hidden="1" customHeight="1">
      <c r="B217" s="199">
        <v>208</v>
      </c>
      <c r="C217" s="200"/>
      <c r="D217" s="200" t="s">
        <v>510</v>
      </c>
      <c r="E217" s="437" t="s">
        <v>130</v>
      </c>
      <c r="F217" s="200">
        <v>1</v>
      </c>
      <c r="G217" s="200">
        <v>1</v>
      </c>
      <c r="H217" s="201" t="s">
        <v>2107</v>
      </c>
      <c r="I217" s="201" t="s">
        <v>2657</v>
      </c>
      <c r="J217" s="201" t="s">
        <v>2658</v>
      </c>
      <c r="K217" s="201" t="s">
        <v>2659</v>
      </c>
      <c r="L217" s="201" t="s">
        <v>2660</v>
      </c>
      <c r="M217" s="233">
        <v>24814.6</v>
      </c>
      <c r="N217" s="233">
        <v>115.61</v>
      </c>
      <c r="O217" s="438"/>
      <c r="P217" s="60"/>
      <c r="Q217" s="441" t="s">
        <v>2661</v>
      </c>
      <c r="R217" s="200" t="s">
        <v>2511</v>
      </c>
      <c r="S217" s="303" t="s">
        <v>2662</v>
      </c>
      <c r="T217" s="200">
        <v>1</v>
      </c>
      <c r="U217" s="208" t="s">
        <v>1059</v>
      </c>
      <c r="V217" s="252">
        <v>298200000</v>
      </c>
      <c r="W217" s="252">
        <v>298200000</v>
      </c>
      <c r="X217" s="200"/>
      <c r="Y217" s="209"/>
      <c r="Z217" s="209"/>
      <c r="AA217" s="209"/>
      <c r="AB217" s="200"/>
      <c r="AC217" s="209"/>
      <c r="AD217" s="209"/>
      <c r="AE217" s="209"/>
      <c r="AF217" s="209"/>
      <c r="AG217" s="440"/>
      <c r="AH217" s="255"/>
    </row>
    <row r="218" spans="2:34" s="198" customFormat="1" ht="14.1" hidden="1" customHeight="1">
      <c r="B218" s="199">
        <v>209</v>
      </c>
      <c r="C218" s="200"/>
      <c r="D218" s="200" t="s">
        <v>511</v>
      </c>
      <c r="E218" s="437" t="s">
        <v>665</v>
      </c>
      <c r="F218" s="200">
        <v>1</v>
      </c>
      <c r="G218" s="200">
        <v>1</v>
      </c>
      <c r="H218" s="201" t="s">
        <v>2107</v>
      </c>
      <c r="I218" s="201" t="s">
        <v>2663</v>
      </c>
      <c r="J218" s="201" t="s">
        <v>2664</v>
      </c>
      <c r="K218" s="201" t="s">
        <v>2665</v>
      </c>
      <c r="L218" s="201" t="s">
        <v>2456</v>
      </c>
      <c r="M218" s="233">
        <v>46230</v>
      </c>
      <c r="N218" s="233">
        <v>123.97</v>
      </c>
      <c r="O218" s="438"/>
      <c r="P218" s="60"/>
      <c r="Q218" s="441" t="s">
        <v>2666</v>
      </c>
      <c r="R218" s="200"/>
      <c r="S218" s="439" t="s">
        <v>665</v>
      </c>
      <c r="T218" s="200">
        <v>1</v>
      </c>
      <c r="U218" s="208" t="s">
        <v>1059</v>
      </c>
      <c r="V218" s="252">
        <v>298920000</v>
      </c>
      <c r="W218" s="252">
        <v>298920000</v>
      </c>
      <c r="X218" s="200"/>
      <c r="Y218" s="209"/>
      <c r="Z218" s="209"/>
      <c r="AA218" s="209"/>
      <c r="AB218" s="200"/>
      <c r="AC218" s="209"/>
      <c r="AD218" s="209"/>
      <c r="AE218" s="209"/>
      <c r="AF218" s="209"/>
      <c r="AG218" s="440"/>
      <c r="AH218" s="255"/>
    </row>
    <row r="219" spans="2:34" s="198" customFormat="1" ht="14.1" hidden="1" customHeight="1">
      <c r="B219" s="199">
        <v>210</v>
      </c>
      <c r="C219" s="200"/>
      <c r="D219" s="200" t="s">
        <v>512</v>
      </c>
      <c r="E219" s="437" t="s">
        <v>152</v>
      </c>
      <c r="F219" s="200">
        <v>1</v>
      </c>
      <c r="G219" s="200">
        <v>1</v>
      </c>
      <c r="H219" s="201" t="s">
        <v>2107</v>
      </c>
      <c r="I219" s="201" t="s">
        <v>2592</v>
      </c>
      <c r="J219" s="201" t="s">
        <v>2667</v>
      </c>
      <c r="K219" s="201" t="s">
        <v>2668</v>
      </c>
      <c r="L219" s="201" t="s">
        <v>2669</v>
      </c>
      <c r="M219" s="233">
        <v>172101.8</v>
      </c>
      <c r="N219" s="233">
        <v>120.82</v>
      </c>
      <c r="O219" s="438"/>
      <c r="P219" s="60"/>
      <c r="Q219" s="441" t="s">
        <v>2670</v>
      </c>
      <c r="R219" s="200"/>
      <c r="S219" s="439" t="s">
        <v>152</v>
      </c>
      <c r="T219" s="200">
        <v>1</v>
      </c>
      <c r="U219" s="208" t="s">
        <v>1059</v>
      </c>
      <c r="V219" s="252">
        <v>300000000</v>
      </c>
      <c r="W219" s="209">
        <v>300000000</v>
      </c>
      <c r="X219" s="200"/>
      <c r="Y219" s="209"/>
      <c r="Z219" s="209"/>
      <c r="AA219" s="209"/>
      <c r="AB219" s="200"/>
      <c r="AC219" s="209"/>
      <c r="AD219" s="209"/>
      <c r="AE219" s="209"/>
      <c r="AF219" s="209"/>
      <c r="AG219" s="440"/>
      <c r="AH219" s="255"/>
    </row>
    <row r="220" spans="2:34" s="198" customFormat="1" ht="14.1" hidden="1" customHeight="1">
      <c r="B220" s="199">
        <v>211</v>
      </c>
      <c r="C220" s="200"/>
      <c r="D220" s="200" t="s">
        <v>513</v>
      </c>
      <c r="E220" s="437" t="s">
        <v>152</v>
      </c>
      <c r="F220" s="200">
        <v>1</v>
      </c>
      <c r="G220" s="200">
        <v>1</v>
      </c>
      <c r="H220" s="201" t="s">
        <v>2107</v>
      </c>
      <c r="I220" s="201" t="s">
        <v>2671</v>
      </c>
      <c r="J220" s="201" t="s">
        <v>2672</v>
      </c>
      <c r="K220" s="201" t="s">
        <v>2673</v>
      </c>
      <c r="L220" s="201" t="s">
        <v>2525</v>
      </c>
      <c r="M220" s="233">
        <v>26460</v>
      </c>
      <c r="N220" s="233">
        <v>84.644999999999996</v>
      </c>
      <c r="O220" s="438"/>
      <c r="P220" s="60"/>
      <c r="Q220" s="200" t="s">
        <v>2674</v>
      </c>
      <c r="R220" s="200"/>
      <c r="S220" s="439" t="s">
        <v>152</v>
      </c>
      <c r="T220" s="200" t="s">
        <v>2123</v>
      </c>
      <c r="U220" s="208" t="s">
        <v>1059</v>
      </c>
      <c r="V220" s="252">
        <v>192600000</v>
      </c>
      <c r="W220" s="252">
        <v>192600000</v>
      </c>
      <c r="X220" s="200"/>
      <c r="Y220" s="209"/>
      <c r="Z220" s="209"/>
      <c r="AA220" s="209"/>
      <c r="AB220" s="200"/>
      <c r="AC220" s="209"/>
      <c r="AD220" s="209"/>
      <c r="AE220" s="209"/>
      <c r="AF220" s="209"/>
      <c r="AG220" s="440"/>
      <c r="AH220" s="255"/>
    </row>
    <row r="221" spans="2:34" s="198" customFormat="1" ht="14.1" hidden="1" customHeight="1">
      <c r="B221" s="199">
        <v>212</v>
      </c>
      <c r="C221" s="200"/>
      <c r="D221" s="200" t="s">
        <v>514</v>
      </c>
      <c r="E221" s="437" t="s">
        <v>666</v>
      </c>
      <c r="F221" s="200">
        <v>1</v>
      </c>
      <c r="G221" s="200">
        <v>1</v>
      </c>
      <c r="H221" s="201" t="s">
        <v>2119</v>
      </c>
      <c r="I221" s="201" t="s">
        <v>2675</v>
      </c>
      <c r="J221" s="201" t="s">
        <v>1668</v>
      </c>
      <c r="K221" s="201" t="s">
        <v>2676</v>
      </c>
      <c r="L221" s="201" t="s">
        <v>2677</v>
      </c>
      <c r="M221" s="233">
        <v>32822</v>
      </c>
      <c r="N221" s="233">
        <v>84.86</v>
      </c>
      <c r="O221" s="438"/>
      <c r="P221" s="60"/>
      <c r="Q221" s="200" t="s">
        <v>2678</v>
      </c>
      <c r="R221" s="200"/>
      <c r="S221" s="303" t="s">
        <v>2320</v>
      </c>
      <c r="T221" s="200">
        <v>1</v>
      </c>
      <c r="U221" s="208" t="s">
        <v>1059</v>
      </c>
      <c r="V221" s="252">
        <v>336000000</v>
      </c>
      <c r="W221" s="209">
        <v>336000000</v>
      </c>
      <c r="X221" s="200"/>
      <c r="Y221" s="209"/>
      <c r="Z221" s="209"/>
      <c r="AA221" s="209"/>
      <c r="AB221" s="200"/>
      <c r="AC221" s="209"/>
      <c r="AD221" s="209"/>
      <c r="AE221" s="209"/>
      <c r="AF221" s="209"/>
      <c r="AG221" s="440"/>
      <c r="AH221" s="255"/>
    </row>
    <row r="222" spans="2:34" s="198" customFormat="1" ht="14.1" hidden="1" customHeight="1">
      <c r="B222" s="199">
        <v>213</v>
      </c>
      <c r="C222" s="200"/>
      <c r="D222" s="200" t="s">
        <v>515</v>
      </c>
      <c r="E222" s="437" t="s">
        <v>148</v>
      </c>
      <c r="F222" s="200">
        <v>1</v>
      </c>
      <c r="G222" s="200">
        <v>1</v>
      </c>
      <c r="H222" s="201" t="s">
        <v>103</v>
      </c>
      <c r="I222" s="201" t="s">
        <v>120</v>
      </c>
      <c r="J222" s="201" t="s">
        <v>2679</v>
      </c>
      <c r="K222" s="201" t="s">
        <v>2680</v>
      </c>
      <c r="L222" s="201" t="s">
        <v>2460</v>
      </c>
      <c r="M222" s="233">
        <v>3503</v>
      </c>
      <c r="N222" s="233">
        <v>84.32</v>
      </c>
      <c r="O222" s="438"/>
      <c r="P222" s="60"/>
      <c r="Q222" s="200" t="s">
        <v>2681</v>
      </c>
      <c r="R222" s="200"/>
      <c r="S222" s="439" t="s">
        <v>148</v>
      </c>
      <c r="T222" s="200">
        <v>1</v>
      </c>
      <c r="U222" s="208" t="s">
        <v>1059</v>
      </c>
      <c r="V222" s="252">
        <v>272400000</v>
      </c>
      <c r="W222" s="252">
        <v>272400000</v>
      </c>
      <c r="X222" s="200"/>
      <c r="Y222" s="209"/>
      <c r="Z222" s="209"/>
      <c r="AA222" s="209"/>
      <c r="AB222" s="200"/>
      <c r="AC222" s="209"/>
      <c r="AD222" s="209"/>
      <c r="AE222" s="209"/>
      <c r="AF222" s="209"/>
      <c r="AG222" s="440"/>
      <c r="AH222" s="255"/>
    </row>
    <row r="223" spans="2:34" s="198" customFormat="1" ht="14.1" hidden="1" customHeight="1">
      <c r="B223" s="199">
        <v>214</v>
      </c>
      <c r="C223" s="200"/>
      <c r="D223" s="200" t="s">
        <v>516</v>
      </c>
      <c r="E223" s="437" t="s">
        <v>152</v>
      </c>
      <c r="F223" s="200">
        <v>1</v>
      </c>
      <c r="G223" s="200">
        <v>1</v>
      </c>
      <c r="H223" s="201" t="s">
        <v>93</v>
      </c>
      <c r="I223" s="201" t="s">
        <v>2528</v>
      </c>
      <c r="J223" s="201" t="s">
        <v>2682</v>
      </c>
      <c r="K223" s="201" t="s">
        <v>2683</v>
      </c>
      <c r="L223" s="201" t="s">
        <v>2684</v>
      </c>
      <c r="M223" s="233">
        <v>29189.3</v>
      </c>
      <c r="N223" s="233">
        <v>121.6139</v>
      </c>
      <c r="O223" s="438"/>
      <c r="P223" s="60"/>
      <c r="Q223" s="200" t="s">
        <v>2685</v>
      </c>
      <c r="R223" s="200"/>
      <c r="S223" s="439" t="s">
        <v>152</v>
      </c>
      <c r="T223" s="200">
        <v>1</v>
      </c>
      <c r="U223" s="208" t="s">
        <v>1059</v>
      </c>
      <c r="V223" s="252">
        <v>268800000</v>
      </c>
      <c r="W223" s="209">
        <v>268800000</v>
      </c>
      <c r="X223" s="200"/>
      <c r="Y223" s="209"/>
      <c r="Z223" s="209"/>
      <c r="AA223" s="209"/>
      <c r="AB223" s="200"/>
      <c r="AC223" s="209"/>
      <c r="AD223" s="209"/>
      <c r="AE223" s="209"/>
      <c r="AF223" s="209"/>
      <c r="AG223" s="440"/>
      <c r="AH223" s="255"/>
    </row>
    <row r="224" spans="2:34" s="198" customFormat="1" ht="14.1" hidden="1" customHeight="1">
      <c r="B224" s="199">
        <v>215</v>
      </c>
      <c r="C224" s="200"/>
      <c r="D224" s="200" t="s">
        <v>517</v>
      </c>
      <c r="E224" s="437" t="s">
        <v>205</v>
      </c>
      <c r="F224" s="200">
        <v>1</v>
      </c>
      <c r="G224" s="200">
        <v>1</v>
      </c>
      <c r="H224" s="201" t="s">
        <v>145</v>
      </c>
      <c r="I224" s="201" t="s">
        <v>1674</v>
      </c>
      <c r="J224" s="201" t="s">
        <v>1675</v>
      </c>
      <c r="K224" s="201" t="s">
        <v>2686</v>
      </c>
      <c r="L224" s="201" t="s">
        <v>2546</v>
      </c>
      <c r="M224" s="233">
        <v>32772</v>
      </c>
      <c r="N224" s="233">
        <v>144.61000000000001</v>
      </c>
      <c r="O224" s="438"/>
      <c r="P224" s="60"/>
      <c r="Q224" s="200" t="s">
        <v>2687</v>
      </c>
      <c r="R224" s="200"/>
      <c r="S224" s="439" t="s">
        <v>205</v>
      </c>
      <c r="T224" s="200" t="s">
        <v>2123</v>
      </c>
      <c r="U224" s="208" t="s">
        <v>1059</v>
      </c>
      <c r="V224" s="252">
        <v>241000000</v>
      </c>
      <c r="W224" s="209">
        <v>241000000</v>
      </c>
      <c r="X224" s="200"/>
      <c r="Y224" s="209"/>
      <c r="Z224" s="209"/>
      <c r="AA224" s="209"/>
      <c r="AB224" s="200"/>
      <c r="AC224" s="209"/>
      <c r="AD224" s="209"/>
      <c r="AE224" s="209"/>
      <c r="AF224" s="209"/>
      <c r="AG224" s="440"/>
      <c r="AH224" s="255"/>
    </row>
    <row r="225" spans="2:34" s="198" customFormat="1" ht="14.1" hidden="1" customHeight="1">
      <c r="B225" s="199">
        <v>216</v>
      </c>
      <c r="C225" s="200"/>
      <c r="D225" s="200" t="s">
        <v>518</v>
      </c>
      <c r="E225" s="437" t="s">
        <v>194</v>
      </c>
      <c r="F225" s="200">
        <v>1</v>
      </c>
      <c r="G225" s="200">
        <v>1</v>
      </c>
      <c r="H225" s="201" t="s">
        <v>139</v>
      </c>
      <c r="I225" s="201" t="s">
        <v>2688</v>
      </c>
      <c r="J225" s="201" t="s">
        <v>2689</v>
      </c>
      <c r="K225" s="201" t="s">
        <v>2690</v>
      </c>
      <c r="L225" s="201" t="s">
        <v>2691</v>
      </c>
      <c r="M225" s="233">
        <v>54209</v>
      </c>
      <c r="N225" s="233">
        <v>155.7268</v>
      </c>
      <c r="O225" s="438"/>
      <c r="P225" s="60"/>
      <c r="Q225" s="200" t="s">
        <v>2692</v>
      </c>
      <c r="R225" s="200"/>
      <c r="S225" s="439" t="s">
        <v>194</v>
      </c>
      <c r="T225" s="200">
        <v>1</v>
      </c>
      <c r="U225" s="208" t="s">
        <v>1059</v>
      </c>
      <c r="V225" s="252">
        <v>252000000</v>
      </c>
      <c r="W225" s="252">
        <v>252000000</v>
      </c>
      <c r="X225" s="200"/>
      <c r="Y225" s="209"/>
      <c r="Z225" s="209"/>
      <c r="AA225" s="209"/>
      <c r="AB225" s="200"/>
      <c r="AC225" s="209"/>
      <c r="AD225" s="209"/>
      <c r="AE225" s="209"/>
      <c r="AF225" s="209"/>
      <c r="AG225" s="440"/>
      <c r="AH225" s="255"/>
    </row>
    <row r="226" spans="2:34" s="198" customFormat="1" ht="14.1" hidden="1" customHeight="1">
      <c r="B226" s="199">
        <v>217</v>
      </c>
      <c r="C226" s="200"/>
      <c r="D226" s="200" t="s">
        <v>519</v>
      </c>
      <c r="E226" s="437" t="s">
        <v>148</v>
      </c>
      <c r="F226" s="200">
        <v>1</v>
      </c>
      <c r="G226" s="200">
        <v>1</v>
      </c>
      <c r="H226" s="201" t="s">
        <v>103</v>
      </c>
      <c r="I226" s="201" t="s">
        <v>244</v>
      </c>
      <c r="J226" s="201" t="s">
        <v>1681</v>
      </c>
      <c r="K226" s="201" t="s">
        <v>2693</v>
      </c>
      <c r="L226" s="201" t="s">
        <v>2694</v>
      </c>
      <c r="M226" s="233">
        <v>544.1</v>
      </c>
      <c r="N226" s="233">
        <v>59.08</v>
      </c>
      <c r="O226" s="438"/>
      <c r="P226" s="60"/>
      <c r="Q226" s="200" t="s">
        <v>2695</v>
      </c>
      <c r="R226" s="200"/>
      <c r="S226" s="439" t="s">
        <v>148</v>
      </c>
      <c r="T226" s="200" t="s">
        <v>2118</v>
      </c>
      <c r="U226" s="208" t="s">
        <v>1059</v>
      </c>
      <c r="V226" s="252">
        <v>252000000</v>
      </c>
      <c r="W226" s="252">
        <v>252000000</v>
      </c>
      <c r="X226" s="200"/>
      <c r="Y226" s="209"/>
      <c r="Z226" s="209"/>
      <c r="AA226" s="209"/>
      <c r="AB226" s="200"/>
      <c r="AC226" s="209"/>
      <c r="AD226" s="209"/>
      <c r="AE226" s="209"/>
      <c r="AF226" s="209"/>
      <c r="AG226" s="440"/>
      <c r="AH226" s="255"/>
    </row>
    <row r="227" spans="2:34" s="198" customFormat="1" ht="14.1" hidden="1" customHeight="1">
      <c r="B227" s="199">
        <v>218</v>
      </c>
      <c r="C227" s="200"/>
      <c r="D227" s="200" t="s">
        <v>520</v>
      </c>
      <c r="E227" s="437" t="s">
        <v>152</v>
      </c>
      <c r="F227" s="200">
        <v>1</v>
      </c>
      <c r="G227" s="200">
        <v>1</v>
      </c>
      <c r="H227" s="201" t="s">
        <v>83</v>
      </c>
      <c r="I227" s="201" t="s">
        <v>155</v>
      </c>
      <c r="J227" s="201" t="s">
        <v>156</v>
      </c>
      <c r="K227" s="201" t="s">
        <v>2696</v>
      </c>
      <c r="L227" s="201" t="s">
        <v>2697</v>
      </c>
      <c r="M227" s="233">
        <v>55726.8</v>
      </c>
      <c r="N227" s="233">
        <v>134.89500000000001</v>
      </c>
      <c r="O227" s="438"/>
      <c r="P227" s="60"/>
      <c r="Q227" s="200" t="s">
        <v>2698</v>
      </c>
      <c r="R227" s="200"/>
      <c r="S227" s="439" t="s">
        <v>152</v>
      </c>
      <c r="T227" s="200" t="s">
        <v>2118</v>
      </c>
      <c r="U227" s="208" t="s">
        <v>1059</v>
      </c>
      <c r="V227" s="252">
        <v>230400000</v>
      </c>
      <c r="W227" s="252">
        <v>230400000</v>
      </c>
      <c r="X227" s="200"/>
      <c r="Y227" s="209"/>
      <c r="Z227" s="209"/>
      <c r="AA227" s="209"/>
      <c r="AB227" s="200"/>
      <c r="AC227" s="209"/>
      <c r="AD227" s="209"/>
      <c r="AE227" s="209"/>
      <c r="AF227" s="209"/>
      <c r="AG227" s="440"/>
      <c r="AH227" s="255"/>
    </row>
    <row r="228" spans="2:34" s="198" customFormat="1" ht="14.1" hidden="1" customHeight="1">
      <c r="B228" s="199">
        <v>219</v>
      </c>
      <c r="C228" s="200"/>
      <c r="D228" s="200" t="s">
        <v>521</v>
      </c>
      <c r="E228" s="437" t="s">
        <v>152</v>
      </c>
      <c r="F228" s="200">
        <v>1</v>
      </c>
      <c r="G228" s="200">
        <v>1</v>
      </c>
      <c r="H228" s="201" t="s">
        <v>93</v>
      </c>
      <c r="I228" s="201" t="s">
        <v>216</v>
      </c>
      <c r="J228" s="201" t="s">
        <v>1690</v>
      </c>
      <c r="K228" s="201" t="s">
        <v>2699</v>
      </c>
      <c r="L228" s="201" t="s">
        <v>2456</v>
      </c>
      <c r="M228" s="233">
        <v>12905.8</v>
      </c>
      <c r="N228" s="233">
        <v>146.41</v>
      </c>
      <c r="O228" s="438"/>
      <c r="P228" s="60"/>
      <c r="Q228" s="200" t="s">
        <v>2700</v>
      </c>
      <c r="R228" s="200"/>
      <c r="S228" s="439" t="s">
        <v>152</v>
      </c>
      <c r="T228" s="200">
        <v>1</v>
      </c>
      <c r="U228" s="208" t="s">
        <v>1059</v>
      </c>
      <c r="V228" s="252">
        <v>252000000</v>
      </c>
      <c r="W228" s="252">
        <v>252000000</v>
      </c>
      <c r="X228" s="200"/>
      <c r="Y228" s="209"/>
      <c r="Z228" s="209"/>
      <c r="AA228" s="209"/>
      <c r="AB228" s="200"/>
      <c r="AC228" s="209"/>
      <c r="AD228" s="209"/>
      <c r="AE228" s="209"/>
      <c r="AF228" s="209"/>
      <c r="AG228" s="440"/>
      <c r="AH228" s="255"/>
    </row>
    <row r="229" spans="2:34" s="198" customFormat="1" ht="14.1" hidden="1" customHeight="1">
      <c r="B229" s="199">
        <v>220</v>
      </c>
      <c r="C229" s="200"/>
      <c r="D229" s="200" t="s">
        <v>522</v>
      </c>
      <c r="E229" s="437" t="s">
        <v>92</v>
      </c>
      <c r="F229" s="200">
        <v>1</v>
      </c>
      <c r="G229" s="200">
        <v>1</v>
      </c>
      <c r="H229" s="201" t="s">
        <v>93</v>
      </c>
      <c r="I229" s="201" t="s">
        <v>216</v>
      </c>
      <c r="J229" s="201" t="s">
        <v>2701</v>
      </c>
      <c r="K229" s="201" t="s">
        <v>2702</v>
      </c>
      <c r="L229" s="201" t="s">
        <v>2546</v>
      </c>
      <c r="M229" s="233">
        <v>29101</v>
      </c>
      <c r="N229" s="233">
        <v>134.37</v>
      </c>
      <c r="O229" s="438"/>
      <c r="P229" s="60"/>
      <c r="Q229" s="200" t="s">
        <v>2703</v>
      </c>
      <c r="R229" s="200" t="s">
        <v>419</v>
      </c>
      <c r="S229" s="303" t="s">
        <v>2704</v>
      </c>
      <c r="T229" s="200">
        <v>1</v>
      </c>
      <c r="U229" s="208" t="s">
        <v>1059</v>
      </c>
      <c r="V229" s="252">
        <v>250800000</v>
      </c>
      <c r="W229" s="252">
        <v>250800000</v>
      </c>
      <c r="X229" s="200"/>
      <c r="Y229" s="209"/>
      <c r="Z229" s="209"/>
      <c r="AA229" s="209"/>
      <c r="AB229" s="200"/>
      <c r="AC229" s="209"/>
      <c r="AD229" s="209"/>
      <c r="AE229" s="209"/>
      <c r="AF229" s="209"/>
      <c r="AG229" s="440"/>
      <c r="AH229" s="255"/>
    </row>
    <row r="230" spans="2:34" s="198" customFormat="1" ht="14.1" hidden="1" customHeight="1">
      <c r="B230" s="199">
        <v>221</v>
      </c>
      <c r="C230" s="200"/>
      <c r="D230" s="200" t="s">
        <v>523</v>
      </c>
      <c r="E230" s="437" t="s">
        <v>205</v>
      </c>
      <c r="F230" s="200">
        <v>1</v>
      </c>
      <c r="G230" s="200">
        <v>1</v>
      </c>
      <c r="H230" s="201" t="s">
        <v>103</v>
      </c>
      <c r="I230" s="201" t="s">
        <v>229</v>
      </c>
      <c r="J230" s="201" t="s">
        <v>1703</v>
      </c>
      <c r="K230" s="201" t="s">
        <v>2705</v>
      </c>
      <c r="L230" s="201" t="s">
        <v>2122</v>
      </c>
      <c r="M230" s="233">
        <v>142</v>
      </c>
      <c r="N230" s="233"/>
      <c r="O230" s="438"/>
      <c r="P230" s="60"/>
      <c r="Q230" s="200"/>
      <c r="R230" s="200"/>
      <c r="S230" s="439" t="s">
        <v>205</v>
      </c>
      <c r="T230" s="200">
        <v>1</v>
      </c>
      <c r="U230" s="208" t="s">
        <v>1059</v>
      </c>
      <c r="V230" s="252">
        <v>260000000</v>
      </c>
      <c r="W230" s="252">
        <v>260000000</v>
      </c>
      <c r="X230" s="200"/>
      <c r="Y230" s="209"/>
      <c r="Z230" s="209"/>
      <c r="AA230" s="209"/>
      <c r="AB230" s="200"/>
      <c r="AC230" s="209"/>
      <c r="AD230" s="209"/>
      <c r="AE230" s="209"/>
      <c r="AF230" s="209"/>
      <c r="AG230" s="440"/>
      <c r="AH230" s="255"/>
    </row>
    <row r="231" spans="2:34" s="198" customFormat="1" ht="14.1" hidden="1" customHeight="1">
      <c r="B231" s="199">
        <v>222</v>
      </c>
      <c r="C231" s="200"/>
      <c r="D231" s="200" t="s">
        <v>523</v>
      </c>
      <c r="E231" s="437" t="s">
        <v>205</v>
      </c>
      <c r="F231" s="200">
        <v>1</v>
      </c>
      <c r="G231" s="200">
        <v>2</v>
      </c>
      <c r="H231" s="201" t="s">
        <v>103</v>
      </c>
      <c r="I231" s="201" t="s">
        <v>229</v>
      </c>
      <c r="J231" s="201" t="s">
        <v>1703</v>
      </c>
      <c r="K231" s="201" t="s">
        <v>2706</v>
      </c>
      <c r="L231" s="201" t="s">
        <v>2122</v>
      </c>
      <c r="M231" s="233">
        <v>188</v>
      </c>
      <c r="N231" s="233"/>
      <c r="O231" s="438"/>
      <c r="P231" s="60"/>
      <c r="Q231" s="200"/>
      <c r="R231" s="200"/>
      <c r="S231" s="303" t="s">
        <v>2707</v>
      </c>
      <c r="T231" s="200">
        <v>1</v>
      </c>
      <c r="U231" s="208" t="s">
        <v>1059</v>
      </c>
      <c r="V231" s="252">
        <v>260000000</v>
      </c>
      <c r="W231" s="252">
        <v>260000000</v>
      </c>
      <c r="X231" s="200"/>
      <c r="Y231" s="209"/>
      <c r="Z231" s="209"/>
      <c r="AA231" s="209"/>
      <c r="AB231" s="200"/>
      <c r="AC231" s="209"/>
      <c r="AD231" s="209"/>
      <c r="AE231" s="209"/>
      <c r="AF231" s="209"/>
      <c r="AG231" s="440"/>
      <c r="AH231" s="255"/>
    </row>
    <row r="232" spans="2:34" s="198" customFormat="1" ht="14.1" hidden="1" customHeight="1">
      <c r="B232" s="199">
        <v>223</v>
      </c>
      <c r="C232" s="200"/>
      <c r="D232" s="200" t="s">
        <v>524</v>
      </c>
      <c r="E232" s="437" t="s">
        <v>109</v>
      </c>
      <c r="F232" s="200">
        <v>1</v>
      </c>
      <c r="G232" s="200">
        <v>1</v>
      </c>
      <c r="H232" s="201" t="s">
        <v>210</v>
      </c>
      <c r="I232" s="201" t="s">
        <v>1707</v>
      </c>
      <c r="J232" s="201" t="s">
        <v>1708</v>
      </c>
      <c r="K232" s="201" t="s">
        <v>2708</v>
      </c>
      <c r="L232" s="201" t="s">
        <v>2709</v>
      </c>
      <c r="M232" s="233">
        <v>32955.1</v>
      </c>
      <c r="N232" s="233">
        <v>84.866</v>
      </c>
      <c r="O232" s="438"/>
      <c r="P232" s="60"/>
      <c r="Q232" s="200" t="s">
        <v>2710</v>
      </c>
      <c r="R232" s="200"/>
      <c r="S232" s="439" t="s">
        <v>109</v>
      </c>
      <c r="T232" s="200" t="s">
        <v>2123</v>
      </c>
      <c r="U232" s="208" t="s">
        <v>1059</v>
      </c>
      <c r="V232" s="252">
        <v>240000000</v>
      </c>
      <c r="W232" s="252">
        <v>240000000</v>
      </c>
      <c r="X232" s="200"/>
      <c r="Y232" s="209"/>
      <c r="Z232" s="209"/>
      <c r="AA232" s="209"/>
      <c r="AB232" s="200"/>
      <c r="AC232" s="209"/>
      <c r="AD232" s="209"/>
      <c r="AE232" s="209"/>
      <c r="AF232" s="209"/>
      <c r="AG232" s="440"/>
      <c r="AH232" s="255"/>
    </row>
    <row r="233" spans="2:34" s="198" customFormat="1" ht="14.1" hidden="1" customHeight="1">
      <c r="B233" s="199">
        <v>224</v>
      </c>
      <c r="C233" s="200"/>
      <c r="D233" s="200" t="s">
        <v>525</v>
      </c>
      <c r="E233" s="437" t="s">
        <v>214</v>
      </c>
      <c r="F233" s="200">
        <v>1</v>
      </c>
      <c r="G233" s="200">
        <v>1</v>
      </c>
      <c r="H233" s="201" t="s">
        <v>83</v>
      </c>
      <c r="I233" s="201" t="s">
        <v>227</v>
      </c>
      <c r="J233" s="201" t="s">
        <v>1716</v>
      </c>
      <c r="K233" s="201" t="s">
        <v>2711</v>
      </c>
      <c r="L233" s="201" t="s">
        <v>2712</v>
      </c>
      <c r="M233" s="233">
        <v>65795.3</v>
      </c>
      <c r="N233" s="233">
        <v>96.521199999999993</v>
      </c>
      <c r="O233" s="438"/>
      <c r="P233" s="60"/>
      <c r="Q233" s="200" t="s">
        <v>2641</v>
      </c>
      <c r="R233" s="200"/>
      <c r="S233" s="439" t="s">
        <v>214</v>
      </c>
      <c r="T233" s="200">
        <v>1</v>
      </c>
      <c r="U233" s="208" t="s">
        <v>1059</v>
      </c>
      <c r="V233" s="252">
        <v>228000000</v>
      </c>
      <c r="W233" s="252">
        <v>228000000</v>
      </c>
      <c r="X233" s="200"/>
      <c r="Y233" s="209"/>
      <c r="Z233" s="209"/>
      <c r="AA233" s="209"/>
      <c r="AB233" s="200"/>
      <c r="AC233" s="209"/>
      <c r="AD233" s="209"/>
      <c r="AE233" s="209"/>
      <c r="AF233" s="209"/>
      <c r="AG233" s="440"/>
      <c r="AH233" s="255"/>
    </row>
    <row r="234" spans="2:34" s="198" customFormat="1" ht="14.1" hidden="1" customHeight="1">
      <c r="B234" s="199">
        <v>225</v>
      </c>
      <c r="C234" s="200"/>
      <c r="D234" s="200" t="s">
        <v>526</v>
      </c>
      <c r="E234" s="437" t="s">
        <v>157</v>
      </c>
      <c r="F234" s="200">
        <v>1</v>
      </c>
      <c r="G234" s="200">
        <v>1</v>
      </c>
      <c r="H234" s="201" t="s">
        <v>93</v>
      </c>
      <c r="I234" s="201" t="s">
        <v>1722</v>
      </c>
      <c r="J234" s="201" t="s">
        <v>1723</v>
      </c>
      <c r="K234" s="201" t="s">
        <v>2713</v>
      </c>
      <c r="L234" s="201" t="s">
        <v>2481</v>
      </c>
      <c r="M234" s="233">
        <v>34457</v>
      </c>
      <c r="N234" s="233">
        <v>136.19999999999999</v>
      </c>
      <c r="O234" s="438"/>
      <c r="P234" s="60"/>
      <c r="Q234" s="200" t="s">
        <v>2714</v>
      </c>
      <c r="R234" s="200"/>
      <c r="S234" s="439" t="s">
        <v>157</v>
      </c>
      <c r="T234" s="200">
        <v>1</v>
      </c>
      <c r="U234" s="208" t="s">
        <v>1059</v>
      </c>
      <c r="V234" s="252">
        <v>223200000</v>
      </c>
      <c r="W234" s="252">
        <v>223200000</v>
      </c>
      <c r="X234" s="200"/>
      <c r="Y234" s="209"/>
      <c r="Z234" s="209"/>
      <c r="AA234" s="209"/>
      <c r="AB234" s="200"/>
      <c r="AC234" s="209"/>
      <c r="AD234" s="209"/>
      <c r="AE234" s="209"/>
      <c r="AF234" s="209"/>
      <c r="AG234" s="440"/>
      <c r="AH234" s="255"/>
    </row>
    <row r="235" spans="2:34" s="198" customFormat="1" ht="14.1" hidden="1" customHeight="1">
      <c r="B235" s="199">
        <v>226</v>
      </c>
      <c r="C235" s="200"/>
      <c r="D235" s="200" t="s">
        <v>527</v>
      </c>
      <c r="E235" s="437" t="s">
        <v>135</v>
      </c>
      <c r="F235" s="200">
        <v>1</v>
      </c>
      <c r="G235" s="200">
        <v>1</v>
      </c>
      <c r="H235" s="201" t="s">
        <v>93</v>
      </c>
      <c r="I235" s="201" t="s">
        <v>94</v>
      </c>
      <c r="J235" s="201" t="s">
        <v>1726</v>
      </c>
      <c r="K235" s="201" t="s">
        <v>2715</v>
      </c>
      <c r="L235" s="201" t="s">
        <v>2420</v>
      </c>
      <c r="M235" s="233">
        <v>29980.5</v>
      </c>
      <c r="N235" s="233">
        <v>84.84</v>
      </c>
      <c r="O235" s="438"/>
      <c r="P235" s="60"/>
      <c r="Q235" s="200" t="s">
        <v>2716</v>
      </c>
      <c r="R235" s="200"/>
      <c r="S235" s="439" t="s">
        <v>135</v>
      </c>
      <c r="T235" s="200" t="s">
        <v>2123</v>
      </c>
      <c r="U235" s="208" t="s">
        <v>1059</v>
      </c>
      <c r="V235" s="252">
        <v>156000000</v>
      </c>
      <c r="W235" s="252">
        <v>156000000</v>
      </c>
      <c r="X235" s="200"/>
      <c r="Y235" s="209"/>
      <c r="Z235" s="209"/>
      <c r="AA235" s="209"/>
      <c r="AB235" s="200"/>
      <c r="AC235" s="209"/>
      <c r="AD235" s="209"/>
      <c r="AE235" s="209"/>
      <c r="AF235" s="209"/>
      <c r="AG235" s="440"/>
      <c r="AH235" s="255"/>
    </row>
    <row r="236" spans="2:34" s="198" customFormat="1" ht="14.1" hidden="1" customHeight="1">
      <c r="B236" s="199">
        <v>227</v>
      </c>
      <c r="C236" s="200"/>
      <c r="D236" s="200" t="s">
        <v>528</v>
      </c>
      <c r="E236" s="437" t="s">
        <v>152</v>
      </c>
      <c r="F236" s="200">
        <v>1</v>
      </c>
      <c r="G236" s="200">
        <v>1</v>
      </c>
      <c r="H236" s="201" t="s">
        <v>93</v>
      </c>
      <c r="I236" s="201" t="s">
        <v>95</v>
      </c>
      <c r="J236" s="201" t="s">
        <v>1463</v>
      </c>
      <c r="K236" s="201" t="s">
        <v>2717</v>
      </c>
      <c r="L236" s="201" t="s">
        <v>2375</v>
      </c>
      <c r="M236" s="233">
        <v>27196.1</v>
      </c>
      <c r="N236" s="233">
        <v>107.77800000000001</v>
      </c>
      <c r="O236" s="438"/>
      <c r="P236" s="60"/>
      <c r="Q236" s="200" t="s">
        <v>2718</v>
      </c>
      <c r="R236" s="200"/>
      <c r="S236" s="439" t="s">
        <v>152</v>
      </c>
      <c r="T236" s="200">
        <v>1</v>
      </c>
      <c r="U236" s="208" t="s">
        <v>1059</v>
      </c>
      <c r="V236" s="252">
        <v>192000000</v>
      </c>
      <c r="W236" s="252">
        <v>192000000</v>
      </c>
      <c r="X236" s="200"/>
      <c r="Y236" s="209"/>
      <c r="Z236" s="209"/>
      <c r="AA236" s="209"/>
      <c r="AB236" s="200"/>
      <c r="AC236" s="209"/>
      <c r="AD236" s="209"/>
      <c r="AE236" s="209"/>
      <c r="AF236" s="209"/>
      <c r="AG236" s="440"/>
      <c r="AH236" s="255"/>
    </row>
    <row r="237" spans="2:34" s="198" customFormat="1" ht="14.1" hidden="1" customHeight="1">
      <c r="B237" s="199">
        <v>228</v>
      </c>
      <c r="C237" s="200"/>
      <c r="D237" s="200" t="s">
        <v>529</v>
      </c>
      <c r="E237" s="437" t="s">
        <v>194</v>
      </c>
      <c r="F237" s="200">
        <v>1</v>
      </c>
      <c r="G237" s="200">
        <v>1</v>
      </c>
      <c r="H237" s="201" t="s">
        <v>93</v>
      </c>
      <c r="I237" s="201" t="s">
        <v>94</v>
      </c>
      <c r="J237" s="201" t="s">
        <v>1732</v>
      </c>
      <c r="K237" s="201" t="s">
        <v>2719</v>
      </c>
      <c r="L237" s="201" t="s">
        <v>2531</v>
      </c>
      <c r="M237" s="233">
        <v>40046.9</v>
      </c>
      <c r="N237" s="233">
        <v>84.98</v>
      </c>
      <c r="O237" s="438"/>
      <c r="P237" s="60"/>
      <c r="Q237" s="200" t="s">
        <v>2720</v>
      </c>
      <c r="R237" s="200"/>
      <c r="S237" s="439" t="s">
        <v>194</v>
      </c>
      <c r="T237" s="200">
        <v>1</v>
      </c>
      <c r="U237" s="208" t="s">
        <v>1059</v>
      </c>
      <c r="V237" s="252">
        <v>206640000</v>
      </c>
      <c r="W237" s="252">
        <v>206640000</v>
      </c>
      <c r="X237" s="200"/>
      <c r="Y237" s="209"/>
      <c r="Z237" s="209"/>
      <c r="AA237" s="209"/>
      <c r="AB237" s="200"/>
      <c r="AC237" s="209"/>
      <c r="AD237" s="209"/>
      <c r="AE237" s="209"/>
      <c r="AF237" s="209"/>
      <c r="AG237" s="440"/>
      <c r="AH237" s="255"/>
    </row>
    <row r="238" spans="2:34" s="198" customFormat="1" ht="14.1" hidden="1" customHeight="1">
      <c r="B238" s="199">
        <v>229</v>
      </c>
      <c r="C238" s="200"/>
      <c r="D238" s="200" t="s">
        <v>530</v>
      </c>
      <c r="E238" s="437" t="s">
        <v>152</v>
      </c>
      <c r="F238" s="200">
        <v>1</v>
      </c>
      <c r="G238" s="200">
        <v>1</v>
      </c>
      <c r="H238" s="201" t="s">
        <v>103</v>
      </c>
      <c r="I238" s="201" t="s">
        <v>185</v>
      </c>
      <c r="J238" s="201" t="s">
        <v>1735</v>
      </c>
      <c r="K238" s="201" t="s">
        <v>2721</v>
      </c>
      <c r="L238" s="201" t="s">
        <v>2481</v>
      </c>
      <c r="M238" s="233">
        <v>74772.5</v>
      </c>
      <c r="N238" s="233">
        <v>59.2</v>
      </c>
      <c r="O238" s="438"/>
      <c r="P238" s="60"/>
      <c r="Q238" s="200" t="s">
        <v>2722</v>
      </c>
      <c r="R238" s="200"/>
      <c r="S238" s="439" t="s">
        <v>152</v>
      </c>
      <c r="T238" s="200">
        <v>1</v>
      </c>
      <c r="U238" s="208" t="s">
        <v>1059</v>
      </c>
      <c r="V238" s="252">
        <v>210000000</v>
      </c>
      <c r="W238" s="252">
        <v>210000000</v>
      </c>
      <c r="X238" s="200"/>
      <c r="Y238" s="209"/>
      <c r="Z238" s="209"/>
      <c r="AA238" s="209"/>
      <c r="AB238" s="200"/>
      <c r="AC238" s="209"/>
      <c r="AD238" s="209"/>
      <c r="AE238" s="209"/>
      <c r="AF238" s="209"/>
      <c r="AG238" s="440"/>
      <c r="AH238" s="255"/>
    </row>
    <row r="239" spans="2:34" s="198" customFormat="1" ht="14.1" hidden="1" customHeight="1">
      <c r="B239" s="199">
        <v>230</v>
      </c>
      <c r="C239" s="200"/>
      <c r="D239" s="200" t="s">
        <v>531</v>
      </c>
      <c r="E239" s="437" t="s">
        <v>284</v>
      </c>
      <c r="F239" s="200">
        <v>1</v>
      </c>
      <c r="G239" s="200">
        <v>1</v>
      </c>
      <c r="H239" s="201" t="s">
        <v>103</v>
      </c>
      <c r="I239" s="201" t="s">
        <v>212</v>
      </c>
      <c r="J239" s="201" t="s">
        <v>1739</v>
      </c>
      <c r="K239" s="201" t="s">
        <v>2723</v>
      </c>
      <c r="L239" s="201" t="s">
        <v>2122</v>
      </c>
      <c r="M239" s="233">
        <v>165</v>
      </c>
      <c r="N239" s="233"/>
      <c r="O239" s="438"/>
      <c r="P239" s="60"/>
      <c r="Q239" s="200"/>
      <c r="R239" s="200" t="s">
        <v>419</v>
      </c>
      <c r="S239" s="303" t="s">
        <v>2724</v>
      </c>
      <c r="T239" s="200">
        <v>1</v>
      </c>
      <c r="U239" s="208" t="s">
        <v>1059</v>
      </c>
      <c r="V239" s="252">
        <v>204000000</v>
      </c>
      <c r="W239" s="252">
        <v>204000000</v>
      </c>
      <c r="X239" s="200"/>
      <c r="Y239" s="209"/>
      <c r="Z239" s="209"/>
      <c r="AA239" s="209"/>
      <c r="AB239" s="200"/>
      <c r="AC239" s="209"/>
      <c r="AD239" s="209"/>
      <c r="AE239" s="209"/>
      <c r="AF239" s="209"/>
      <c r="AG239" s="440"/>
      <c r="AH239" s="255"/>
    </row>
    <row r="240" spans="2:34" s="198" customFormat="1" ht="14.1" hidden="1" customHeight="1">
      <c r="B240" s="199">
        <v>231</v>
      </c>
      <c r="C240" s="200"/>
      <c r="D240" s="200" t="s">
        <v>531</v>
      </c>
      <c r="E240" s="437" t="s">
        <v>284</v>
      </c>
      <c r="F240" s="200">
        <v>1</v>
      </c>
      <c r="G240" s="200">
        <v>2</v>
      </c>
      <c r="H240" s="201" t="s">
        <v>103</v>
      </c>
      <c r="I240" s="201" t="s">
        <v>212</v>
      </c>
      <c r="J240" s="201" t="s">
        <v>1739</v>
      </c>
      <c r="K240" s="201" t="s">
        <v>2725</v>
      </c>
      <c r="L240" s="201" t="s">
        <v>2726</v>
      </c>
      <c r="M240" s="233"/>
      <c r="N240" s="233">
        <v>77.95</v>
      </c>
      <c r="O240" s="438"/>
      <c r="P240" s="60"/>
      <c r="Q240" s="200"/>
      <c r="R240" s="200" t="s">
        <v>419</v>
      </c>
      <c r="S240" s="303" t="s">
        <v>2724</v>
      </c>
      <c r="T240" s="200">
        <v>1</v>
      </c>
      <c r="U240" s="208" t="s">
        <v>1059</v>
      </c>
      <c r="V240" s="252">
        <v>204000000</v>
      </c>
      <c r="W240" s="252">
        <v>204000000</v>
      </c>
      <c r="X240" s="200"/>
      <c r="Y240" s="209"/>
      <c r="Z240" s="209"/>
      <c r="AA240" s="209"/>
      <c r="AB240" s="200"/>
      <c r="AC240" s="209"/>
      <c r="AD240" s="209"/>
      <c r="AE240" s="209"/>
      <c r="AF240" s="209"/>
      <c r="AG240" s="440"/>
      <c r="AH240" s="255"/>
    </row>
    <row r="241" spans="2:34" s="198" customFormat="1" ht="14.1" hidden="1" customHeight="1">
      <c r="B241" s="199">
        <v>232</v>
      </c>
      <c r="C241" s="200"/>
      <c r="D241" s="200" t="s">
        <v>532</v>
      </c>
      <c r="E241" s="437" t="s">
        <v>152</v>
      </c>
      <c r="F241" s="200">
        <v>1</v>
      </c>
      <c r="G241" s="200">
        <v>1</v>
      </c>
      <c r="H241" s="201" t="s">
        <v>93</v>
      </c>
      <c r="I241" s="201" t="s">
        <v>2727</v>
      </c>
      <c r="J241" s="201" t="s">
        <v>1744</v>
      </c>
      <c r="K241" s="201" t="s">
        <v>2728</v>
      </c>
      <c r="L241" s="201" t="s">
        <v>2729</v>
      </c>
      <c r="M241" s="233">
        <v>13299</v>
      </c>
      <c r="N241" s="233">
        <v>117.79</v>
      </c>
      <c r="O241" s="438"/>
      <c r="P241" s="60"/>
      <c r="Q241" s="200" t="s">
        <v>2730</v>
      </c>
      <c r="R241" s="200"/>
      <c r="S241" s="439" t="s">
        <v>152</v>
      </c>
      <c r="T241" s="200">
        <v>1</v>
      </c>
      <c r="U241" s="208" t="s">
        <v>1059</v>
      </c>
      <c r="V241" s="252">
        <v>216000000</v>
      </c>
      <c r="W241" s="252">
        <v>216000000</v>
      </c>
      <c r="X241" s="200"/>
      <c r="Y241" s="209"/>
      <c r="Z241" s="209"/>
      <c r="AA241" s="209"/>
      <c r="AB241" s="200"/>
      <c r="AC241" s="209"/>
      <c r="AD241" s="209"/>
      <c r="AE241" s="209"/>
      <c r="AF241" s="209"/>
      <c r="AG241" s="440"/>
      <c r="AH241" s="255"/>
    </row>
    <row r="242" spans="2:34" s="198" customFormat="1" ht="14.1" hidden="1" customHeight="1">
      <c r="B242" s="199">
        <v>233</v>
      </c>
      <c r="C242" s="200"/>
      <c r="D242" s="200" t="s">
        <v>533</v>
      </c>
      <c r="E242" s="437" t="s">
        <v>221</v>
      </c>
      <c r="F242" s="200">
        <v>1</v>
      </c>
      <c r="G242" s="200">
        <v>1</v>
      </c>
      <c r="H242" s="201" t="s">
        <v>139</v>
      </c>
      <c r="I242" s="201" t="s">
        <v>2688</v>
      </c>
      <c r="J242" s="201" t="s">
        <v>1746</v>
      </c>
      <c r="K242" s="201" t="s">
        <v>2731</v>
      </c>
      <c r="L242" s="201" t="s">
        <v>2122</v>
      </c>
      <c r="M242" s="233">
        <v>462.8</v>
      </c>
      <c r="N242" s="233"/>
      <c r="O242" s="438"/>
      <c r="P242" s="60"/>
      <c r="Q242" s="200"/>
      <c r="R242" s="200"/>
      <c r="S242" s="439" t="s">
        <v>221</v>
      </c>
      <c r="T242" s="200">
        <v>1</v>
      </c>
      <c r="U242" s="208" t="s">
        <v>1059</v>
      </c>
      <c r="V242" s="252">
        <v>204000000</v>
      </c>
      <c r="W242" s="252">
        <v>204000000</v>
      </c>
      <c r="X242" s="200"/>
      <c r="Y242" s="209"/>
      <c r="Z242" s="209"/>
      <c r="AA242" s="209"/>
      <c r="AB242" s="200"/>
      <c r="AC242" s="209"/>
      <c r="AD242" s="209"/>
      <c r="AE242" s="209"/>
      <c r="AF242" s="209"/>
      <c r="AG242" s="440"/>
      <c r="AH242" s="255"/>
    </row>
    <row r="243" spans="2:34" s="198" customFormat="1" ht="14.1" hidden="1" customHeight="1">
      <c r="B243" s="199">
        <v>234</v>
      </c>
      <c r="C243" s="200"/>
      <c r="D243" s="200" t="s">
        <v>533</v>
      </c>
      <c r="E243" s="437" t="s">
        <v>221</v>
      </c>
      <c r="F243" s="200">
        <v>1</v>
      </c>
      <c r="G243" s="200">
        <v>2</v>
      </c>
      <c r="H243" s="201" t="s">
        <v>139</v>
      </c>
      <c r="I243" s="201" t="s">
        <v>2688</v>
      </c>
      <c r="J243" s="201" t="s">
        <v>1746</v>
      </c>
      <c r="K243" s="201" t="s">
        <v>2732</v>
      </c>
      <c r="L243" s="201" t="s">
        <v>2726</v>
      </c>
      <c r="M243" s="233"/>
      <c r="N243" s="233">
        <v>344.07</v>
      </c>
      <c r="O243" s="438"/>
      <c r="P243" s="60"/>
      <c r="Q243" s="200"/>
      <c r="R243" s="200"/>
      <c r="S243" s="439" t="s">
        <v>221</v>
      </c>
      <c r="T243" s="200">
        <v>1</v>
      </c>
      <c r="U243" s="208" t="s">
        <v>1059</v>
      </c>
      <c r="V243" s="252">
        <v>204000000</v>
      </c>
      <c r="W243" s="252">
        <v>204000000</v>
      </c>
      <c r="X243" s="200"/>
      <c r="Y243" s="209"/>
      <c r="Z243" s="209"/>
      <c r="AA243" s="209"/>
      <c r="AB243" s="200"/>
      <c r="AC243" s="209"/>
      <c r="AD243" s="209"/>
      <c r="AE243" s="209"/>
      <c r="AF243" s="209"/>
      <c r="AG243" s="440"/>
      <c r="AH243" s="255"/>
    </row>
    <row r="244" spans="2:34" s="198" customFormat="1" ht="14.1" hidden="1" customHeight="1">
      <c r="B244" s="199">
        <v>235</v>
      </c>
      <c r="C244" s="200"/>
      <c r="D244" s="200" t="s">
        <v>534</v>
      </c>
      <c r="E244" s="437" t="s">
        <v>667</v>
      </c>
      <c r="F244" s="200">
        <v>1</v>
      </c>
      <c r="G244" s="200">
        <v>1</v>
      </c>
      <c r="H244" s="201" t="s">
        <v>93</v>
      </c>
      <c r="I244" s="201" t="s">
        <v>1751</v>
      </c>
      <c r="J244" s="201" t="s">
        <v>1752</v>
      </c>
      <c r="K244" s="201" t="s">
        <v>2733</v>
      </c>
      <c r="L244" s="201" t="s">
        <v>2632</v>
      </c>
      <c r="M244" s="233">
        <v>133138.20000000001</v>
      </c>
      <c r="N244" s="233">
        <v>134.47999999999999</v>
      </c>
      <c r="O244" s="438"/>
      <c r="P244" s="60"/>
      <c r="Q244" s="200" t="s">
        <v>2734</v>
      </c>
      <c r="R244" s="200" t="s">
        <v>419</v>
      </c>
      <c r="S244" s="303" t="s">
        <v>2735</v>
      </c>
      <c r="T244" s="200">
        <v>4</v>
      </c>
      <c r="U244" s="208" t="s">
        <v>1059</v>
      </c>
      <c r="V244" s="252">
        <v>240000000</v>
      </c>
      <c r="W244" s="209">
        <v>240000000</v>
      </c>
      <c r="X244" s="200"/>
      <c r="Y244" s="209"/>
      <c r="Z244" s="209"/>
      <c r="AA244" s="209"/>
      <c r="AB244" s="200" t="s">
        <v>2118</v>
      </c>
      <c r="AC244" s="209" t="s">
        <v>1059</v>
      </c>
      <c r="AD244" s="209">
        <v>230000000</v>
      </c>
      <c r="AE244" s="209">
        <v>230000000</v>
      </c>
      <c r="AF244" s="209"/>
      <c r="AG244" s="440"/>
      <c r="AH244" s="255"/>
    </row>
    <row r="245" spans="2:34" s="198" customFormat="1" ht="14.1" hidden="1" customHeight="1">
      <c r="B245" s="199">
        <v>236</v>
      </c>
      <c r="C245" s="200"/>
      <c r="D245" s="200" t="s">
        <v>535</v>
      </c>
      <c r="E245" s="437" t="s">
        <v>109</v>
      </c>
      <c r="F245" s="200">
        <v>1</v>
      </c>
      <c r="G245" s="200">
        <v>1</v>
      </c>
      <c r="H245" s="201" t="s">
        <v>125</v>
      </c>
      <c r="I245" s="201" t="s">
        <v>1755</v>
      </c>
      <c r="J245" s="201" t="s">
        <v>1756</v>
      </c>
      <c r="K245" s="201" t="s">
        <v>2736</v>
      </c>
      <c r="L245" s="201" t="s">
        <v>2737</v>
      </c>
      <c r="M245" s="233">
        <v>51392</v>
      </c>
      <c r="N245" s="233">
        <v>123.41</v>
      </c>
      <c r="O245" s="438"/>
      <c r="P245" s="60"/>
      <c r="Q245" s="200" t="s">
        <v>2738</v>
      </c>
      <c r="R245" s="200"/>
      <c r="S245" s="439" t="s">
        <v>109</v>
      </c>
      <c r="T245" s="200" t="s">
        <v>2123</v>
      </c>
      <c r="U245" s="208" t="s">
        <v>1059</v>
      </c>
      <c r="V245" s="252">
        <v>225240000</v>
      </c>
      <c r="W245" s="252">
        <v>225240000</v>
      </c>
      <c r="X245" s="200"/>
      <c r="Y245" s="209"/>
      <c r="Z245" s="209"/>
      <c r="AA245" s="209"/>
      <c r="AB245" s="200"/>
      <c r="AC245" s="209"/>
      <c r="AD245" s="209"/>
      <c r="AE245" s="209"/>
      <c r="AF245" s="209"/>
      <c r="AG245" s="440"/>
      <c r="AH245" s="255"/>
    </row>
    <row r="246" spans="2:34" s="198" customFormat="1" ht="14.1" hidden="1" customHeight="1">
      <c r="B246" s="199">
        <v>237</v>
      </c>
      <c r="C246" s="200"/>
      <c r="D246" s="200" t="s">
        <v>536</v>
      </c>
      <c r="E246" s="437" t="s">
        <v>92</v>
      </c>
      <c r="F246" s="200">
        <v>1</v>
      </c>
      <c r="G246" s="200">
        <v>1</v>
      </c>
      <c r="H246" s="201" t="s">
        <v>103</v>
      </c>
      <c r="I246" s="201" t="s">
        <v>1762</v>
      </c>
      <c r="J246" s="201" t="s">
        <v>1763</v>
      </c>
      <c r="K246" s="201" t="s">
        <v>2739</v>
      </c>
      <c r="L246" s="201" t="s">
        <v>2122</v>
      </c>
      <c r="M246" s="233">
        <v>170.3</v>
      </c>
      <c r="N246" s="233"/>
      <c r="O246" s="438"/>
      <c r="P246" s="60"/>
      <c r="Q246" s="200"/>
      <c r="R246" s="200"/>
      <c r="S246" s="439" t="s">
        <v>92</v>
      </c>
      <c r="T246" s="200" t="s">
        <v>2118</v>
      </c>
      <c r="U246" s="208" t="s">
        <v>1059</v>
      </c>
      <c r="V246" s="252">
        <v>194400000</v>
      </c>
      <c r="W246" s="252">
        <v>194400000</v>
      </c>
      <c r="X246" s="200"/>
      <c r="Y246" s="209"/>
      <c r="Z246" s="209"/>
      <c r="AA246" s="209"/>
      <c r="AB246" s="200"/>
      <c r="AC246" s="209"/>
      <c r="AD246" s="209"/>
      <c r="AE246" s="209"/>
      <c r="AF246" s="209"/>
      <c r="AG246" s="440"/>
      <c r="AH246" s="255"/>
    </row>
    <row r="247" spans="2:34" s="198" customFormat="1" ht="14.1" hidden="1" customHeight="1">
      <c r="B247" s="199">
        <v>238</v>
      </c>
      <c r="C247" s="200"/>
      <c r="D247" s="200" t="s">
        <v>536</v>
      </c>
      <c r="E247" s="437" t="s">
        <v>92</v>
      </c>
      <c r="F247" s="200">
        <v>1</v>
      </c>
      <c r="G247" s="200">
        <v>2</v>
      </c>
      <c r="H247" s="201" t="s">
        <v>103</v>
      </c>
      <c r="I247" s="201" t="s">
        <v>1762</v>
      </c>
      <c r="J247" s="201" t="s">
        <v>1763</v>
      </c>
      <c r="K247" s="201" t="s">
        <v>2740</v>
      </c>
      <c r="L247" s="201" t="s">
        <v>2519</v>
      </c>
      <c r="M247" s="233"/>
      <c r="N247" s="233">
        <v>195.5</v>
      </c>
      <c r="O247" s="438"/>
      <c r="P247" s="60"/>
      <c r="Q247" s="200"/>
      <c r="R247" s="200"/>
      <c r="S247" s="439" t="s">
        <v>92</v>
      </c>
      <c r="T247" s="200" t="s">
        <v>2118</v>
      </c>
      <c r="U247" s="208" t="s">
        <v>1059</v>
      </c>
      <c r="V247" s="252">
        <v>194400000</v>
      </c>
      <c r="W247" s="252">
        <v>194400000</v>
      </c>
      <c r="X247" s="200"/>
      <c r="Y247" s="209"/>
      <c r="Z247" s="209"/>
      <c r="AA247" s="209"/>
      <c r="AB247" s="200"/>
      <c r="AC247" s="209"/>
      <c r="AD247" s="209"/>
      <c r="AE247" s="209"/>
      <c r="AF247" s="209"/>
      <c r="AG247" s="440"/>
      <c r="AH247" s="255"/>
    </row>
    <row r="248" spans="2:34" s="198" customFormat="1" ht="14.1" hidden="1" customHeight="1">
      <c r="B248" s="199">
        <v>239</v>
      </c>
      <c r="C248" s="200"/>
      <c r="D248" s="200" t="s">
        <v>537</v>
      </c>
      <c r="E248" s="437" t="s">
        <v>221</v>
      </c>
      <c r="F248" s="200">
        <v>1</v>
      </c>
      <c r="G248" s="200">
        <v>1</v>
      </c>
      <c r="H248" s="201" t="s">
        <v>103</v>
      </c>
      <c r="I248" s="201" t="s">
        <v>231</v>
      </c>
      <c r="J248" s="201" t="s">
        <v>1765</v>
      </c>
      <c r="K248" s="201" t="s">
        <v>2741</v>
      </c>
      <c r="L248" s="201" t="s">
        <v>2742</v>
      </c>
      <c r="M248" s="233">
        <v>3125.3</v>
      </c>
      <c r="N248" s="233">
        <v>79.33</v>
      </c>
      <c r="O248" s="438"/>
      <c r="P248" s="60"/>
      <c r="Q248" s="200" t="s">
        <v>2743</v>
      </c>
      <c r="R248" s="200"/>
      <c r="S248" s="439" t="s">
        <v>221</v>
      </c>
      <c r="T248" s="200">
        <v>1</v>
      </c>
      <c r="U248" s="208" t="s">
        <v>1059</v>
      </c>
      <c r="V248" s="252">
        <v>198000000</v>
      </c>
      <c r="W248" s="252">
        <v>198000000</v>
      </c>
      <c r="X248" s="200"/>
      <c r="Y248" s="209"/>
      <c r="Z248" s="209"/>
      <c r="AA248" s="209"/>
      <c r="AB248" s="200"/>
      <c r="AC248" s="209"/>
      <c r="AD248" s="209"/>
      <c r="AE248" s="209"/>
      <c r="AF248" s="209"/>
      <c r="AG248" s="440"/>
      <c r="AH248" s="255"/>
    </row>
    <row r="249" spans="2:34" s="198" customFormat="1" ht="14.1" hidden="1" customHeight="1">
      <c r="B249" s="199">
        <v>240</v>
      </c>
      <c r="C249" s="200"/>
      <c r="D249" s="200" t="s">
        <v>538</v>
      </c>
      <c r="E249" s="437" t="s">
        <v>173</v>
      </c>
      <c r="F249" s="200">
        <v>1</v>
      </c>
      <c r="G249" s="200">
        <v>1</v>
      </c>
      <c r="H249" s="201" t="s">
        <v>93</v>
      </c>
      <c r="I249" s="201" t="s">
        <v>415</v>
      </c>
      <c r="J249" s="201" t="s">
        <v>1769</v>
      </c>
      <c r="K249" s="201" t="s">
        <v>2744</v>
      </c>
      <c r="L249" s="201" t="s">
        <v>2481</v>
      </c>
      <c r="M249" s="233">
        <v>22720.7</v>
      </c>
      <c r="N249" s="233">
        <v>84.844399999999993</v>
      </c>
      <c r="O249" s="438"/>
      <c r="P249" s="60"/>
      <c r="Q249" s="200" t="s">
        <v>2745</v>
      </c>
      <c r="R249" s="200"/>
      <c r="S249" s="439" t="s">
        <v>173</v>
      </c>
      <c r="T249" s="200">
        <v>1</v>
      </c>
      <c r="U249" s="208" t="s">
        <v>1059</v>
      </c>
      <c r="V249" s="252">
        <v>187200000</v>
      </c>
      <c r="W249" s="252">
        <v>187200000</v>
      </c>
      <c r="X249" s="200"/>
      <c r="Y249" s="209"/>
      <c r="Z249" s="209"/>
      <c r="AA249" s="209"/>
      <c r="AB249" s="200"/>
      <c r="AC249" s="209"/>
      <c r="AD249" s="209"/>
      <c r="AE249" s="209"/>
      <c r="AF249" s="209"/>
      <c r="AG249" s="440"/>
      <c r="AH249" s="255"/>
    </row>
    <row r="250" spans="2:34" s="198" customFormat="1" ht="14.1" hidden="1" customHeight="1">
      <c r="B250" s="199">
        <v>241</v>
      </c>
      <c r="C250" s="200"/>
      <c r="D250" s="200" t="s">
        <v>539</v>
      </c>
      <c r="E250" s="437" t="s">
        <v>152</v>
      </c>
      <c r="F250" s="200">
        <v>1</v>
      </c>
      <c r="G250" s="200">
        <v>1</v>
      </c>
      <c r="H250" s="201" t="s">
        <v>93</v>
      </c>
      <c r="I250" s="201" t="s">
        <v>2746</v>
      </c>
      <c r="J250" s="201" t="s">
        <v>1772</v>
      </c>
      <c r="K250" s="201" t="s">
        <v>2747</v>
      </c>
      <c r="L250" s="201" t="s">
        <v>2525</v>
      </c>
      <c r="M250" s="233">
        <v>89544.2</v>
      </c>
      <c r="N250" s="233">
        <v>84.974999999999994</v>
      </c>
      <c r="O250" s="438"/>
      <c r="P250" s="60"/>
      <c r="Q250" s="200" t="s">
        <v>2748</v>
      </c>
      <c r="R250" s="200"/>
      <c r="S250" s="439" t="s">
        <v>152</v>
      </c>
      <c r="T250" s="200">
        <v>1</v>
      </c>
      <c r="U250" s="208" t="s">
        <v>1059</v>
      </c>
      <c r="V250" s="252">
        <v>168000000</v>
      </c>
      <c r="W250" s="252">
        <v>168000000</v>
      </c>
      <c r="X250" s="200"/>
      <c r="Y250" s="209"/>
      <c r="Z250" s="209"/>
      <c r="AA250" s="209"/>
      <c r="AB250" s="200"/>
      <c r="AC250" s="209"/>
      <c r="AD250" s="209"/>
      <c r="AE250" s="209"/>
      <c r="AF250" s="209"/>
      <c r="AG250" s="440"/>
      <c r="AH250" s="255"/>
    </row>
    <row r="251" spans="2:34" s="198" customFormat="1" ht="14.1" hidden="1" customHeight="1">
      <c r="B251" s="199">
        <v>242</v>
      </c>
      <c r="C251" s="200"/>
      <c r="D251" s="200" t="s">
        <v>540</v>
      </c>
      <c r="E251" s="437" t="s">
        <v>175</v>
      </c>
      <c r="F251" s="200">
        <v>1</v>
      </c>
      <c r="G251" s="200">
        <v>1</v>
      </c>
      <c r="H251" s="201" t="s">
        <v>2107</v>
      </c>
      <c r="I251" s="201" t="s">
        <v>2528</v>
      </c>
      <c r="J251" s="201" t="s">
        <v>2749</v>
      </c>
      <c r="K251" s="201" t="s">
        <v>2750</v>
      </c>
      <c r="L251" s="201" t="s">
        <v>2751</v>
      </c>
      <c r="M251" s="233">
        <v>71886.8</v>
      </c>
      <c r="N251" s="233">
        <v>84.891099999999994</v>
      </c>
      <c r="O251" s="438"/>
      <c r="P251" s="60"/>
      <c r="Q251" s="200" t="s">
        <v>2752</v>
      </c>
      <c r="R251" s="200"/>
      <c r="S251" s="439" t="s">
        <v>175</v>
      </c>
      <c r="T251" s="200">
        <v>1</v>
      </c>
      <c r="U251" s="209" t="s">
        <v>1059</v>
      </c>
      <c r="V251" s="252">
        <v>183600000</v>
      </c>
      <c r="W251" s="252">
        <v>183600000</v>
      </c>
      <c r="X251" s="200"/>
      <c r="Y251" s="209"/>
      <c r="Z251" s="209"/>
      <c r="AA251" s="209"/>
      <c r="AB251" s="200"/>
      <c r="AC251" s="209"/>
      <c r="AD251" s="209"/>
      <c r="AE251" s="209"/>
      <c r="AF251" s="209"/>
      <c r="AG251" s="440"/>
      <c r="AH251" s="255"/>
    </row>
    <row r="252" spans="2:34" s="198" customFormat="1" ht="14.1" hidden="1" customHeight="1">
      <c r="B252" s="199">
        <v>243</v>
      </c>
      <c r="C252" s="200"/>
      <c r="D252" s="200" t="s">
        <v>541</v>
      </c>
      <c r="E252" s="437" t="s">
        <v>168</v>
      </c>
      <c r="F252" s="200">
        <v>1</v>
      </c>
      <c r="G252" s="200">
        <v>1</v>
      </c>
      <c r="H252" s="201" t="s">
        <v>2138</v>
      </c>
      <c r="I252" s="201" t="s">
        <v>2753</v>
      </c>
      <c r="J252" s="201" t="s">
        <v>2754</v>
      </c>
      <c r="K252" s="201" t="s">
        <v>2755</v>
      </c>
      <c r="L252" s="201" t="s">
        <v>2756</v>
      </c>
      <c r="M252" s="233">
        <v>489</v>
      </c>
      <c r="N252" s="233">
        <v>50.31</v>
      </c>
      <c r="O252" s="438"/>
      <c r="P252" s="60"/>
      <c r="Q252" s="200" t="s">
        <v>2757</v>
      </c>
      <c r="R252" s="200"/>
      <c r="S252" s="439" t="s">
        <v>168</v>
      </c>
      <c r="T252" s="200">
        <v>1</v>
      </c>
      <c r="U252" s="209" t="s">
        <v>1059</v>
      </c>
      <c r="V252" s="252">
        <v>180000000</v>
      </c>
      <c r="W252" s="252">
        <v>180000000</v>
      </c>
      <c r="X252" s="200"/>
      <c r="Y252" s="209"/>
      <c r="Z252" s="209"/>
      <c r="AA252" s="209"/>
      <c r="AB252" s="200"/>
      <c r="AC252" s="209"/>
      <c r="AD252" s="209"/>
      <c r="AE252" s="209"/>
      <c r="AF252" s="209"/>
      <c r="AG252" s="440"/>
      <c r="AH252" s="255"/>
    </row>
    <row r="253" spans="2:34" s="198" customFormat="1" ht="14.1" hidden="1" customHeight="1">
      <c r="B253" s="199">
        <v>244</v>
      </c>
      <c r="C253" s="200"/>
      <c r="D253" s="200" t="s">
        <v>542</v>
      </c>
      <c r="E253" s="437" t="s">
        <v>130</v>
      </c>
      <c r="F253" s="200">
        <v>1</v>
      </c>
      <c r="G253" s="200">
        <v>1</v>
      </c>
      <c r="H253" s="201" t="s">
        <v>2107</v>
      </c>
      <c r="I253" s="201" t="s">
        <v>2758</v>
      </c>
      <c r="J253" s="201" t="s">
        <v>2759</v>
      </c>
      <c r="K253" s="201" t="s">
        <v>2760</v>
      </c>
      <c r="L253" s="201" t="s">
        <v>2122</v>
      </c>
      <c r="M253" s="233">
        <v>388</v>
      </c>
      <c r="N253" s="233"/>
      <c r="O253" s="438"/>
      <c r="P253" s="60"/>
      <c r="Q253" s="200"/>
      <c r="R253" s="200"/>
      <c r="S253" s="439" t="s">
        <v>130</v>
      </c>
      <c r="T253" s="200">
        <v>1</v>
      </c>
      <c r="U253" s="209" t="s">
        <v>1059</v>
      </c>
      <c r="V253" s="252">
        <v>168000000</v>
      </c>
      <c r="W253" s="252">
        <v>168000000</v>
      </c>
      <c r="X253" s="200"/>
      <c r="Y253" s="209"/>
      <c r="Z253" s="209"/>
      <c r="AA253" s="209"/>
      <c r="AB253" s="200"/>
      <c r="AC253" s="209"/>
      <c r="AD253" s="209"/>
      <c r="AE253" s="209"/>
      <c r="AF253" s="209"/>
      <c r="AG253" s="440"/>
      <c r="AH253" s="255"/>
    </row>
    <row r="254" spans="2:34" s="198" customFormat="1" ht="14.1" hidden="1" customHeight="1">
      <c r="B254" s="199">
        <v>245</v>
      </c>
      <c r="C254" s="200"/>
      <c r="D254" s="200" t="s">
        <v>542</v>
      </c>
      <c r="E254" s="437" t="s">
        <v>130</v>
      </c>
      <c r="F254" s="200">
        <v>1</v>
      </c>
      <c r="G254" s="200">
        <v>2</v>
      </c>
      <c r="H254" s="201" t="s">
        <v>2107</v>
      </c>
      <c r="I254" s="201" t="s">
        <v>2758</v>
      </c>
      <c r="J254" s="201" t="s">
        <v>2759</v>
      </c>
      <c r="K254" s="201" t="s">
        <v>2761</v>
      </c>
      <c r="L254" s="201" t="s">
        <v>2762</v>
      </c>
      <c r="M254" s="233"/>
      <c r="N254" s="233">
        <v>268.47000000000003</v>
      </c>
      <c r="O254" s="438"/>
      <c r="P254" s="60"/>
      <c r="Q254" s="200"/>
      <c r="R254" s="200"/>
      <c r="S254" s="439" t="s">
        <v>130</v>
      </c>
      <c r="T254" s="200">
        <v>1</v>
      </c>
      <c r="U254" s="209" t="s">
        <v>1059</v>
      </c>
      <c r="V254" s="252">
        <v>168000000</v>
      </c>
      <c r="W254" s="252">
        <v>168000000</v>
      </c>
      <c r="X254" s="200"/>
      <c r="Y254" s="209"/>
      <c r="Z254" s="209"/>
      <c r="AA254" s="209"/>
      <c r="AB254" s="200"/>
      <c r="AC254" s="209"/>
      <c r="AD254" s="209"/>
      <c r="AE254" s="209"/>
      <c r="AF254" s="209"/>
      <c r="AG254" s="440"/>
      <c r="AH254" s="255"/>
    </row>
    <row r="255" spans="2:34" s="198" customFormat="1" ht="14.1" hidden="1" customHeight="1">
      <c r="B255" s="199">
        <v>246</v>
      </c>
      <c r="C255" s="200"/>
      <c r="D255" s="200" t="s">
        <v>543</v>
      </c>
      <c r="E255" s="437" t="s">
        <v>109</v>
      </c>
      <c r="F255" s="200">
        <v>1</v>
      </c>
      <c r="G255" s="200">
        <v>1</v>
      </c>
      <c r="H255" s="201" t="s">
        <v>2119</v>
      </c>
      <c r="I255" s="201" t="s">
        <v>2675</v>
      </c>
      <c r="J255" s="201" t="s">
        <v>2763</v>
      </c>
      <c r="K255" s="201" t="s">
        <v>2764</v>
      </c>
      <c r="L255" s="201" t="s">
        <v>2765</v>
      </c>
      <c r="M255" s="233">
        <v>26532.2</v>
      </c>
      <c r="N255" s="233">
        <v>84.51</v>
      </c>
      <c r="O255" s="438"/>
      <c r="P255" s="60"/>
      <c r="Q255" s="200" t="s">
        <v>2766</v>
      </c>
      <c r="R255" s="200" t="s">
        <v>2130</v>
      </c>
      <c r="S255" s="303" t="s">
        <v>2767</v>
      </c>
      <c r="T255" s="200" t="s">
        <v>2123</v>
      </c>
      <c r="U255" s="209" t="s">
        <v>1059</v>
      </c>
      <c r="V255" s="252">
        <v>189000000</v>
      </c>
      <c r="W255" s="252">
        <v>189000000</v>
      </c>
      <c r="X255" s="200"/>
      <c r="Y255" s="209"/>
      <c r="Z255" s="209"/>
      <c r="AA255" s="209"/>
      <c r="AB255" s="200"/>
      <c r="AC255" s="209"/>
      <c r="AD255" s="209"/>
      <c r="AE255" s="209"/>
      <c r="AF255" s="209"/>
      <c r="AG255" s="440"/>
      <c r="AH255" s="255"/>
    </row>
    <row r="256" spans="2:34" s="198" customFormat="1" ht="14.1" hidden="1" customHeight="1">
      <c r="B256" s="199">
        <v>247</v>
      </c>
      <c r="C256" s="200"/>
      <c r="D256" s="200" t="s">
        <v>544</v>
      </c>
      <c r="E256" s="437" t="s">
        <v>151</v>
      </c>
      <c r="F256" s="200">
        <v>1</v>
      </c>
      <c r="G256" s="200">
        <v>1</v>
      </c>
      <c r="H256" s="201" t="s">
        <v>2107</v>
      </c>
      <c r="I256" s="201" t="s">
        <v>2116</v>
      </c>
      <c r="J256" s="201" t="s">
        <v>2768</v>
      </c>
      <c r="K256" s="201" t="s">
        <v>2769</v>
      </c>
      <c r="L256" s="201" t="s">
        <v>2425</v>
      </c>
      <c r="M256" s="233">
        <v>23372</v>
      </c>
      <c r="N256" s="233">
        <v>84.98</v>
      </c>
      <c r="O256" s="438"/>
      <c r="P256" s="60"/>
      <c r="Q256" s="200" t="s">
        <v>2641</v>
      </c>
      <c r="R256" s="200"/>
      <c r="S256" s="439" t="s">
        <v>151</v>
      </c>
      <c r="T256" s="200">
        <v>1</v>
      </c>
      <c r="U256" s="209" t="s">
        <v>1059</v>
      </c>
      <c r="V256" s="252">
        <v>166800000</v>
      </c>
      <c r="W256" s="252">
        <v>166800000</v>
      </c>
      <c r="X256" s="200"/>
      <c r="Y256" s="209"/>
      <c r="Z256" s="209"/>
      <c r="AA256" s="209"/>
      <c r="AB256" s="200"/>
      <c r="AC256" s="209"/>
      <c r="AD256" s="209"/>
      <c r="AE256" s="209"/>
      <c r="AF256" s="209"/>
      <c r="AG256" s="440"/>
      <c r="AH256" s="255"/>
    </row>
    <row r="257" spans="2:34" s="198" customFormat="1" ht="14.1" hidden="1" customHeight="1">
      <c r="B257" s="199">
        <v>248</v>
      </c>
      <c r="C257" s="200"/>
      <c r="D257" s="200" t="s">
        <v>545</v>
      </c>
      <c r="E257" s="437" t="s">
        <v>148</v>
      </c>
      <c r="F257" s="200">
        <v>1</v>
      </c>
      <c r="G257" s="200">
        <v>1</v>
      </c>
      <c r="H257" s="201" t="s">
        <v>2239</v>
      </c>
      <c r="I257" s="201" t="s">
        <v>2484</v>
      </c>
      <c r="J257" s="201" t="s">
        <v>2770</v>
      </c>
      <c r="K257" s="201" t="s">
        <v>2771</v>
      </c>
      <c r="L257" s="201" t="s">
        <v>2487</v>
      </c>
      <c r="M257" s="233">
        <v>31702.6</v>
      </c>
      <c r="N257" s="233">
        <v>59.39</v>
      </c>
      <c r="O257" s="438"/>
      <c r="P257" s="60"/>
      <c r="Q257" s="200" t="s">
        <v>2772</v>
      </c>
      <c r="R257" s="200" t="s">
        <v>2511</v>
      </c>
      <c r="S257" s="303" t="s">
        <v>2773</v>
      </c>
      <c r="T257" s="200">
        <v>1</v>
      </c>
      <c r="U257" s="209" t="s">
        <v>1059</v>
      </c>
      <c r="V257" s="252">
        <v>170400000</v>
      </c>
      <c r="W257" s="252">
        <v>170400000</v>
      </c>
      <c r="X257" s="200"/>
      <c r="Y257" s="209"/>
      <c r="Z257" s="209"/>
      <c r="AA257" s="209"/>
      <c r="AB257" s="200"/>
      <c r="AC257" s="209"/>
      <c r="AD257" s="209"/>
      <c r="AE257" s="209"/>
      <c r="AF257" s="209"/>
      <c r="AG257" s="440"/>
      <c r="AH257" s="255"/>
    </row>
    <row r="258" spans="2:34" s="198" customFormat="1" ht="14.1" hidden="1" customHeight="1">
      <c r="B258" s="199">
        <v>249</v>
      </c>
      <c r="C258" s="200"/>
      <c r="D258" s="200" t="s">
        <v>546</v>
      </c>
      <c r="E258" s="437" t="s">
        <v>208</v>
      </c>
      <c r="F258" s="200">
        <v>1</v>
      </c>
      <c r="G258" s="200">
        <v>1</v>
      </c>
      <c r="H258" s="201" t="s">
        <v>2279</v>
      </c>
      <c r="I258" s="201" t="s">
        <v>2280</v>
      </c>
      <c r="J258" s="201" t="s">
        <v>2774</v>
      </c>
      <c r="K258" s="201" t="s">
        <v>2775</v>
      </c>
      <c r="L258" s="201" t="s">
        <v>2490</v>
      </c>
      <c r="M258" s="233">
        <v>25720.9</v>
      </c>
      <c r="N258" s="233">
        <v>84.936199999999999</v>
      </c>
      <c r="O258" s="438"/>
      <c r="P258" s="60"/>
      <c r="Q258" s="200" t="s">
        <v>2776</v>
      </c>
      <c r="R258" s="200"/>
      <c r="S258" s="439" t="s">
        <v>208</v>
      </c>
      <c r="T258" s="200" t="s">
        <v>2123</v>
      </c>
      <c r="U258" s="209" t="s">
        <v>1059</v>
      </c>
      <c r="V258" s="252">
        <v>165600000</v>
      </c>
      <c r="W258" s="252">
        <v>165600000</v>
      </c>
      <c r="X258" s="200"/>
      <c r="Y258" s="209"/>
      <c r="Z258" s="209"/>
      <c r="AA258" s="209"/>
      <c r="AB258" s="200"/>
      <c r="AC258" s="209"/>
      <c r="AD258" s="209"/>
      <c r="AE258" s="209"/>
      <c r="AF258" s="209"/>
      <c r="AG258" s="440"/>
      <c r="AH258" s="255"/>
    </row>
    <row r="259" spans="2:34" s="198" customFormat="1" ht="14.1" hidden="1" customHeight="1">
      <c r="B259" s="199">
        <v>250</v>
      </c>
      <c r="C259" s="200"/>
      <c r="D259" s="200" t="s">
        <v>547</v>
      </c>
      <c r="E259" s="437" t="s">
        <v>109</v>
      </c>
      <c r="F259" s="200">
        <v>1</v>
      </c>
      <c r="G259" s="200">
        <v>1</v>
      </c>
      <c r="H259" s="201" t="s">
        <v>2138</v>
      </c>
      <c r="I259" s="201" t="s">
        <v>2777</v>
      </c>
      <c r="J259" s="201" t="s">
        <v>2778</v>
      </c>
      <c r="K259" s="201" t="s">
        <v>2779</v>
      </c>
      <c r="L259" s="201" t="s">
        <v>2607</v>
      </c>
      <c r="M259" s="233">
        <v>4717</v>
      </c>
      <c r="N259" s="233">
        <v>84.94</v>
      </c>
      <c r="O259" s="438"/>
      <c r="P259" s="60"/>
      <c r="Q259" s="200" t="s">
        <v>2780</v>
      </c>
      <c r="R259" s="200"/>
      <c r="S259" s="439" t="s">
        <v>109</v>
      </c>
      <c r="T259" s="200">
        <v>1</v>
      </c>
      <c r="U259" s="209" t="s">
        <v>1059</v>
      </c>
      <c r="V259" s="252">
        <v>208800000</v>
      </c>
      <c r="W259" s="252">
        <v>208800000</v>
      </c>
      <c r="X259" s="200"/>
      <c r="Y259" s="209"/>
      <c r="Z259" s="209"/>
      <c r="AA259" s="209"/>
      <c r="AB259" s="200"/>
      <c r="AC259" s="209"/>
      <c r="AD259" s="209"/>
      <c r="AE259" s="209"/>
      <c r="AF259" s="209"/>
      <c r="AG259" s="440"/>
      <c r="AH259" s="255"/>
    </row>
    <row r="260" spans="2:34" s="198" customFormat="1" ht="14.1" hidden="1" customHeight="1">
      <c r="B260" s="199">
        <v>251</v>
      </c>
      <c r="C260" s="200"/>
      <c r="D260" s="200" t="s">
        <v>548</v>
      </c>
      <c r="E260" s="437" t="s">
        <v>151</v>
      </c>
      <c r="F260" s="200">
        <v>1</v>
      </c>
      <c r="G260" s="200">
        <v>1</v>
      </c>
      <c r="H260" s="201" t="s">
        <v>2239</v>
      </c>
      <c r="I260" s="201" t="s">
        <v>2781</v>
      </c>
      <c r="J260" s="201" t="s">
        <v>2782</v>
      </c>
      <c r="K260" s="201" t="s">
        <v>2783</v>
      </c>
      <c r="L260" s="201" t="s">
        <v>2481</v>
      </c>
      <c r="M260" s="233">
        <v>7704</v>
      </c>
      <c r="N260" s="233">
        <v>84.846000000000004</v>
      </c>
      <c r="O260" s="438"/>
      <c r="P260" s="60"/>
      <c r="Q260" s="200" t="s">
        <v>2784</v>
      </c>
      <c r="R260" s="200"/>
      <c r="S260" s="439" t="s">
        <v>151</v>
      </c>
      <c r="T260" s="200">
        <v>1</v>
      </c>
      <c r="U260" s="209" t="s">
        <v>1059</v>
      </c>
      <c r="V260" s="252">
        <v>174000000</v>
      </c>
      <c r="W260" s="252">
        <v>174000000</v>
      </c>
      <c r="X260" s="200"/>
      <c r="Y260" s="209"/>
      <c r="Z260" s="209"/>
      <c r="AA260" s="209"/>
      <c r="AB260" s="200"/>
      <c r="AC260" s="209"/>
      <c r="AD260" s="209"/>
      <c r="AE260" s="209"/>
      <c r="AF260" s="209"/>
      <c r="AG260" s="440"/>
      <c r="AH260" s="255"/>
    </row>
    <row r="261" spans="2:34" s="198" customFormat="1" ht="14.1" hidden="1" customHeight="1">
      <c r="B261" s="199">
        <v>252</v>
      </c>
      <c r="C261" s="200"/>
      <c r="D261" s="200" t="s">
        <v>549</v>
      </c>
      <c r="E261" s="437" t="s">
        <v>236</v>
      </c>
      <c r="F261" s="200">
        <v>1</v>
      </c>
      <c r="G261" s="200">
        <v>1</v>
      </c>
      <c r="H261" s="201" t="s">
        <v>2239</v>
      </c>
      <c r="I261" s="201" t="s">
        <v>2397</v>
      </c>
      <c r="J261" s="201" t="s">
        <v>2398</v>
      </c>
      <c r="K261" s="201" t="s">
        <v>2785</v>
      </c>
      <c r="L261" s="201" t="s">
        <v>2644</v>
      </c>
      <c r="M261" s="233">
        <v>1199.3</v>
      </c>
      <c r="N261" s="233">
        <v>49.976799999999997</v>
      </c>
      <c r="O261" s="438"/>
      <c r="P261" s="60"/>
      <c r="Q261" s="200" t="s">
        <v>2786</v>
      </c>
      <c r="R261" s="200"/>
      <c r="S261" s="439" t="s">
        <v>236</v>
      </c>
      <c r="T261" s="200">
        <v>1</v>
      </c>
      <c r="U261" s="209" t="s">
        <v>1059</v>
      </c>
      <c r="V261" s="252">
        <v>159600000</v>
      </c>
      <c r="W261" s="252">
        <v>159600000</v>
      </c>
      <c r="X261" s="200"/>
      <c r="Y261" s="209"/>
      <c r="Z261" s="209"/>
      <c r="AA261" s="209"/>
      <c r="AB261" s="200"/>
      <c r="AC261" s="209"/>
      <c r="AD261" s="209"/>
      <c r="AE261" s="209"/>
      <c r="AF261" s="209"/>
      <c r="AG261" s="440"/>
      <c r="AH261" s="255"/>
    </row>
    <row r="262" spans="2:34" s="198" customFormat="1" ht="14.1" hidden="1" customHeight="1">
      <c r="B262" s="199">
        <v>253</v>
      </c>
      <c r="C262" s="200"/>
      <c r="D262" s="200" t="s">
        <v>550</v>
      </c>
      <c r="E262" s="437" t="s">
        <v>668</v>
      </c>
      <c r="F262" s="200">
        <v>1</v>
      </c>
      <c r="G262" s="200">
        <v>1</v>
      </c>
      <c r="H262" s="201" t="s">
        <v>2239</v>
      </c>
      <c r="I262" s="201" t="s">
        <v>2240</v>
      </c>
      <c r="J262" s="201" t="s">
        <v>2246</v>
      </c>
      <c r="K262" s="201" t="s">
        <v>2787</v>
      </c>
      <c r="L262" s="201" t="s">
        <v>2652</v>
      </c>
      <c r="M262" s="233">
        <v>33784.6</v>
      </c>
      <c r="N262" s="233">
        <v>84.965999999999994</v>
      </c>
      <c r="O262" s="438"/>
      <c r="P262" s="60"/>
      <c r="Q262" s="200" t="s">
        <v>2788</v>
      </c>
      <c r="R262" s="200"/>
      <c r="S262" s="439" t="s">
        <v>668</v>
      </c>
      <c r="T262" s="200">
        <v>1</v>
      </c>
      <c r="U262" s="209" t="s">
        <v>1059</v>
      </c>
      <c r="V262" s="252">
        <v>158400000</v>
      </c>
      <c r="W262" s="252">
        <v>158400000</v>
      </c>
      <c r="X262" s="200"/>
      <c r="Y262" s="209"/>
      <c r="Z262" s="209"/>
      <c r="AA262" s="209"/>
      <c r="AB262" s="200"/>
      <c r="AC262" s="209"/>
      <c r="AD262" s="209"/>
      <c r="AE262" s="209"/>
      <c r="AF262" s="209"/>
      <c r="AG262" s="440"/>
      <c r="AH262" s="255"/>
    </row>
    <row r="263" spans="2:34" s="198" customFormat="1" ht="14.1" hidden="1" customHeight="1">
      <c r="B263" s="199">
        <v>254</v>
      </c>
      <c r="C263" s="200"/>
      <c r="D263" s="200" t="s">
        <v>551</v>
      </c>
      <c r="E263" s="437" t="s">
        <v>669</v>
      </c>
      <c r="F263" s="200">
        <v>1</v>
      </c>
      <c r="G263" s="200">
        <v>1</v>
      </c>
      <c r="H263" s="201" t="s">
        <v>2260</v>
      </c>
      <c r="I263" s="201" t="s">
        <v>2789</v>
      </c>
      <c r="J263" s="201" t="s">
        <v>2790</v>
      </c>
      <c r="K263" s="201" t="s">
        <v>2791</v>
      </c>
      <c r="L263" s="201" t="s">
        <v>2481</v>
      </c>
      <c r="M263" s="233">
        <v>86018.3</v>
      </c>
      <c r="N263" s="233">
        <v>84.995999999999995</v>
      </c>
      <c r="O263" s="438"/>
      <c r="P263" s="60"/>
      <c r="Q263" s="200" t="s">
        <v>2792</v>
      </c>
      <c r="R263" s="200" t="s">
        <v>2511</v>
      </c>
      <c r="S263" s="303" t="s">
        <v>2793</v>
      </c>
      <c r="T263" s="200">
        <v>1</v>
      </c>
      <c r="U263" s="209" t="s">
        <v>1059</v>
      </c>
      <c r="V263" s="252">
        <v>157200000</v>
      </c>
      <c r="W263" s="252">
        <v>157200000</v>
      </c>
      <c r="X263" s="200"/>
      <c r="Y263" s="209"/>
      <c r="Z263" s="209"/>
      <c r="AA263" s="209"/>
      <c r="AB263" s="200"/>
      <c r="AC263" s="209"/>
      <c r="AD263" s="209"/>
      <c r="AE263" s="209"/>
      <c r="AF263" s="209"/>
      <c r="AG263" s="440"/>
      <c r="AH263" s="255"/>
    </row>
    <row r="264" spans="2:34" s="198" customFormat="1" ht="14.1" hidden="1" customHeight="1">
      <c r="B264" s="199">
        <v>255</v>
      </c>
      <c r="C264" s="200"/>
      <c r="D264" s="200" t="s">
        <v>552</v>
      </c>
      <c r="E264" s="437" t="s">
        <v>109</v>
      </c>
      <c r="F264" s="200">
        <v>1</v>
      </c>
      <c r="G264" s="200">
        <v>1</v>
      </c>
      <c r="H264" s="201" t="s">
        <v>2107</v>
      </c>
      <c r="I264" s="201" t="s">
        <v>2612</v>
      </c>
      <c r="J264" s="201" t="s">
        <v>2794</v>
      </c>
      <c r="K264" s="201" t="s">
        <v>2795</v>
      </c>
      <c r="L264" s="201" t="s">
        <v>2481</v>
      </c>
      <c r="M264" s="233">
        <v>30385</v>
      </c>
      <c r="N264" s="233">
        <v>122.65</v>
      </c>
      <c r="O264" s="438"/>
      <c r="P264" s="60"/>
      <c r="Q264" s="200" t="s">
        <v>2796</v>
      </c>
      <c r="R264" s="200"/>
      <c r="S264" s="439" t="s">
        <v>109</v>
      </c>
      <c r="T264" s="200">
        <v>1</v>
      </c>
      <c r="U264" s="209" t="s">
        <v>1059</v>
      </c>
      <c r="V264" s="252">
        <v>120000000</v>
      </c>
      <c r="W264" s="252">
        <v>120000000</v>
      </c>
      <c r="X264" s="200"/>
      <c r="Y264" s="209"/>
      <c r="Z264" s="209"/>
      <c r="AA264" s="209"/>
      <c r="AB264" s="200"/>
      <c r="AC264" s="209"/>
      <c r="AD264" s="209"/>
      <c r="AE264" s="209"/>
      <c r="AF264" s="209"/>
      <c r="AG264" s="440"/>
      <c r="AH264" s="255"/>
    </row>
    <row r="265" spans="2:34" s="198" customFormat="1" ht="14.1" hidden="1" customHeight="1">
      <c r="B265" s="199">
        <v>256</v>
      </c>
      <c r="C265" s="200"/>
      <c r="D265" s="200" t="s">
        <v>553</v>
      </c>
      <c r="E265" s="437" t="s">
        <v>226</v>
      </c>
      <c r="F265" s="200">
        <v>1</v>
      </c>
      <c r="G265" s="200">
        <v>1</v>
      </c>
      <c r="H265" s="201" t="s">
        <v>2107</v>
      </c>
      <c r="I265" s="201" t="s">
        <v>2797</v>
      </c>
      <c r="J265" s="201" t="s">
        <v>2798</v>
      </c>
      <c r="K265" s="201" t="s">
        <v>2799</v>
      </c>
      <c r="L265" s="201" t="s">
        <v>2800</v>
      </c>
      <c r="M265" s="233">
        <v>9881</v>
      </c>
      <c r="N265" s="233">
        <v>76.989999999999995</v>
      </c>
      <c r="O265" s="438"/>
      <c r="P265" s="60"/>
      <c r="Q265" s="200" t="s">
        <v>2801</v>
      </c>
      <c r="R265" s="200"/>
      <c r="S265" s="303" t="s">
        <v>2320</v>
      </c>
      <c r="T265" s="200">
        <v>1</v>
      </c>
      <c r="U265" s="209" t="s">
        <v>1059</v>
      </c>
      <c r="V265" s="252">
        <v>204000000</v>
      </c>
      <c r="W265" s="252">
        <v>204000000</v>
      </c>
      <c r="X265" s="200"/>
      <c r="Y265" s="209"/>
      <c r="Z265" s="209"/>
      <c r="AA265" s="209"/>
      <c r="AB265" s="200"/>
      <c r="AC265" s="209"/>
      <c r="AD265" s="209"/>
      <c r="AE265" s="209"/>
      <c r="AF265" s="209"/>
      <c r="AG265" s="440"/>
      <c r="AH265" s="255"/>
    </row>
    <row r="266" spans="2:34" s="198" customFormat="1" ht="14.1" hidden="1" customHeight="1">
      <c r="B266" s="199">
        <v>257</v>
      </c>
      <c r="C266" s="200"/>
      <c r="D266" s="200" t="s">
        <v>554</v>
      </c>
      <c r="E266" s="437" t="s">
        <v>141</v>
      </c>
      <c r="F266" s="200">
        <v>1</v>
      </c>
      <c r="G266" s="200">
        <v>1</v>
      </c>
      <c r="H266" s="201" t="s">
        <v>2239</v>
      </c>
      <c r="I266" s="201" t="s">
        <v>2802</v>
      </c>
      <c r="J266" s="201" t="s">
        <v>2803</v>
      </c>
      <c r="K266" s="201" t="s">
        <v>2804</v>
      </c>
      <c r="L266" s="201" t="s">
        <v>2122</v>
      </c>
      <c r="M266" s="233">
        <v>570</v>
      </c>
      <c r="N266" s="233"/>
      <c r="O266" s="438"/>
      <c r="P266" s="60"/>
      <c r="Q266" s="200"/>
      <c r="R266" s="200"/>
      <c r="S266" s="439" t="s">
        <v>141</v>
      </c>
      <c r="T266" s="200">
        <v>1</v>
      </c>
      <c r="U266" s="209" t="s">
        <v>1059</v>
      </c>
      <c r="V266" s="252">
        <v>150000000</v>
      </c>
      <c r="W266" s="252">
        <v>150000000</v>
      </c>
      <c r="X266" s="200"/>
      <c r="Y266" s="209"/>
      <c r="Z266" s="209"/>
      <c r="AA266" s="209"/>
      <c r="AB266" s="200"/>
      <c r="AC266" s="209"/>
      <c r="AD266" s="209"/>
      <c r="AE266" s="209"/>
      <c r="AF266" s="209"/>
      <c r="AG266" s="440"/>
      <c r="AH266" s="255"/>
    </row>
    <row r="267" spans="2:34" s="198" customFormat="1" ht="14.1" hidden="1" customHeight="1">
      <c r="B267" s="199">
        <v>258</v>
      </c>
      <c r="C267" s="200"/>
      <c r="D267" s="200" t="s">
        <v>554</v>
      </c>
      <c r="E267" s="437" t="s">
        <v>141</v>
      </c>
      <c r="F267" s="200">
        <v>1</v>
      </c>
      <c r="G267" s="200">
        <v>2</v>
      </c>
      <c r="H267" s="201" t="s">
        <v>2239</v>
      </c>
      <c r="I267" s="201" t="s">
        <v>2802</v>
      </c>
      <c r="J267" s="201" t="s">
        <v>2803</v>
      </c>
      <c r="K267" s="201" t="s">
        <v>2805</v>
      </c>
      <c r="L267" s="201" t="s">
        <v>2806</v>
      </c>
      <c r="M267" s="233"/>
      <c r="N267" s="233">
        <v>169.88</v>
      </c>
      <c r="O267" s="438"/>
      <c r="P267" s="60"/>
      <c r="Q267" s="200"/>
      <c r="R267" s="200"/>
      <c r="S267" s="439" t="s">
        <v>141</v>
      </c>
      <c r="T267" s="200">
        <v>1</v>
      </c>
      <c r="U267" s="209" t="s">
        <v>1059</v>
      </c>
      <c r="V267" s="252">
        <v>150000000</v>
      </c>
      <c r="W267" s="252">
        <v>150000000</v>
      </c>
      <c r="X267" s="200"/>
      <c r="Y267" s="209"/>
      <c r="Z267" s="209"/>
      <c r="AA267" s="209"/>
      <c r="AB267" s="200"/>
      <c r="AC267" s="209"/>
      <c r="AD267" s="209"/>
      <c r="AE267" s="209"/>
      <c r="AF267" s="209"/>
      <c r="AG267" s="440"/>
      <c r="AH267" s="255"/>
    </row>
    <row r="268" spans="2:34" s="198" customFormat="1" ht="14.1" hidden="1" customHeight="1">
      <c r="B268" s="199">
        <v>259</v>
      </c>
      <c r="C268" s="200"/>
      <c r="D268" s="200" t="s">
        <v>555</v>
      </c>
      <c r="E268" s="437" t="s">
        <v>152</v>
      </c>
      <c r="F268" s="200">
        <v>1</v>
      </c>
      <c r="G268" s="200">
        <v>1</v>
      </c>
      <c r="H268" s="201" t="s">
        <v>2119</v>
      </c>
      <c r="I268" s="201" t="s">
        <v>2326</v>
      </c>
      <c r="J268" s="201" t="s">
        <v>2327</v>
      </c>
      <c r="K268" s="201" t="s">
        <v>2328</v>
      </c>
      <c r="L268" s="201" t="s">
        <v>2329</v>
      </c>
      <c r="M268" s="233">
        <v>16853.2</v>
      </c>
      <c r="N268" s="233">
        <v>84.43</v>
      </c>
      <c r="O268" s="438"/>
      <c r="P268" s="60"/>
      <c r="Q268" s="200" t="s">
        <v>2330</v>
      </c>
      <c r="R268" s="200"/>
      <c r="S268" s="439" t="s">
        <v>152</v>
      </c>
      <c r="T268" s="200">
        <v>1</v>
      </c>
      <c r="U268" s="209" t="s">
        <v>1059</v>
      </c>
      <c r="V268" s="252">
        <v>132000000</v>
      </c>
      <c r="W268" s="252">
        <v>132000000</v>
      </c>
      <c r="X268" s="200"/>
      <c r="Y268" s="209"/>
      <c r="Z268" s="209"/>
      <c r="AA268" s="209"/>
      <c r="AB268" s="200"/>
      <c r="AC268" s="209"/>
      <c r="AD268" s="209"/>
      <c r="AE268" s="209"/>
      <c r="AF268" s="209"/>
      <c r="AG268" s="440"/>
      <c r="AH268" s="255"/>
    </row>
    <row r="269" spans="2:34" s="198" customFormat="1" ht="14.1" hidden="1" customHeight="1">
      <c r="B269" s="199">
        <v>260</v>
      </c>
      <c r="C269" s="200"/>
      <c r="D269" s="200" t="s">
        <v>556</v>
      </c>
      <c r="E269" s="437" t="s">
        <v>284</v>
      </c>
      <c r="F269" s="200">
        <v>1</v>
      </c>
      <c r="G269" s="200">
        <v>1</v>
      </c>
      <c r="H269" s="201" t="s">
        <v>2107</v>
      </c>
      <c r="I269" s="201" t="s">
        <v>2528</v>
      </c>
      <c r="J269" s="201" t="s">
        <v>2807</v>
      </c>
      <c r="K269" s="201" t="s">
        <v>2808</v>
      </c>
      <c r="L269" s="201" t="s">
        <v>2481</v>
      </c>
      <c r="M269" s="233">
        <v>15398</v>
      </c>
      <c r="N269" s="233">
        <v>84.6</v>
      </c>
      <c r="O269" s="438"/>
      <c r="P269" s="60"/>
      <c r="Q269" s="200" t="s">
        <v>2809</v>
      </c>
      <c r="R269" s="200"/>
      <c r="S269" s="439" t="s">
        <v>284</v>
      </c>
      <c r="T269" s="200" t="s">
        <v>2123</v>
      </c>
      <c r="U269" s="209" t="s">
        <v>1059</v>
      </c>
      <c r="V269" s="252">
        <v>109200000</v>
      </c>
      <c r="W269" s="252">
        <v>109200000</v>
      </c>
      <c r="X269" s="200"/>
      <c r="Y269" s="209"/>
      <c r="Z269" s="209"/>
      <c r="AA269" s="209"/>
      <c r="AB269" s="200"/>
      <c r="AC269" s="209"/>
      <c r="AD269" s="209"/>
      <c r="AE269" s="209"/>
      <c r="AF269" s="209"/>
      <c r="AG269" s="440"/>
      <c r="AH269" s="255"/>
    </row>
    <row r="270" spans="2:34" s="198" customFormat="1" ht="14.1" hidden="1" customHeight="1">
      <c r="B270" s="199">
        <v>261</v>
      </c>
      <c r="C270" s="200"/>
      <c r="D270" s="200" t="s">
        <v>557</v>
      </c>
      <c r="E270" s="437" t="s">
        <v>152</v>
      </c>
      <c r="F270" s="200">
        <v>1</v>
      </c>
      <c r="G270" s="200">
        <v>1</v>
      </c>
      <c r="H270" s="201" t="s">
        <v>2188</v>
      </c>
      <c r="I270" s="201" t="s">
        <v>2189</v>
      </c>
      <c r="J270" s="201" t="s">
        <v>2810</v>
      </c>
      <c r="K270" s="201" t="s">
        <v>2811</v>
      </c>
      <c r="L270" s="201" t="s">
        <v>2525</v>
      </c>
      <c r="M270" s="233">
        <v>15500</v>
      </c>
      <c r="N270" s="233">
        <v>59.454999999999998</v>
      </c>
      <c r="O270" s="438"/>
      <c r="P270" s="60"/>
      <c r="Q270" s="200" t="s">
        <v>2812</v>
      </c>
      <c r="R270" s="200" t="s">
        <v>2130</v>
      </c>
      <c r="S270" s="303" t="s">
        <v>2813</v>
      </c>
      <c r="T270" s="200" t="s">
        <v>2123</v>
      </c>
      <c r="U270" s="209" t="s">
        <v>1059</v>
      </c>
      <c r="V270" s="252">
        <v>110285664</v>
      </c>
      <c r="W270" s="252">
        <v>110285664</v>
      </c>
      <c r="X270" s="200"/>
      <c r="Y270" s="209"/>
      <c r="Z270" s="209"/>
      <c r="AA270" s="209"/>
      <c r="AB270" s="200"/>
      <c r="AC270" s="209"/>
      <c r="AD270" s="209"/>
      <c r="AE270" s="209"/>
      <c r="AF270" s="209"/>
      <c r="AG270" s="440"/>
      <c r="AH270" s="255"/>
    </row>
    <row r="271" spans="2:34" s="198" customFormat="1" ht="14.1" hidden="1" customHeight="1">
      <c r="B271" s="199">
        <v>262</v>
      </c>
      <c r="C271" s="200"/>
      <c r="D271" s="200" t="s">
        <v>558</v>
      </c>
      <c r="E271" s="437" t="s">
        <v>202</v>
      </c>
      <c r="F271" s="200">
        <v>1</v>
      </c>
      <c r="G271" s="200">
        <v>1</v>
      </c>
      <c r="H271" s="201" t="s">
        <v>2469</v>
      </c>
      <c r="I271" s="201" t="s">
        <v>2814</v>
      </c>
      <c r="J271" s="201" t="s">
        <v>2815</v>
      </c>
      <c r="K271" s="201" t="s">
        <v>2816</v>
      </c>
      <c r="L271" s="201" t="s">
        <v>2709</v>
      </c>
      <c r="M271" s="233">
        <v>210001.6</v>
      </c>
      <c r="N271" s="233">
        <v>84.990200000000002</v>
      </c>
      <c r="O271" s="438"/>
      <c r="P271" s="60"/>
      <c r="Q271" s="200" t="s">
        <v>2817</v>
      </c>
      <c r="R271" s="200"/>
      <c r="S271" s="439" t="s">
        <v>202</v>
      </c>
      <c r="T271" s="200">
        <v>1</v>
      </c>
      <c r="U271" s="209" t="s">
        <v>1059</v>
      </c>
      <c r="V271" s="252">
        <v>141600000</v>
      </c>
      <c r="W271" s="252">
        <v>141600000</v>
      </c>
      <c r="X271" s="200"/>
      <c r="Y271" s="209"/>
      <c r="Z271" s="209"/>
      <c r="AA271" s="209"/>
      <c r="AB271" s="200"/>
      <c r="AC271" s="209"/>
      <c r="AD271" s="209"/>
      <c r="AE271" s="209"/>
      <c r="AF271" s="209"/>
      <c r="AG271" s="440"/>
      <c r="AH271" s="255"/>
    </row>
    <row r="272" spans="2:34" s="198" customFormat="1" ht="14.1" hidden="1" customHeight="1">
      <c r="B272" s="199">
        <v>263</v>
      </c>
      <c r="C272" s="200"/>
      <c r="D272" s="200" t="s">
        <v>559</v>
      </c>
      <c r="E272" s="437" t="s">
        <v>168</v>
      </c>
      <c r="F272" s="200">
        <v>1</v>
      </c>
      <c r="G272" s="200">
        <v>1</v>
      </c>
      <c r="H272" s="201" t="s">
        <v>2239</v>
      </c>
      <c r="I272" s="201" t="s">
        <v>2484</v>
      </c>
      <c r="J272" s="201" t="s">
        <v>2770</v>
      </c>
      <c r="K272" s="201" t="s">
        <v>2818</v>
      </c>
      <c r="L272" s="201" t="s">
        <v>2819</v>
      </c>
      <c r="M272" s="233">
        <v>73714.100000000006</v>
      </c>
      <c r="N272" s="233">
        <v>59.99</v>
      </c>
      <c r="O272" s="438"/>
      <c r="P272" s="60"/>
      <c r="Q272" s="200" t="s">
        <v>2820</v>
      </c>
      <c r="R272" s="200"/>
      <c r="S272" s="439" t="s">
        <v>168</v>
      </c>
      <c r="T272" s="200" t="s">
        <v>2123</v>
      </c>
      <c r="U272" s="209" t="s">
        <v>1059</v>
      </c>
      <c r="V272" s="252">
        <v>144000000</v>
      </c>
      <c r="W272" s="252">
        <v>144000000</v>
      </c>
      <c r="X272" s="200"/>
      <c r="Y272" s="209"/>
      <c r="Z272" s="209"/>
      <c r="AA272" s="209"/>
      <c r="AB272" s="200"/>
      <c r="AC272" s="209"/>
      <c r="AD272" s="209"/>
      <c r="AE272" s="209"/>
      <c r="AF272" s="209"/>
      <c r="AG272" s="440"/>
      <c r="AH272" s="255"/>
    </row>
    <row r="273" spans="2:34" s="198" customFormat="1" ht="14.1" hidden="1" customHeight="1">
      <c r="B273" s="199">
        <v>264</v>
      </c>
      <c r="C273" s="200"/>
      <c r="D273" s="200" t="s">
        <v>560</v>
      </c>
      <c r="E273" s="437" t="s">
        <v>670</v>
      </c>
      <c r="F273" s="200">
        <v>1</v>
      </c>
      <c r="G273" s="200">
        <v>1</v>
      </c>
      <c r="H273" s="201" t="s">
        <v>2138</v>
      </c>
      <c r="I273" s="201" t="s">
        <v>2777</v>
      </c>
      <c r="J273" s="201" t="s">
        <v>2778</v>
      </c>
      <c r="K273" s="201" t="s">
        <v>2779</v>
      </c>
      <c r="L273" s="201" t="s">
        <v>2607</v>
      </c>
      <c r="M273" s="233">
        <v>4717</v>
      </c>
      <c r="N273" s="233">
        <v>84.94</v>
      </c>
      <c r="O273" s="438"/>
      <c r="P273" s="60"/>
      <c r="Q273" s="200" t="s">
        <v>2780</v>
      </c>
      <c r="R273" s="200"/>
      <c r="S273" s="303" t="s">
        <v>2517</v>
      </c>
      <c r="T273" s="200">
        <v>2</v>
      </c>
      <c r="U273" s="209" t="s">
        <v>1059</v>
      </c>
      <c r="V273" s="252">
        <v>200000000</v>
      </c>
      <c r="W273" s="252">
        <v>200000000</v>
      </c>
      <c r="X273" s="200"/>
      <c r="Y273" s="209"/>
      <c r="Z273" s="209"/>
      <c r="AA273" s="209"/>
      <c r="AB273" s="200">
        <v>1</v>
      </c>
      <c r="AC273" s="209" t="s">
        <v>1059</v>
      </c>
      <c r="AD273" s="252">
        <v>208800000</v>
      </c>
      <c r="AE273" s="252">
        <v>208800000</v>
      </c>
      <c r="AF273" s="209"/>
      <c r="AG273" s="440"/>
      <c r="AH273" s="255"/>
    </row>
    <row r="274" spans="2:34" s="198" customFormat="1" ht="14.1" hidden="1" customHeight="1">
      <c r="B274" s="199">
        <v>265</v>
      </c>
      <c r="C274" s="200"/>
      <c r="D274" s="200" t="s">
        <v>561</v>
      </c>
      <c r="E274" s="437" t="s">
        <v>168</v>
      </c>
      <c r="F274" s="200">
        <v>1</v>
      </c>
      <c r="G274" s="200">
        <v>1</v>
      </c>
      <c r="H274" s="201" t="s">
        <v>2138</v>
      </c>
      <c r="I274" s="201" t="s">
        <v>2821</v>
      </c>
      <c r="J274" s="201" t="s">
        <v>2822</v>
      </c>
      <c r="K274" s="201" t="s">
        <v>2823</v>
      </c>
      <c r="L274" s="201" t="s">
        <v>2824</v>
      </c>
      <c r="M274" s="233">
        <v>53745.8</v>
      </c>
      <c r="N274" s="233">
        <v>114.91200000000001</v>
      </c>
      <c r="O274" s="438"/>
      <c r="P274" s="60"/>
      <c r="Q274" s="200" t="s">
        <v>2825</v>
      </c>
      <c r="R274" s="200"/>
      <c r="S274" s="439" t="s">
        <v>168</v>
      </c>
      <c r="T274" s="200" t="s">
        <v>2826</v>
      </c>
      <c r="U274" s="209" t="s">
        <v>1059</v>
      </c>
      <c r="V274" s="252">
        <v>136800000</v>
      </c>
      <c r="W274" s="252">
        <v>136800000</v>
      </c>
      <c r="X274" s="200"/>
      <c r="Y274" s="209"/>
      <c r="Z274" s="209"/>
      <c r="AA274" s="209"/>
      <c r="AB274" s="200" t="s">
        <v>2827</v>
      </c>
      <c r="AC274" s="209" t="s">
        <v>1059</v>
      </c>
      <c r="AD274" s="209">
        <v>279000000</v>
      </c>
      <c r="AE274" s="209">
        <v>279000000</v>
      </c>
      <c r="AF274" s="209"/>
      <c r="AG274" s="440"/>
      <c r="AH274" s="255"/>
    </row>
    <row r="275" spans="2:34" s="198" customFormat="1" ht="14.1" hidden="1" customHeight="1">
      <c r="B275" s="199">
        <v>266</v>
      </c>
      <c r="C275" s="200"/>
      <c r="D275" s="200" t="s">
        <v>562</v>
      </c>
      <c r="E275" s="437" t="s">
        <v>109</v>
      </c>
      <c r="F275" s="200">
        <v>1</v>
      </c>
      <c r="G275" s="200">
        <v>1</v>
      </c>
      <c r="H275" s="201" t="s">
        <v>2107</v>
      </c>
      <c r="I275" s="201" t="s">
        <v>2548</v>
      </c>
      <c r="J275" s="201" t="s">
        <v>2828</v>
      </c>
      <c r="K275" s="201" t="s">
        <v>2829</v>
      </c>
      <c r="L275" s="201" t="s">
        <v>2394</v>
      </c>
      <c r="M275" s="233">
        <v>432</v>
      </c>
      <c r="N275" s="233">
        <v>80.900000000000006</v>
      </c>
      <c r="O275" s="438"/>
      <c r="P275" s="60"/>
      <c r="Q275" s="200" t="s">
        <v>2830</v>
      </c>
      <c r="R275" s="200"/>
      <c r="S275" s="439" t="s">
        <v>109</v>
      </c>
      <c r="T275" s="200">
        <v>1</v>
      </c>
      <c r="U275" s="209" t="s">
        <v>1059</v>
      </c>
      <c r="V275" s="252">
        <v>134400000</v>
      </c>
      <c r="W275" s="252">
        <v>134400000</v>
      </c>
      <c r="X275" s="200"/>
      <c r="Y275" s="209"/>
      <c r="Z275" s="209"/>
      <c r="AA275" s="209"/>
      <c r="AB275" s="200"/>
      <c r="AC275" s="209"/>
      <c r="AD275" s="209"/>
      <c r="AE275" s="209"/>
      <c r="AF275" s="209"/>
      <c r="AG275" s="440"/>
      <c r="AH275" s="255"/>
    </row>
    <row r="276" spans="2:34" s="198" customFormat="1" ht="14.1" hidden="1" customHeight="1">
      <c r="B276" s="199">
        <v>267</v>
      </c>
      <c r="C276" s="200"/>
      <c r="D276" s="200" t="s">
        <v>563</v>
      </c>
      <c r="E276" s="437" t="s">
        <v>109</v>
      </c>
      <c r="F276" s="200">
        <v>1</v>
      </c>
      <c r="G276" s="200">
        <v>1</v>
      </c>
      <c r="H276" s="201" t="s">
        <v>2188</v>
      </c>
      <c r="I276" s="201" t="s">
        <v>2831</v>
      </c>
      <c r="J276" s="201" t="s">
        <v>2832</v>
      </c>
      <c r="K276" s="201" t="s">
        <v>2833</v>
      </c>
      <c r="L276" s="201" t="s">
        <v>2834</v>
      </c>
      <c r="M276" s="233">
        <v>1485</v>
      </c>
      <c r="N276" s="233">
        <v>115.74</v>
      </c>
      <c r="O276" s="438"/>
      <c r="P276" s="60"/>
      <c r="Q276" s="200" t="s">
        <v>2835</v>
      </c>
      <c r="R276" s="200"/>
      <c r="S276" s="439" t="s">
        <v>109</v>
      </c>
      <c r="T276" s="200">
        <v>1</v>
      </c>
      <c r="U276" s="209" t="s">
        <v>1059</v>
      </c>
      <c r="V276" s="252">
        <v>166400000</v>
      </c>
      <c r="W276" s="252">
        <v>166400000</v>
      </c>
      <c r="X276" s="200"/>
      <c r="Y276" s="209"/>
      <c r="Z276" s="209"/>
      <c r="AA276" s="209"/>
      <c r="AB276" s="200"/>
      <c r="AC276" s="209"/>
      <c r="AD276" s="209"/>
      <c r="AE276" s="209"/>
      <c r="AF276" s="209"/>
      <c r="AG276" s="440"/>
      <c r="AH276" s="255"/>
    </row>
    <row r="277" spans="2:34" s="198" customFormat="1" ht="14.1" hidden="1" customHeight="1">
      <c r="B277" s="199">
        <v>268</v>
      </c>
      <c r="C277" s="200"/>
      <c r="D277" s="200" t="s">
        <v>564</v>
      </c>
      <c r="E277" s="437" t="s">
        <v>138</v>
      </c>
      <c r="F277" s="200">
        <v>1</v>
      </c>
      <c r="G277" s="200">
        <v>1</v>
      </c>
      <c r="H277" s="201" t="s">
        <v>2279</v>
      </c>
      <c r="I277" s="201" t="s">
        <v>2836</v>
      </c>
      <c r="J277" s="201" t="s">
        <v>2837</v>
      </c>
      <c r="K277" s="201" t="s">
        <v>2838</v>
      </c>
      <c r="L277" s="201" t="s">
        <v>2481</v>
      </c>
      <c r="M277" s="233">
        <v>31893.4</v>
      </c>
      <c r="N277" s="233">
        <v>59.76</v>
      </c>
      <c r="O277" s="438"/>
      <c r="P277" s="60"/>
      <c r="Q277" s="200" t="s">
        <v>2839</v>
      </c>
      <c r="R277" s="200"/>
      <c r="S277" s="439" t="s">
        <v>138</v>
      </c>
      <c r="T277" s="200" t="s">
        <v>2123</v>
      </c>
      <c r="U277" s="209" t="s">
        <v>1059</v>
      </c>
      <c r="V277" s="252">
        <v>127200000</v>
      </c>
      <c r="W277" s="252">
        <v>127200000</v>
      </c>
      <c r="X277" s="200"/>
      <c r="Y277" s="209"/>
      <c r="Z277" s="209"/>
      <c r="AA277" s="209"/>
      <c r="AB277" s="200"/>
      <c r="AC277" s="209"/>
      <c r="AD277" s="209"/>
      <c r="AE277" s="209"/>
      <c r="AF277" s="209"/>
      <c r="AG277" s="440"/>
      <c r="AH277" s="255"/>
    </row>
    <row r="278" spans="2:34" s="198" customFormat="1" ht="14.1" hidden="1" customHeight="1">
      <c r="B278" s="199">
        <v>269</v>
      </c>
      <c r="C278" s="200"/>
      <c r="D278" s="200" t="s">
        <v>565</v>
      </c>
      <c r="E278" s="437" t="s">
        <v>109</v>
      </c>
      <c r="F278" s="200">
        <v>1</v>
      </c>
      <c r="G278" s="200">
        <v>1</v>
      </c>
      <c r="H278" s="201" t="s">
        <v>2107</v>
      </c>
      <c r="I278" s="201" t="s">
        <v>2840</v>
      </c>
      <c r="J278" s="201" t="s">
        <v>2841</v>
      </c>
      <c r="K278" s="201" t="s">
        <v>2842</v>
      </c>
      <c r="L278" s="201" t="s">
        <v>2843</v>
      </c>
      <c r="M278" s="233">
        <v>200</v>
      </c>
      <c r="N278" s="233">
        <v>42.87</v>
      </c>
      <c r="O278" s="438"/>
      <c r="P278" s="60"/>
      <c r="Q278" s="200" t="s">
        <v>2844</v>
      </c>
      <c r="R278" s="200"/>
      <c r="S278" s="439" t="s">
        <v>109</v>
      </c>
      <c r="T278" s="200">
        <v>1</v>
      </c>
      <c r="U278" s="209" t="s">
        <v>1059</v>
      </c>
      <c r="V278" s="252">
        <v>126000000</v>
      </c>
      <c r="W278" s="209">
        <v>126000000</v>
      </c>
      <c r="X278" s="200"/>
      <c r="Y278" s="209"/>
      <c r="Z278" s="209"/>
      <c r="AA278" s="209"/>
      <c r="AB278" s="200"/>
      <c r="AC278" s="209"/>
      <c r="AD278" s="209"/>
      <c r="AE278" s="209"/>
      <c r="AF278" s="209"/>
      <c r="AG278" s="440"/>
      <c r="AH278" s="255"/>
    </row>
    <row r="279" spans="2:34" s="198" customFormat="1" ht="14.1" hidden="1" customHeight="1">
      <c r="B279" s="199">
        <v>270</v>
      </c>
      <c r="C279" s="200"/>
      <c r="D279" s="200" t="s">
        <v>566</v>
      </c>
      <c r="E279" s="437" t="s">
        <v>109</v>
      </c>
      <c r="F279" s="200">
        <v>1</v>
      </c>
      <c r="G279" s="200">
        <v>1</v>
      </c>
      <c r="H279" s="201" t="s">
        <v>2279</v>
      </c>
      <c r="I279" s="201" t="s">
        <v>2571</v>
      </c>
      <c r="J279" s="201" t="s">
        <v>2572</v>
      </c>
      <c r="K279" s="201" t="s">
        <v>2845</v>
      </c>
      <c r="L279" s="201" t="s">
        <v>2122</v>
      </c>
      <c r="M279" s="233">
        <v>200.6</v>
      </c>
      <c r="N279" s="233"/>
      <c r="O279" s="438"/>
      <c r="P279" s="60"/>
      <c r="Q279" s="200"/>
      <c r="R279" s="200"/>
      <c r="S279" s="439" t="s">
        <v>109</v>
      </c>
      <c r="T279" s="200">
        <v>1</v>
      </c>
      <c r="U279" s="209" t="s">
        <v>1059</v>
      </c>
      <c r="V279" s="252">
        <v>180000000</v>
      </c>
      <c r="W279" s="252">
        <v>180000000</v>
      </c>
      <c r="X279" s="200"/>
      <c r="Y279" s="209"/>
      <c r="Z279" s="209"/>
      <c r="AA279" s="209"/>
      <c r="AB279" s="200"/>
      <c r="AC279" s="209"/>
      <c r="AD279" s="209"/>
      <c r="AE279" s="209"/>
      <c r="AF279" s="209"/>
      <c r="AG279" s="440"/>
      <c r="AH279" s="255"/>
    </row>
    <row r="280" spans="2:34" s="198" customFormat="1" ht="14.1" hidden="1" customHeight="1">
      <c r="B280" s="199">
        <v>271</v>
      </c>
      <c r="C280" s="200"/>
      <c r="D280" s="200" t="s">
        <v>566</v>
      </c>
      <c r="E280" s="437" t="s">
        <v>109</v>
      </c>
      <c r="F280" s="200">
        <v>1</v>
      </c>
      <c r="G280" s="200">
        <v>2</v>
      </c>
      <c r="H280" s="201" t="s">
        <v>2279</v>
      </c>
      <c r="I280" s="201" t="s">
        <v>2571</v>
      </c>
      <c r="J280" s="201" t="s">
        <v>2572</v>
      </c>
      <c r="K280" s="201" t="s">
        <v>2846</v>
      </c>
      <c r="L280" s="201" t="s">
        <v>2847</v>
      </c>
      <c r="M280" s="233"/>
      <c r="N280" s="233">
        <v>373.74</v>
      </c>
      <c r="O280" s="438"/>
      <c r="P280" s="60"/>
      <c r="Q280" s="200"/>
      <c r="R280" s="200"/>
      <c r="S280" s="439" t="s">
        <v>109</v>
      </c>
      <c r="T280" s="200">
        <v>1</v>
      </c>
      <c r="U280" s="209" t="s">
        <v>1059</v>
      </c>
      <c r="V280" s="252">
        <v>180000000</v>
      </c>
      <c r="W280" s="252">
        <v>180000000</v>
      </c>
      <c r="X280" s="200"/>
      <c r="Y280" s="209"/>
      <c r="Z280" s="209"/>
      <c r="AA280" s="209"/>
      <c r="AB280" s="200"/>
      <c r="AC280" s="209"/>
      <c r="AD280" s="209"/>
      <c r="AE280" s="209"/>
      <c r="AF280" s="209"/>
      <c r="AG280" s="440"/>
      <c r="AH280" s="255"/>
    </row>
    <row r="281" spans="2:34" s="198" customFormat="1" ht="14.1" hidden="1" customHeight="1">
      <c r="B281" s="199">
        <v>272</v>
      </c>
      <c r="C281" s="200"/>
      <c r="D281" s="200" t="s">
        <v>567</v>
      </c>
      <c r="E281" s="437" t="s">
        <v>234</v>
      </c>
      <c r="F281" s="200">
        <v>1</v>
      </c>
      <c r="G281" s="200">
        <v>1</v>
      </c>
      <c r="H281" s="201" t="s">
        <v>2239</v>
      </c>
      <c r="I281" s="201" t="s">
        <v>2397</v>
      </c>
      <c r="J281" s="201" t="s">
        <v>2848</v>
      </c>
      <c r="K281" s="201" t="s">
        <v>2849</v>
      </c>
      <c r="L281" s="201" t="s">
        <v>2850</v>
      </c>
      <c r="M281" s="233">
        <v>271.7</v>
      </c>
      <c r="N281" s="233">
        <v>23.96</v>
      </c>
      <c r="O281" s="438"/>
      <c r="P281" s="60"/>
      <c r="Q281" s="200" t="s">
        <v>2851</v>
      </c>
      <c r="R281" s="200"/>
      <c r="S281" s="439" t="s">
        <v>234</v>
      </c>
      <c r="T281" s="200">
        <v>1</v>
      </c>
      <c r="U281" s="209" t="s">
        <v>1059</v>
      </c>
      <c r="V281" s="252">
        <v>57600000</v>
      </c>
      <c r="W281" s="252">
        <v>57600000</v>
      </c>
      <c r="X281" s="200"/>
      <c r="Y281" s="209"/>
      <c r="Z281" s="209"/>
      <c r="AA281" s="209"/>
      <c r="AB281" s="200"/>
      <c r="AC281" s="209"/>
      <c r="AD281" s="209"/>
      <c r="AE281" s="209"/>
      <c r="AF281" s="209"/>
      <c r="AG281" s="440"/>
      <c r="AH281" s="255"/>
    </row>
    <row r="282" spans="2:34" s="198" customFormat="1" ht="14.1" hidden="1" customHeight="1">
      <c r="B282" s="199">
        <v>273</v>
      </c>
      <c r="C282" s="200"/>
      <c r="D282" s="200" t="s">
        <v>567</v>
      </c>
      <c r="E282" s="437" t="s">
        <v>234</v>
      </c>
      <c r="F282" s="200">
        <v>2</v>
      </c>
      <c r="G282" s="200">
        <v>1</v>
      </c>
      <c r="H282" s="201" t="s">
        <v>2239</v>
      </c>
      <c r="I282" s="201" t="s">
        <v>2397</v>
      </c>
      <c r="J282" s="201" t="s">
        <v>2848</v>
      </c>
      <c r="K282" s="201" t="s">
        <v>2852</v>
      </c>
      <c r="L282" s="201" t="s">
        <v>2850</v>
      </c>
      <c r="M282" s="233">
        <v>271.7</v>
      </c>
      <c r="N282" s="233">
        <v>29.49</v>
      </c>
      <c r="O282" s="438"/>
      <c r="P282" s="60"/>
      <c r="Q282" s="200" t="s">
        <v>2853</v>
      </c>
      <c r="R282" s="200"/>
      <c r="S282" s="439" t="s">
        <v>234</v>
      </c>
      <c r="T282" s="200">
        <v>1</v>
      </c>
      <c r="U282" s="209" t="s">
        <v>1059</v>
      </c>
      <c r="V282" s="252">
        <v>72000000</v>
      </c>
      <c r="W282" s="252">
        <v>72000000</v>
      </c>
      <c r="X282" s="200"/>
      <c r="Y282" s="209"/>
      <c r="Z282" s="209"/>
      <c r="AA282" s="209"/>
      <c r="AB282" s="200"/>
      <c r="AC282" s="209"/>
      <c r="AD282" s="209"/>
      <c r="AE282" s="209"/>
      <c r="AF282" s="209"/>
      <c r="AG282" s="440"/>
      <c r="AH282" s="255"/>
    </row>
    <row r="283" spans="2:34" s="198" customFormat="1" ht="14.1" hidden="1" customHeight="1">
      <c r="B283" s="199">
        <v>274</v>
      </c>
      <c r="C283" s="200"/>
      <c r="D283" s="200" t="s">
        <v>568</v>
      </c>
      <c r="E283" s="437" t="s">
        <v>663</v>
      </c>
      <c r="F283" s="200">
        <v>1</v>
      </c>
      <c r="G283" s="200">
        <v>1</v>
      </c>
      <c r="H283" s="201" t="s">
        <v>2279</v>
      </c>
      <c r="I283" s="201" t="s">
        <v>2378</v>
      </c>
      <c r="J283" s="201" t="s">
        <v>2854</v>
      </c>
      <c r="K283" s="201" t="s">
        <v>2855</v>
      </c>
      <c r="L283" s="201" t="s">
        <v>2144</v>
      </c>
      <c r="M283" s="233">
        <v>19161</v>
      </c>
      <c r="N283" s="233">
        <v>136.51</v>
      </c>
      <c r="O283" s="438"/>
      <c r="P283" s="60"/>
      <c r="Q283" s="200" t="s">
        <v>2856</v>
      </c>
      <c r="R283" s="200"/>
      <c r="S283" s="439" t="s">
        <v>663</v>
      </c>
      <c r="T283" s="200">
        <v>1</v>
      </c>
      <c r="U283" s="209" t="s">
        <v>1059</v>
      </c>
      <c r="V283" s="252">
        <v>126000000</v>
      </c>
      <c r="W283" s="252">
        <v>126000000</v>
      </c>
      <c r="X283" s="200"/>
      <c r="Y283" s="209"/>
      <c r="Z283" s="209"/>
      <c r="AA283" s="209"/>
      <c r="AB283" s="200"/>
      <c r="AC283" s="209"/>
      <c r="AD283" s="209"/>
      <c r="AE283" s="209"/>
      <c r="AF283" s="209"/>
      <c r="AG283" s="440"/>
      <c r="AH283" s="255"/>
    </row>
    <row r="284" spans="2:34" s="198" customFormat="1" ht="14.1" hidden="1" customHeight="1">
      <c r="B284" s="199">
        <v>275</v>
      </c>
      <c r="C284" s="200"/>
      <c r="D284" s="200" t="s">
        <v>569</v>
      </c>
      <c r="E284" s="437" t="s">
        <v>109</v>
      </c>
      <c r="F284" s="200">
        <v>1</v>
      </c>
      <c r="G284" s="200">
        <v>1</v>
      </c>
      <c r="H284" s="201" t="s">
        <v>2107</v>
      </c>
      <c r="I284" s="201" t="s">
        <v>2548</v>
      </c>
      <c r="J284" s="201" t="s">
        <v>2857</v>
      </c>
      <c r="K284" s="201" t="s">
        <v>2858</v>
      </c>
      <c r="L284" s="201" t="s">
        <v>2843</v>
      </c>
      <c r="M284" s="233">
        <v>713</v>
      </c>
      <c r="N284" s="233">
        <v>63.95</v>
      </c>
      <c r="O284" s="438"/>
      <c r="P284" s="60"/>
      <c r="Q284" s="200" t="s">
        <v>2859</v>
      </c>
      <c r="R284" s="200"/>
      <c r="S284" s="439" t="s">
        <v>109</v>
      </c>
      <c r="T284" s="200">
        <v>1</v>
      </c>
      <c r="U284" s="209" t="s">
        <v>1059</v>
      </c>
      <c r="V284" s="252">
        <v>100800000</v>
      </c>
      <c r="W284" s="252">
        <v>100800000</v>
      </c>
      <c r="X284" s="200"/>
      <c r="Y284" s="209"/>
      <c r="Z284" s="209"/>
      <c r="AA284" s="209"/>
      <c r="AB284" s="200"/>
      <c r="AC284" s="209"/>
      <c r="AD284" s="209"/>
      <c r="AE284" s="209"/>
      <c r="AF284" s="209"/>
      <c r="AG284" s="440"/>
      <c r="AH284" s="255"/>
    </row>
    <row r="285" spans="2:34" s="198" customFormat="1" ht="14.1" hidden="1" customHeight="1">
      <c r="B285" s="199">
        <v>276</v>
      </c>
      <c r="C285" s="200"/>
      <c r="D285" s="200" t="s">
        <v>570</v>
      </c>
      <c r="E285" s="437" t="s">
        <v>226</v>
      </c>
      <c r="F285" s="200">
        <v>1</v>
      </c>
      <c r="G285" s="200">
        <v>1</v>
      </c>
      <c r="H285" s="201" t="s">
        <v>2138</v>
      </c>
      <c r="I285" s="201" t="s">
        <v>2860</v>
      </c>
      <c r="J285" s="201" t="s">
        <v>2861</v>
      </c>
      <c r="K285" s="201" t="s">
        <v>2862</v>
      </c>
      <c r="L285" s="201" t="s">
        <v>2122</v>
      </c>
      <c r="M285" s="233">
        <v>53</v>
      </c>
      <c r="N285" s="233"/>
      <c r="O285" s="438"/>
      <c r="P285" s="60"/>
      <c r="Q285" s="200"/>
      <c r="R285" s="200" t="s">
        <v>2130</v>
      </c>
      <c r="S285" s="303" t="s">
        <v>2863</v>
      </c>
      <c r="T285" s="200">
        <v>1</v>
      </c>
      <c r="U285" s="209" t="s">
        <v>1059</v>
      </c>
      <c r="V285" s="252">
        <v>120000000</v>
      </c>
      <c r="W285" s="252">
        <v>120000000</v>
      </c>
      <c r="X285" s="200"/>
      <c r="Y285" s="209"/>
      <c r="Z285" s="209"/>
      <c r="AA285" s="209"/>
      <c r="AB285" s="200"/>
      <c r="AC285" s="209"/>
      <c r="AD285" s="209"/>
      <c r="AE285" s="209"/>
      <c r="AF285" s="209"/>
      <c r="AG285" s="440"/>
      <c r="AH285" s="255"/>
    </row>
    <row r="286" spans="2:34" s="198" customFormat="1" ht="14.1" hidden="1" customHeight="1">
      <c r="B286" s="199">
        <v>277</v>
      </c>
      <c r="C286" s="200"/>
      <c r="D286" s="200" t="s">
        <v>570</v>
      </c>
      <c r="E286" s="437" t="s">
        <v>226</v>
      </c>
      <c r="F286" s="200">
        <v>1</v>
      </c>
      <c r="G286" s="200">
        <v>2</v>
      </c>
      <c r="H286" s="201" t="s">
        <v>2138</v>
      </c>
      <c r="I286" s="201" t="s">
        <v>2860</v>
      </c>
      <c r="J286" s="201" t="s">
        <v>2861</v>
      </c>
      <c r="K286" s="201" t="s">
        <v>2864</v>
      </c>
      <c r="L286" s="201" t="s">
        <v>2865</v>
      </c>
      <c r="M286" s="233"/>
      <c r="N286" s="233">
        <v>25.98</v>
      </c>
      <c r="O286" s="438"/>
      <c r="P286" s="60"/>
      <c r="Q286" s="200"/>
      <c r="R286" s="200" t="s">
        <v>2130</v>
      </c>
      <c r="S286" s="303" t="s">
        <v>2863</v>
      </c>
      <c r="T286" s="200">
        <v>1</v>
      </c>
      <c r="U286" s="209" t="s">
        <v>1059</v>
      </c>
      <c r="V286" s="252">
        <v>120000000</v>
      </c>
      <c r="W286" s="252">
        <v>120000000</v>
      </c>
      <c r="X286" s="200"/>
      <c r="Y286" s="209"/>
      <c r="Z286" s="209"/>
      <c r="AA286" s="209"/>
      <c r="AB286" s="200"/>
      <c r="AC286" s="209"/>
      <c r="AD286" s="209"/>
      <c r="AE286" s="209"/>
      <c r="AF286" s="209"/>
      <c r="AG286" s="440"/>
      <c r="AH286" s="255"/>
    </row>
    <row r="287" spans="2:34" s="198" customFormat="1" ht="14.1" hidden="1" customHeight="1">
      <c r="B287" s="199">
        <v>278</v>
      </c>
      <c r="C287" s="200"/>
      <c r="D287" s="200" t="s">
        <v>571</v>
      </c>
      <c r="E287" s="437" t="s">
        <v>671</v>
      </c>
      <c r="F287" s="200">
        <v>1</v>
      </c>
      <c r="G287" s="200">
        <v>1</v>
      </c>
      <c r="H287" s="201" t="s">
        <v>2138</v>
      </c>
      <c r="I287" s="201" t="s">
        <v>2753</v>
      </c>
      <c r="J287" s="201" t="s">
        <v>2866</v>
      </c>
      <c r="K287" s="201" t="s">
        <v>2867</v>
      </c>
      <c r="L287" s="201" t="s">
        <v>2481</v>
      </c>
      <c r="M287" s="233">
        <v>28616.5</v>
      </c>
      <c r="N287" s="233">
        <v>83.97</v>
      </c>
      <c r="O287" s="438"/>
      <c r="P287" s="60"/>
      <c r="Q287" s="200" t="s">
        <v>2868</v>
      </c>
      <c r="R287" s="200"/>
      <c r="S287" s="439" t="s">
        <v>671</v>
      </c>
      <c r="T287" s="200" t="s">
        <v>2111</v>
      </c>
      <c r="U287" s="209" t="s">
        <v>1059</v>
      </c>
      <c r="V287" s="252">
        <v>144000000</v>
      </c>
      <c r="W287" s="252">
        <v>144000000</v>
      </c>
      <c r="X287" s="200"/>
      <c r="Y287" s="209"/>
      <c r="Z287" s="209"/>
      <c r="AA287" s="209"/>
      <c r="AB287" s="200"/>
      <c r="AC287" s="209"/>
      <c r="AD287" s="209"/>
      <c r="AE287" s="209"/>
      <c r="AF287" s="209"/>
      <c r="AG287" s="440"/>
      <c r="AH287" s="255"/>
    </row>
    <row r="288" spans="2:34" s="198" customFormat="1" ht="14.1" hidden="1" customHeight="1">
      <c r="B288" s="199">
        <v>279</v>
      </c>
      <c r="C288" s="200"/>
      <c r="D288" s="200" t="s">
        <v>572</v>
      </c>
      <c r="E288" s="437" t="s">
        <v>179</v>
      </c>
      <c r="F288" s="200">
        <v>1</v>
      </c>
      <c r="G288" s="200">
        <v>1</v>
      </c>
      <c r="H288" s="201" t="s">
        <v>2107</v>
      </c>
      <c r="I288" s="201" t="s">
        <v>2869</v>
      </c>
      <c r="J288" s="201" t="s">
        <v>2870</v>
      </c>
      <c r="K288" s="201" t="s">
        <v>2871</v>
      </c>
      <c r="L288" s="201" t="s">
        <v>2872</v>
      </c>
      <c r="M288" s="233">
        <v>278.5</v>
      </c>
      <c r="N288" s="233">
        <v>60.63</v>
      </c>
      <c r="O288" s="438"/>
      <c r="P288" s="60"/>
      <c r="Q288" s="200" t="s">
        <v>2873</v>
      </c>
      <c r="R288" s="200"/>
      <c r="S288" s="439" t="s">
        <v>179</v>
      </c>
      <c r="T288" s="200">
        <v>1</v>
      </c>
      <c r="U288" s="209" t="s">
        <v>1059</v>
      </c>
      <c r="V288" s="252">
        <v>138000000</v>
      </c>
      <c r="W288" s="252">
        <v>138000000</v>
      </c>
      <c r="X288" s="200"/>
      <c r="Y288" s="209"/>
      <c r="Z288" s="209"/>
      <c r="AA288" s="209"/>
      <c r="AB288" s="200"/>
      <c r="AC288" s="209"/>
      <c r="AD288" s="209"/>
      <c r="AE288" s="209"/>
      <c r="AF288" s="209"/>
      <c r="AG288" s="440"/>
      <c r="AH288" s="255"/>
    </row>
    <row r="289" spans="2:34" s="198" customFormat="1" ht="14.1" hidden="1" customHeight="1">
      <c r="B289" s="199">
        <v>280</v>
      </c>
      <c r="C289" s="200"/>
      <c r="D289" s="200" t="s">
        <v>573</v>
      </c>
      <c r="E289" s="437" t="s">
        <v>152</v>
      </c>
      <c r="F289" s="200">
        <v>1</v>
      </c>
      <c r="G289" s="200">
        <v>1</v>
      </c>
      <c r="H289" s="201" t="s">
        <v>2107</v>
      </c>
      <c r="I289" s="201" t="s">
        <v>2874</v>
      </c>
      <c r="J289" s="201" t="s">
        <v>2875</v>
      </c>
      <c r="K289" s="201" t="s">
        <v>2876</v>
      </c>
      <c r="L289" s="201" t="s">
        <v>2579</v>
      </c>
      <c r="M289" s="233">
        <v>1029</v>
      </c>
      <c r="N289" s="233">
        <v>48.73</v>
      </c>
      <c r="O289" s="438"/>
      <c r="P289" s="60"/>
      <c r="Q289" s="200" t="s">
        <v>2877</v>
      </c>
      <c r="R289" s="200"/>
      <c r="S289" s="439" t="s">
        <v>152</v>
      </c>
      <c r="T289" s="200">
        <v>1</v>
      </c>
      <c r="U289" s="209" t="s">
        <v>1059</v>
      </c>
      <c r="V289" s="252">
        <v>115200000</v>
      </c>
      <c r="W289" s="252">
        <v>115200000</v>
      </c>
      <c r="X289" s="200"/>
      <c r="Y289" s="209"/>
      <c r="Z289" s="209"/>
      <c r="AA289" s="209"/>
      <c r="AB289" s="200"/>
      <c r="AC289" s="209"/>
      <c r="AD289" s="209"/>
      <c r="AE289" s="209"/>
      <c r="AF289" s="209"/>
      <c r="AG289" s="440"/>
      <c r="AH289" s="255"/>
    </row>
    <row r="290" spans="2:34" s="198" customFormat="1" ht="14.1" hidden="1" customHeight="1">
      <c r="B290" s="199">
        <v>281</v>
      </c>
      <c r="C290" s="200"/>
      <c r="D290" s="200" t="s">
        <v>574</v>
      </c>
      <c r="E290" s="437" t="s">
        <v>152</v>
      </c>
      <c r="F290" s="200">
        <v>1</v>
      </c>
      <c r="G290" s="200">
        <v>1</v>
      </c>
      <c r="H290" s="201" t="s">
        <v>2107</v>
      </c>
      <c r="I290" s="201" t="s">
        <v>2874</v>
      </c>
      <c r="J290" s="201" t="s">
        <v>2875</v>
      </c>
      <c r="K290" s="201" t="s">
        <v>2878</v>
      </c>
      <c r="L290" s="201" t="s">
        <v>2843</v>
      </c>
      <c r="M290" s="233">
        <v>1400</v>
      </c>
      <c r="N290" s="233">
        <v>40.46</v>
      </c>
      <c r="O290" s="438"/>
      <c r="P290" s="60"/>
      <c r="Q290" s="200" t="s">
        <v>2879</v>
      </c>
      <c r="R290" s="200"/>
      <c r="S290" s="439" t="s">
        <v>152</v>
      </c>
      <c r="T290" s="200">
        <v>1</v>
      </c>
      <c r="U290" s="209" t="s">
        <v>1059</v>
      </c>
      <c r="V290" s="252">
        <v>111600000</v>
      </c>
      <c r="W290" s="252">
        <v>111600000</v>
      </c>
      <c r="X290" s="200"/>
      <c r="Y290" s="209"/>
      <c r="Z290" s="209"/>
      <c r="AA290" s="209"/>
      <c r="AB290" s="200"/>
      <c r="AC290" s="209"/>
      <c r="AD290" s="209"/>
      <c r="AE290" s="209"/>
      <c r="AF290" s="209"/>
      <c r="AG290" s="440"/>
      <c r="AH290" s="255"/>
    </row>
    <row r="291" spans="2:34" s="198" customFormat="1" ht="14.1" hidden="1" customHeight="1">
      <c r="B291" s="199">
        <v>282</v>
      </c>
      <c r="C291" s="200"/>
      <c r="D291" s="200" t="s">
        <v>575</v>
      </c>
      <c r="E291" s="437" t="s">
        <v>151</v>
      </c>
      <c r="F291" s="200">
        <v>1</v>
      </c>
      <c r="G291" s="200">
        <v>1</v>
      </c>
      <c r="H291" s="201" t="s">
        <v>2138</v>
      </c>
      <c r="I291" s="201" t="s">
        <v>2475</v>
      </c>
      <c r="J291" s="201" t="s">
        <v>2880</v>
      </c>
      <c r="K291" s="201" t="s">
        <v>2881</v>
      </c>
      <c r="L291" s="201" t="s">
        <v>2882</v>
      </c>
      <c r="M291" s="233">
        <v>381.9</v>
      </c>
      <c r="N291" s="233">
        <v>41.76</v>
      </c>
      <c r="O291" s="438"/>
      <c r="P291" s="60"/>
      <c r="Q291" s="200" t="s">
        <v>2883</v>
      </c>
      <c r="R291" s="200"/>
      <c r="S291" s="439" t="s">
        <v>151</v>
      </c>
      <c r="T291" s="200">
        <v>1</v>
      </c>
      <c r="U291" s="209" t="s">
        <v>1059</v>
      </c>
      <c r="V291" s="252">
        <v>108000000</v>
      </c>
      <c r="W291" s="252">
        <v>108000000</v>
      </c>
      <c r="X291" s="200"/>
      <c r="Y291" s="209"/>
      <c r="Z291" s="209"/>
      <c r="AA291" s="209"/>
      <c r="AB291" s="200"/>
      <c r="AC291" s="209"/>
      <c r="AD291" s="209"/>
      <c r="AE291" s="209"/>
      <c r="AF291" s="209"/>
      <c r="AG291" s="440"/>
      <c r="AH291" s="255"/>
    </row>
    <row r="292" spans="2:34" s="198" customFormat="1" ht="14.1" hidden="1" customHeight="1">
      <c r="B292" s="199">
        <v>283</v>
      </c>
      <c r="C292" s="200"/>
      <c r="D292" s="200" t="s">
        <v>576</v>
      </c>
      <c r="E292" s="437" t="s">
        <v>672</v>
      </c>
      <c r="F292" s="200">
        <v>1</v>
      </c>
      <c r="G292" s="200">
        <v>1</v>
      </c>
      <c r="H292" s="201" t="s">
        <v>2107</v>
      </c>
      <c r="I292" s="201" t="s">
        <v>2116</v>
      </c>
      <c r="J292" s="201" t="s">
        <v>2121</v>
      </c>
      <c r="K292" s="201" t="s">
        <v>2884</v>
      </c>
      <c r="L292" s="201" t="s">
        <v>2481</v>
      </c>
      <c r="M292" s="233">
        <v>28042</v>
      </c>
      <c r="N292" s="233">
        <v>59.793999999999997</v>
      </c>
      <c r="O292" s="438"/>
      <c r="P292" s="60"/>
      <c r="Q292" s="200" t="s">
        <v>2885</v>
      </c>
      <c r="R292" s="200"/>
      <c r="S292" s="439" t="s">
        <v>672</v>
      </c>
      <c r="T292" s="200" t="s">
        <v>2118</v>
      </c>
      <c r="U292" s="209" t="s">
        <v>1059</v>
      </c>
      <c r="V292" s="252">
        <v>108000000</v>
      </c>
      <c r="W292" s="252">
        <v>108000000</v>
      </c>
      <c r="X292" s="200"/>
      <c r="Y292" s="209"/>
      <c r="Z292" s="209"/>
      <c r="AA292" s="209"/>
      <c r="AB292" s="200"/>
      <c r="AC292" s="209"/>
      <c r="AD292" s="209"/>
      <c r="AE292" s="209"/>
      <c r="AF292" s="209"/>
      <c r="AG292" s="440"/>
      <c r="AH292" s="255"/>
    </row>
    <row r="293" spans="2:34" s="198" customFormat="1" ht="14.1" hidden="1" customHeight="1">
      <c r="B293" s="199">
        <v>284</v>
      </c>
      <c r="C293" s="200"/>
      <c r="D293" s="200" t="s">
        <v>577</v>
      </c>
      <c r="E293" s="437" t="s">
        <v>673</v>
      </c>
      <c r="F293" s="200">
        <v>1</v>
      </c>
      <c r="G293" s="200">
        <v>1</v>
      </c>
      <c r="H293" s="201" t="s">
        <v>2107</v>
      </c>
      <c r="I293" s="201" t="s">
        <v>2886</v>
      </c>
      <c r="J293" s="201" t="s">
        <v>2887</v>
      </c>
      <c r="K293" s="201" t="s">
        <v>2888</v>
      </c>
      <c r="L293" s="201" t="s">
        <v>2889</v>
      </c>
      <c r="M293" s="233">
        <v>15570</v>
      </c>
      <c r="N293" s="233">
        <v>59.91</v>
      </c>
      <c r="O293" s="438"/>
      <c r="P293" s="60"/>
      <c r="Q293" s="200" t="s">
        <v>2890</v>
      </c>
      <c r="R293" s="200"/>
      <c r="S293" s="439" t="s">
        <v>673</v>
      </c>
      <c r="T293" s="200" t="s">
        <v>2123</v>
      </c>
      <c r="U293" s="209" t="s">
        <v>1059</v>
      </c>
      <c r="V293" s="252">
        <v>118290000</v>
      </c>
      <c r="W293" s="252">
        <v>118290000</v>
      </c>
      <c r="X293" s="200"/>
      <c r="Y293" s="209"/>
      <c r="Z293" s="209"/>
      <c r="AA293" s="209"/>
      <c r="AB293" s="200"/>
      <c r="AC293" s="209"/>
      <c r="AD293" s="209"/>
      <c r="AE293" s="209"/>
      <c r="AF293" s="209"/>
      <c r="AG293" s="440"/>
      <c r="AH293" s="255"/>
    </row>
    <row r="294" spans="2:34" s="198" customFormat="1" ht="14.1" hidden="1" customHeight="1">
      <c r="B294" s="199">
        <v>285</v>
      </c>
      <c r="C294" s="200"/>
      <c r="D294" s="200" t="s">
        <v>578</v>
      </c>
      <c r="E294" s="437" t="s">
        <v>148</v>
      </c>
      <c r="F294" s="200">
        <v>1</v>
      </c>
      <c r="G294" s="200">
        <v>1</v>
      </c>
      <c r="H294" s="201" t="s">
        <v>2138</v>
      </c>
      <c r="I294" s="201" t="s">
        <v>2753</v>
      </c>
      <c r="J294" s="201" t="s">
        <v>2866</v>
      </c>
      <c r="K294" s="201" t="s">
        <v>2891</v>
      </c>
      <c r="L294" s="201" t="s">
        <v>2579</v>
      </c>
      <c r="M294" s="233">
        <v>378.1</v>
      </c>
      <c r="N294" s="233">
        <v>40.69</v>
      </c>
      <c r="O294" s="438"/>
      <c r="P294" s="60"/>
      <c r="Q294" s="200" t="s">
        <v>2892</v>
      </c>
      <c r="R294" s="200"/>
      <c r="S294" s="439" t="s">
        <v>148</v>
      </c>
      <c r="T294" s="200">
        <v>1</v>
      </c>
      <c r="U294" s="209" t="s">
        <v>1059</v>
      </c>
      <c r="V294" s="252">
        <v>102000000</v>
      </c>
      <c r="W294" s="252">
        <v>102000000</v>
      </c>
      <c r="X294" s="200"/>
      <c r="Y294" s="209"/>
      <c r="Z294" s="209"/>
      <c r="AA294" s="209"/>
      <c r="AB294" s="200"/>
      <c r="AC294" s="209"/>
      <c r="AD294" s="209"/>
      <c r="AE294" s="209"/>
      <c r="AF294" s="209"/>
      <c r="AG294" s="440"/>
      <c r="AH294" s="255"/>
    </row>
    <row r="295" spans="2:34" s="198" customFormat="1" ht="14.1" hidden="1" customHeight="1">
      <c r="B295" s="199">
        <v>286</v>
      </c>
      <c r="C295" s="200"/>
      <c r="D295" s="200" t="s">
        <v>579</v>
      </c>
      <c r="E295" s="437" t="s">
        <v>152</v>
      </c>
      <c r="F295" s="200">
        <v>1</v>
      </c>
      <c r="G295" s="200">
        <v>1</v>
      </c>
      <c r="H295" s="201" t="s">
        <v>2119</v>
      </c>
      <c r="I295" s="201" t="s">
        <v>2893</v>
      </c>
      <c r="J295" s="201" t="s">
        <v>2894</v>
      </c>
      <c r="K295" s="201" t="s">
        <v>2895</v>
      </c>
      <c r="L295" s="201" t="s">
        <v>2729</v>
      </c>
      <c r="M295" s="233">
        <v>4374.6000000000004</v>
      </c>
      <c r="N295" s="233">
        <v>57.76</v>
      </c>
      <c r="O295" s="438"/>
      <c r="P295" s="60"/>
      <c r="Q295" s="200" t="s">
        <v>2896</v>
      </c>
      <c r="R295" s="200"/>
      <c r="S295" s="439" t="s">
        <v>152</v>
      </c>
      <c r="T295" s="200">
        <v>1</v>
      </c>
      <c r="U295" s="209" t="s">
        <v>1059</v>
      </c>
      <c r="V295" s="252">
        <v>96000000</v>
      </c>
      <c r="W295" s="252">
        <v>96000000</v>
      </c>
      <c r="X295" s="200"/>
      <c r="Y295" s="209"/>
      <c r="Z295" s="209"/>
      <c r="AA295" s="209"/>
      <c r="AB295" s="200"/>
      <c r="AC295" s="209"/>
      <c r="AD295" s="209"/>
      <c r="AE295" s="209"/>
      <c r="AF295" s="209"/>
      <c r="AG295" s="440"/>
      <c r="AH295" s="255"/>
    </row>
    <row r="296" spans="2:34" s="198" customFormat="1" ht="14.1" hidden="1" customHeight="1">
      <c r="B296" s="199">
        <v>287</v>
      </c>
      <c r="C296" s="200"/>
      <c r="D296" s="200" t="s">
        <v>580</v>
      </c>
      <c r="E296" s="437" t="s">
        <v>214</v>
      </c>
      <c r="F296" s="200">
        <v>1</v>
      </c>
      <c r="G296" s="200">
        <v>1</v>
      </c>
      <c r="H296" s="201" t="s">
        <v>2239</v>
      </c>
      <c r="I296" s="201" t="s">
        <v>2484</v>
      </c>
      <c r="J296" s="201" t="s">
        <v>2897</v>
      </c>
      <c r="K296" s="201" t="s">
        <v>2898</v>
      </c>
      <c r="L296" s="201" t="s">
        <v>2899</v>
      </c>
      <c r="M296" s="233">
        <v>165.3</v>
      </c>
      <c r="N296" s="233">
        <v>47.65</v>
      </c>
      <c r="O296" s="438"/>
      <c r="P296" s="60"/>
      <c r="Q296" s="200" t="s">
        <v>2900</v>
      </c>
      <c r="R296" s="200"/>
      <c r="S296" s="439" t="s">
        <v>214</v>
      </c>
      <c r="T296" s="200">
        <v>1</v>
      </c>
      <c r="U296" s="209" t="s">
        <v>1059</v>
      </c>
      <c r="V296" s="252">
        <v>96000000</v>
      </c>
      <c r="W296" s="252">
        <v>96000000</v>
      </c>
      <c r="X296" s="200"/>
      <c r="Y296" s="209"/>
      <c r="Z296" s="209"/>
      <c r="AA296" s="209"/>
      <c r="AB296" s="200"/>
      <c r="AC296" s="209"/>
      <c r="AD296" s="209"/>
      <c r="AE296" s="209"/>
      <c r="AF296" s="209"/>
      <c r="AG296" s="440"/>
      <c r="AH296" s="255"/>
    </row>
    <row r="297" spans="2:34" s="198" customFormat="1" ht="14.1" hidden="1" customHeight="1">
      <c r="B297" s="199">
        <v>288</v>
      </c>
      <c r="C297" s="200"/>
      <c r="D297" s="200" t="s">
        <v>581</v>
      </c>
      <c r="E297" s="437" t="s">
        <v>674</v>
      </c>
      <c r="F297" s="200">
        <v>1</v>
      </c>
      <c r="G297" s="200">
        <v>1</v>
      </c>
      <c r="H297" s="201" t="s">
        <v>2138</v>
      </c>
      <c r="I297" s="201" t="s">
        <v>2410</v>
      </c>
      <c r="J297" s="201" t="s">
        <v>2458</v>
      </c>
      <c r="K297" s="201" t="s">
        <v>2901</v>
      </c>
      <c r="L297" s="201" t="s">
        <v>2902</v>
      </c>
      <c r="M297" s="233">
        <v>317</v>
      </c>
      <c r="N297" s="233">
        <v>61.63</v>
      </c>
      <c r="O297" s="438"/>
      <c r="P297" s="60"/>
      <c r="Q297" s="200" t="s">
        <v>2903</v>
      </c>
      <c r="R297" s="200"/>
      <c r="S297" s="439" t="s">
        <v>674</v>
      </c>
      <c r="T297" s="200" t="s">
        <v>2118</v>
      </c>
      <c r="U297" s="209" t="s">
        <v>1059</v>
      </c>
      <c r="V297" s="252">
        <v>96000000</v>
      </c>
      <c r="W297" s="252">
        <v>96000000</v>
      </c>
      <c r="X297" s="200"/>
      <c r="Y297" s="209"/>
      <c r="Z297" s="209"/>
      <c r="AA297" s="209"/>
      <c r="AB297" s="200"/>
      <c r="AC297" s="209"/>
      <c r="AD297" s="209"/>
      <c r="AE297" s="209"/>
      <c r="AF297" s="209"/>
      <c r="AG297" s="440"/>
      <c r="AH297" s="255"/>
    </row>
    <row r="298" spans="2:34" s="198" customFormat="1" ht="14.1" hidden="1" customHeight="1">
      <c r="B298" s="199">
        <v>289</v>
      </c>
      <c r="C298" s="200"/>
      <c r="D298" s="200" t="s">
        <v>582</v>
      </c>
      <c r="E298" s="437" t="s">
        <v>175</v>
      </c>
      <c r="F298" s="200">
        <v>1</v>
      </c>
      <c r="G298" s="200">
        <v>1</v>
      </c>
      <c r="H298" s="201" t="s">
        <v>2107</v>
      </c>
      <c r="I298" s="201" t="s">
        <v>2548</v>
      </c>
      <c r="J298" s="201" t="s">
        <v>2904</v>
      </c>
      <c r="K298" s="201" t="s">
        <v>2905</v>
      </c>
      <c r="L298" s="201" t="s">
        <v>2481</v>
      </c>
      <c r="M298" s="233">
        <v>24494</v>
      </c>
      <c r="N298" s="233">
        <v>84.801000000000002</v>
      </c>
      <c r="O298" s="438"/>
      <c r="P298" s="60"/>
      <c r="Q298" s="200" t="s">
        <v>2906</v>
      </c>
      <c r="R298" s="200"/>
      <c r="S298" s="439" t="s">
        <v>175</v>
      </c>
      <c r="T298" s="200">
        <v>1</v>
      </c>
      <c r="U298" s="209" t="s">
        <v>1059</v>
      </c>
      <c r="V298" s="252">
        <v>102000000</v>
      </c>
      <c r="W298" s="252">
        <v>102000000</v>
      </c>
      <c r="X298" s="200"/>
      <c r="Y298" s="209"/>
      <c r="Z298" s="209"/>
      <c r="AA298" s="209"/>
      <c r="AB298" s="200"/>
      <c r="AC298" s="209"/>
      <c r="AD298" s="209"/>
      <c r="AE298" s="209"/>
      <c r="AF298" s="209"/>
      <c r="AG298" s="440"/>
      <c r="AH298" s="255"/>
    </row>
    <row r="299" spans="2:34" s="198" customFormat="1" ht="14.1" hidden="1" customHeight="1">
      <c r="B299" s="199">
        <v>290</v>
      </c>
      <c r="C299" s="200"/>
      <c r="D299" s="200" t="s">
        <v>583</v>
      </c>
      <c r="E299" s="437" t="s">
        <v>152</v>
      </c>
      <c r="F299" s="200">
        <v>1</v>
      </c>
      <c r="G299" s="200">
        <v>1</v>
      </c>
      <c r="H299" s="201" t="s">
        <v>2138</v>
      </c>
      <c r="I299" s="201" t="s">
        <v>2907</v>
      </c>
      <c r="J299" s="201" t="s">
        <v>2908</v>
      </c>
      <c r="K299" s="201" t="s">
        <v>2909</v>
      </c>
      <c r="L299" s="201" t="s">
        <v>2660</v>
      </c>
      <c r="M299" s="233">
        <v>6895</v>
      </c>
      <c r="N299" s="233">
        <v>84.89</v>
      </c>
      <c r="O299" s="438"/>
      <c r="P299" s="60"/>
      <c r="Q299" s="200" t="s">
        <v>2910</v>
      </c>
      <c r="R299" s="200"/>
      <c r="S299" s="439" t="s">
        <v>152</v>
      </c>
      <c r="T299" s="200">
        <v>1</v>
      </c>
      <c r="U299" s="209" t="s">
        <v>1059</v>
      </c>
      <c r="V299" s="252">
        <v>91000000</v>
      </c>
      <c r="W299" s="252">
        <v>91000000</v>
      </c>
      <c r="X299" s="200"/>
      <c r="Y299" s="209"/>
      <c r="Z299" s="209"/>
      <c r="AA299" s="209"/>
      <c r="AB299" s="200"/>
      <c r="AC299" s="209"/>
      <c r="AD299" s="209"/>
      <c r="AE299" s="209"/>
      <c r="AF299" s="209"/>
      <c r="AG299" s="440"/>
      <c r="AH299" s="255"/>
    </row>
    <row r="300" spans="2:34" s="198" customFormat="1" ht="14.1" hidden="1" customHeight="1">
      <c r="B300" s="199">
        <v>291</v>
      </c>
      <c r="C300" s="200"/>
      <c r="D300" s="200" t="s">
        <v>584</v>
      </c>
      <c r="E300" s="437" t="s">
        <v>214</v>
      </c>
      <c r="F300" s="200">
        <v>1</v>
      </c>
      <c r="G300" s="200">
        <v>1</v>
      </c>
      <c r="H300" s="201" t="s">
        <v>2239</v>
      </c>
      <c r="I300" s="201" t="s">
        <v>2484</v>
      </c>
      <c r="J300" s="201" t="s">
        <v>2770</v>
      </c>
      <c r="K300" s="201" t="s">
        <v>2911</v>
      </c>
      <c r="L300" s="201" t="s">
        <v>2729</v>
      </c>
      <c r="M300" s="233">
        <v>5058</v>
      </c>
      <c r="N300" s="233">
        <v>59.7</v>
      </c>
      <c r="O300" s="438"/>
      <c r="P300" s="60"/>
      <c r="Q300" s="200" t="s">
        <v>2912</v>
      </c>
      <c r="R300" s="200" t="s">
        <v>2913</v>
      </c>
      <c r="S300" s="303" t="s">
        <v>2813</v>
      </c>
      <c r="T300" s="200" t="s">
        <v>2118</v>
      </c>
      <c r="U300" s="209" t="s">
        <v>1059</v>
      </c>
      <c r="V300" s="252">
        <v>90000000</v>
      </c>
      <c r="W300" s="252">
        <v>90000000</v>
      </c>
      <c r="X300" s="200"/>
      <c r="Y300" s="209"/>
      <c r="Z300" s="209"/>
      <c r="AA300" s="209"/>
      <c r="AB300" s="200"/>
      <c r="AC300" s="209"/>
      <c r="AD300" s="209"/>
      <c r="AE300" s="209"/>
      <c r="AF300" s="209"/>
      <c r="AG300" s="440"/>
      <c r="AH300" s="255"/>
    </row>
    <row r="301" spans="2:34" s="198" customFormat="1" ht="14.1" hidden="1" customHeight="1">
      <c r="B301" s="199">
        <v>292</v>
      </c>
      <c r="C301" s="200"/>
      <c r="D301" s="200" t="s">
        <v>585</v>
      </c>
      <c r="E301" s="437" t="s">
        <v>221</v>
      </c>
      <c r="F301" s="200">
        <v>1</v>
      </c>
      <c r="G301" s="200">
        <v>1</v>
      </c>
      <c r="H301" s="201" t="s">
        <v>2239</v>
      </c>
      <c r="I301" s="201" t="s">
        <v>2484</v>
      </c>
      <c r="J301" s="201" t="s">
        <v>2485</v>
      </c>
      <c r="K301" s="201" t="s">
        <v>2914</v>
      </c>
      <c r="L301" s="201" t="s">
        <v>2729</v>
      </c>
      <c r="M301" s="233">
        <v>5736</v>
      </c>
      <c r="N301" s="233">
        <v>56.73</v>
      </c>
      <c r="O301" s="438"/>
      <c r="P301" s="60"/>
      <c r="Q301" s="200" t="s">
        <v>2915</v>
      </c>
      <c r="R301" s="200"/>
      <c r="S301" s="439" t="s">
        <v>221</v>
      </c>
      <c r="T301" s="200" t="s">
        <v>2112</v>
      </c>
      <c r="U301" s="209" t="s">
        <v>1059</v>
      </c>
      <c r="V301" s="252">
        <v>92400000</v>
      </c>
      <c r="W301" s="252">
        <v>92400000</v>
      </c>
      <c r="X301" s="200"/>
      <c r="Y301" s="209"/>
      <c r="Z301" s="209"/>
      <c r="AA301" s="209"/>
      <c r="AB301" s="200"/>
      <c r="AC301" s="209"/>
      <c r="AD301" s="209"/>
      <c r="AE301" s="209"/>
      <c r="AF301" s="209"/>
      <c r="AG301" s="440"/>
      <c r="AH301" s="255"/>
    </row>
    <row r="302" spans="2:34" s="198" customFormat="1" ht="14.1" hidden="1" customHeight="1">
      <c r="B302" s="199">
        <v>293</v>
      </c>
      <c r="C302" s="200"/>
      <c r="D302" s="200" t="s">
        <v>586</v>
      </c>
      <c r="E302" s="437" t="s">
        <v>92</v>
      </c>
      <c r="F302" s="200">
        <v>1</v>
      </c>
      <c r="G302" s="200">
        <v>1</v>
      </c>
      <c r="H302" s="201" t="s">
        <v>2107</v>
      </c>
      <c r="I302" s="201" t="s">
        <v>2582</v>
      </c>
      <c r="J302" s="201" t="s">
        <v>2583</v>
      </c>
      <c r="K302" s="201" t="s">
        <v>2916</v>
      </c>
      <c r="L302" s="201" t="s">
        <v>2490</v>
      </c>
      <c r="M302" s="233">
        <v>40869.4</v>
      </c>
      <c r="N302" s="233">
        <v>101.7</v>
      </c>
      <c r="O302" s="438"/>
      <c r="P302" s="60"/>
      <c r="Q302" s="200" t="s">
        <v>2917</v>
      </c>
      <c r="R302" s="200" t="s">
        <v>2130</v>
      </c>
      <c r="S302" s="303" t="s">
        <v>2918</v>
      </c>
      <c r="T302" s="200" t="s">
        <v>2118</v>
      </c>
      <c r="U302" s="209" t="s">
        <v>1059</v>
      </c>
      <c r="V302" s="252">
        <v>84000000</v>
      </c>
      <c r="W302" s="252">
        <v>84000000</v>
      </c>
      <c r="X302" s="200"/>
      <c r="Y302" s="209"/>
      <c r="Z302" s="209"/>
      <c r="AA302" s="209"/>
      <c r="AB302" s="200"/>
      <c r="AC302" s="209"/>
      <c r="AD302" s="209"/>
      <c r="AE302" s="209"/>
      <c r="AF302" s="209"/>
      <c r="AG302" s="440"/>
      <c r="AH302" s="255"/>
    </row>
    <row r="303" spans="2:34" s="198" customFormat="1" ht="14.1" hidden="1" customHeight="1">
      <c r="B303" s="199">
        <v>294</v>
      </c>
      <c r="C303" s="200"/>
      <c r="D303" s="200" t="s">
        <v>587</v>
      </c>
      <c r="E303" s="437" t="s">
        <v>152</v>
      </c>
      <c r="F303" s="200">
        <v>1</v>
      </c>
      <c r="G303" s="200">
        <v>1</v>
      </c>
      <c r="H303" s="201" t="s">
        <v>2260</v>
      </c>
      <c r="I303" s="201" t="s">
        <v>2299</v>
      </c>
      <c r="J303" s="201" t="s">
        <v>2919</v>
      </c>
      <c r="K303" s="201" t="s">
        <v>2920</v>
      </c>
      <c r="L303" s="201" t="s">
        <v>2481</v>
      </c>
      <c r="M303" s="233">
        <v>14438.3</v>
      </c>
      <c r="N303" s="233">
        <v>68.31</v>
      </c>
      <c r="O303" s="438"/>
      <c r="P303" s="60"/>
      <c r="Q303" s="200" t="s">
        <v>2921</v>
      </c>
      <c r="R303" s="200"/>
      <c r="S303" s="439" t="s">
        <v>152</v>
      </c>
      <c r="T303" s="200" t="s">
        <v>2123</v>
      </c>
      <c r="U303" s="209" t="s">
        <v>1059</v>
      </c>
      <c r="V303" s="252">
        <v>84000000</v>
      </c>
      <c r="W303" s="252">
        <v>84000000</v>
      </c>
      <c r="X303" s="200"/>
      <c r="Y303" s="209"/>
      <c r="Z303" s="209"/>
      <c r="AA303" s="209"/>
      <c r="AB303" s="200"/>
      <c r="AC303" s="209"/>
      <c r="AD303" s="209"/>
      <c r="AE303" s="209"/>
      <c r="AF303" s="209"/>
      <c r="AG303" s="440"/>
      <c r="AH303" s="255"/>
    </row>
    <row r="304" spans="2:34" s="198" customFormat="1" ht="14.1" hidden="1" customHeight="1">
      <c r="B304" s="199">
        <v>295</v>
      </c>
      <c r="C304" s="200"/>
      <c r="D304" s="200" t="s">
        <v>588</v>
      </c>
      <c r="E304" s="437" t="s">
        <v>152</v>
      </c>
      <c r="F304" s="200">
        <v>1</v>
      </c>
      <c r="G304" s="200">
        <v>1</v>
      </c>
      <c r="H304" s="201" t="s">
        <v>2239</v>
      </c>
      <c r="I304" s="201" t="s">
        <v>2132</v>
      </c>
      <c r="J304" s="201" t="s">
        <v>2922</v>
      </c>
      <c r="K304" s="201" t="s">
        <v>2923</v>
      </c>
      <c r="L304" s="201" t="s">
        <v>2394</v>
      </c>
      <c r="M304" s="233">
        <v>106</v>
      </c>
      <c r="N304" s="233">
        <v>28.07</v>
      </c>
      <c r="O304" s="438"/>
      <c r="P304" s="60"/>
      <c r="Q304" s="200" t="s">
        <v>2924</v>
      </c>
      <c r="R304" s="200"/>
      <c r="S304" s="439" t="s">
        <v>152</v>
      </c>
      <c r="T304" s="200">
        <v>1</v>
      </c>
      <c r="U304" s="209" t="s">
        <v>1059</v>
      </c>
      <c r="V304" s="252">
        <v>33840000</v>
      </c>
      <c r="W304" s="252">
        <v>33840000</v>
      </c>
      <c r="X304" s="200"/>
      <c r="Y304" s="209"/>
      <c r="Z304" s="209"/>
      <c r="AA304" s="209"/>
      <c r="AB304" s="200"/>
      <c r="AC304" s="209"/>
      <c r="AD304" s="209"/>
      <c r="AE304" s="209"/>
      <c r="AF304" s="209"/>
      <c r="AG304" s="440"/>
      <c r="AH304" s="255"/>
    </row>
    <row r="305" spans="2:34" s="198" customFormat="1" ht="14.1" hidden="1" customHeight="1">
      <c r="B305" s="199">
        <v>296</v>
      </c>
      <c r="C305" s="200"/>
      <c r="D305" s="200" t="s">
        <v>588</v>
      </c>
      <c r="E305" s="437" t="s">
        <v>152</v>
      </c>
      <c r="F305" s="200">
        <v>2</v>
      </c>
      <c r="G305" s="200">
        <v>1</v>
      </c>
      <c r="H305" s="201" t="s">
        <v>2239</v>
      </c>
      <c r="I305" s="201" t="s">
        <v>2132</v>
      </c>
      <c r="J305" s="201" t="s">
        <v>2925</v>
      </c>
      <c r="K305" s="201" t="s">
        <v>2926</v>
      </c>
      <c r="L305" s="201" t="s">
        <v>2394</v>
      </c>
      <c r="M305" s="233">
        <v>130</v>
      </c>
      <c r="N305" s="233">
        <v>40.130000000000003</v>
      </c>
      <c r="O305" s="438"/>
      <c r="P305" s="60"/>
      <c r="Q305" s="200" t="s">
        <v>2924</v>
      </c>
      <c r="R305" s="200"/>
      <c r="S305" s="439" t="s">
        <v>152</v>
      </c>
      <c r="T305" s="200">
        <v>1</v>
      </c>
      <c r="U305" s="209" t="s">
        <v>1059</v>
      </c>
      <c r="V305" s="252">
        <v>46800000</v>
      </c>
      <c r="W305" s="252">
        <v>46800000</v>
      </c>
      <c r="X305" s="200"/>
      <c r="Y305" s="209"/>
      <c r="Z305" s="209"/>
      <c r="AA305" s="209"/>
      <c r="AB305" s="200"/>
      <c r="AC305" s="209"/>
      <c r="AD305" s="209"/>
      <c r="AE305" s="209"/>
      <c r="AF305" s="209"/>
      <c r="AG305" s="440"/>
      <c r="AH305" s="255"/>
    </row>
    <row r="306" spans="2:34" s="198" customFormat="1" ht="14.1" hidden="1" customHeight="1">
      <c r="B306" s="199">
        <v>297</v>
      </c>
      <c r="C306" s="200"/>
      <c r="D306" s="200" t="s">
        <v>589</v>
      </c>
      <c r="E306" s="437" t="s">
        <v>130</v>
      </c>
      <c r="F306" s="200">
        <v>1</v>
      </c>
      <c r="G306" s="200">
        <v>1</v>
      </c>
      <c r="H306" s="201" t="s">
        <v>2469</v>
      </c>
      <c r="I306" s="201" t="s">
        <v>2927</v>
      </c>
      <c r="J306" s="201" t="s">
        <v>2928</v>
      </c>
      <c r="K306" s="201" t="s">
        <v>2929</v>
      </c>
      <c r="L306" s="201" t="s">
        <v>2546</v>
      </c>
      <c r="M306" s="233">
        <v>10981</v>
      </c>
      <c r="N306" s="233">
        <v>84.94</v>
      </c>
      <c r="O306" s="438"/>
      <c r="P306" s="60"/>
      <c r="Q306" s="200" t="s">
        <v>2930</v>
      </c>
      <c r="R306" s="200"/>
      <c r="S306" s="439" t="s">
        <v>130</v>
      </c>
      <c r="T306" s="200">
        <v>1</v>
      </c>
      <c r="U306" s="209" t="s">
        <v>1059</v>
      </c>
      <c r="V306" s="252">
        <v>111600000</v>
      </c>
      <c r="W306" s="252">
        <v>111600000</v>
      </c>
      <c r="X306" s="200"/>
      <c r="Y306" s="209"/>
      <c r="Z306" s="209"/>
      <c r="AA306" s="209"/>
      <c r="AB306" s="200"/>
      <c r="AC306" s="209"/>
      <c r="AD306" s="209"/>
      <c r="AE306" s="209"/>
      <c r="AF306" s="209"/>
      <c r="AG306" s="440"/>
      <c r="AH306" s="255"/>
    </row>
    <row r="307" spans="2:34" s="198" customFormat="1" ht="14.1" hidden="1" customHeight="1">
      <c r="B307" s="199">
        <v>298</v>
      </c>
      <c r="C307" s="200"/>
      <c r="D307" s="200" t="s">
        <v>590</v>
      </c>
      <c r="E307" s="437" t="s">
        <v>672</v>
      </c>
      <c r="F307" s="200">
        <v>1</v>
      </c>
      <c r="G307" s="200">
        <v>1</v>
      </c>
      <c r="H307" s="201" t="s">
        <v>2279</v>
      </c>
      <c r="I307" s="201" t="s">
        <v>2931</v>
      </c>
      <c r="J307" s="201" t="s">
        <v>2932</v>
      </c>
      <c r="K307" s="201" t="s">
        <v>2933</v>
      </c>
      <c r="L307" s="201" t="s">
        <v>2934</v>
      </c>
      <c r="M307" s="233">
        <v>360</v>
      </c>
      <c r="N307" s="233">
        <v>64.23</v>
      </c>
      <c r="O307" s="438"/>
      <c r="P307" s="60"/>
      <c r="Q307" s="200" t="s">
        <v>2935</v>
      </c>
      <c r="R307" s="200"/>
      <c r="S307" s="439" t="s">
        <v>672</v>
      </c>
      <c r="T307" s="200">
        <v>1</v>
      </c>
      <c r="U307" s="209" t="s">
        <v>1059</v>
      </c>
      <c r="V307" s="252">
        <v>79200000</v>
      </c>
      <c r="W307" s="252">
        <v>79200000</v>
      </c>
      <c r="X307" s="200"/>
      <c r="Y307" s="209"/>
      <c r="Z307" s="209"/>
      <c r="AA307" s="209"/>
      <c r="AB307" s="200"/>
      <c r="AC307" s="209"/>
      <c r="AD307" s="209"/>
      <c r="AE307" s="209"/>
      <c r="AF307" s="209"/>
      <c r="AG307" s="440"/>
      <c r="AH307" s="255"/>
    </row>
    <row r="308" spans="2:34" s="198" customFormat="1" ht="14.1" hidden="1" customHeight="1">
      <c r="B308" s="199">
        <v>299</v>
      </c>
      <c r="C308" s="200"/>
      <c r="D308" s="200" t="s">
        <v>591</v>
      </c>
      <c r="E308" s="437" t="s">
        <v>675</v>
      </c>
      <c r="F308" s="200">
        <v>1</v>
      </c>
      <c r="G308" s="200">
        <v>1</v>
      </c>
      <c r="H308" s="201" t="s">
        <v>2469</v>
      </c>
      <c r="I308" s="201" t="s">
        <v>2936</v>
      </c>
      <c r="J308" s="201" t="s">
        <v>2937</v>
      </c>
      <c r="K308" s="201" t="s">
        <v>2938</v>
      </c>
      <c r="L308" s="201" t="s">
        <v>2939</v>
      </c>
      <c r="M308" s="233">
        <v>424.2</v>
      </c>
      <c r="N308" s="233">
        <v>33.74</v>
      </c>
      <c r="O308" s="438"/>
      <c r="P308" s="60"/>
      <c r="Q308" s="200" t="s">
        <v>2940</v>
      </c>
      <c r="R308" s="200"/>
      <c r="S308" s="303" t="s">
        <v>2941</v>
      </c>
      <c r="T308" s="200">
        <v>1</v>
      </c>
      <c r="U308" s="209" t="s">
        <v>1059</v>
      </c>
      <c r="V308" s="252">
        <v>76800000</v>
      </c>
      <c r="W308" s="252">
        <v>76800000</v>
      </c>
      <c r="X308" s="200"/>
      <c r="Y308" s="209"/>
      <c r="Z308" s="209"/>
      <c r="AA308" s="209"/>
      <c r="AB308" s="200"/>
      <c r="AC308" s="209"/>
      <c r="AD308" s="209"/>
      <c r="AE308" s="209"/>
      <c r="AF308" s="209"/>
      <c r="AG308" s="440"/>
      <c r="AH308" s="255"/>
    </row>
    <row r="309" spans="2:34" s="198" customFormat="1" ht="14.1" hidden="1" customHeight="1">
      <c r="B309" s="199">
        <v>300</v>
      </c>
      <c r="C309" s="200"/>
      <c r="D309" s="200" t="s">
        <v>592</v>
      </c>
      <c r="E309" s="437" t="s">
        <v>208</v>
      </c>
      <c r="F309" s="200">
        <v>1</v>
      </c>
      <c r="G309" s="200">
        <v>1</v>
      </c>
      <c r="H309" s="201" t="s">
        <v>2107</v>
      </c>
      <c r="I309" s="201" t="s">
        <v>2528</v>
      </c>
      <c r="J309" s="201" t="s">
        <v>2557</v>
      </c>
      <c r="K309" s="201" t="s">
        <v>2942</v>
      </c>
      <c r="L309" s="201" t="s">
        <v>2478</v>
      </c>
      <c r="M309" s="233">
        <v>13857</v>
      </c>
      <c r="N309" s="233">
        <v>64.92</v>
      </c>
      <c r="O309" s="438"/>
      <c r="P309" s="60"/>
      <c r="Q309" s="200" t="s">
        <v>2943</v>
      </c>
      <c r="R309" s="200"/>
      <c r="S309" s="439" t="s">
        <v>208</v>
      </c>
      <c r="T309" s="200" t="s">
        <v>2111</v>
      </c>
      <c r="U309" s="209" t="s">
        <v>1059</v>
      </c>
      <c r="V309" s="252">
        <v>78000000</v>
      </c>
      <c r="W309" s="209">
        <v>78000000</v>
      </c>
      <c r="X309" s="200"/>
      <c r="Y309" s="209"/>
      <c r="Z309" s="209"/>
      <c r="AA309" s="209"/>
      <c r="AB309" s="200"/>
      <c r="AC309" s="209"/>
      <c r="AD309" s="209"/>
      <c r="AE309" s="209"/>
      <c r="AF309" s="209"/>
      <c r="AG309" s="440"/>
      <c r="AH309" s="255"/>
    </row>
    <row r="310" spans="2:34" s="198" customFormat="1" ht="14.1" hidden="1" customHeight="1">
      <c r="B310" s="199">
        <v>301</v>
      </c>
      <c r="C310" s="200"/>
      <c r="D310" s="200" t="s">
        <v>593</v>
      </c>
      <c r="E310" s="437" t="s">
        <v>175</v>
      </c>
      <c r="F310" s="200">
        <v>1</v>
      </c>
      <c r="G310" s="200">
        <v>1</v>
      </c>
      <c r="H310" s="201" t="s">
        <v>2138</v>
      </c>
      <c r="I310" s="201" t="s">
        <v>2821</v>
      </c>
      <c r="J310" s="201" t="s">
        <v>2944</v>
      </c>
      <c r="K310" s="201" t="s">
        <v>2945</v>
      </c>
      <c r="L310" s="201" t="s">
        <v>2946</v>
      </c>
      <c r="M310" s="233">
        <v>440</v>
      </c>
      <c r="N310" s="233">
        <v>39.65</v>
      </c>
      <c r="O310" s="438"/>
      <c r="P310" s="60"/>
      <c r="Q310" s="200" t="s">
        <v>2947</v>
      </c>
      <c r="R310" s="200"/>
      <c r="S310" s="439" t="s">
        <v>175</v>
      </c>
      <c r="T310" s="200" t="s">
        <v>2123</v>
      </c>
      <c r="U310" s="209" t="s">
        <v>1059</v>
      </c>
      <c r="V310" s="252">
        <v>79200000</v>
      </c>
      <c r="W310" s="209">
        <v>79200000</v>
      </c>
      <c r="X310" s="200"/>
      <c r="Y310" s="209"/>
      <c r="Z310" s="209"/>
      <c r="AA310" s="209"/>
      <c r="AB310" s="200"/>
      <c r="AC310" s="209"/>
      <c r="AD310" s="209"/>
      <c r="AE310" s="209"/>
      <c r="AF310" s="209"/>
      <c r="AG310" s="440"/>
      <c r="AH310" s="255"/>
    </row>
    <row r="311" spans="2:34" s="198" customFormat="1" ht="14.1" hidden="1" customHeight="1">
      <c r="B311" s="199">
        <v>302</v>
      </c>
      <c r="C311" s="200"/>
      <c r="D311" s="200" t="s">
        <v>594</v>
      </c>
      <c r="E311" s="437" t="s">
        <v>173</v>
      </c>
      <c r="F311" s="200">
        <v>1</v>
      </c>
      <c r="G311" s="200">
        <v>1</v>
      </c>
      <c r="H311" s="201" t="s">
        <v>2107</v>
      </c>
      <c r="I311" s="201" t="s">
        <v>2141</v>
      </c>
      <c r="J311" s="201" t="s">
        <v>2142</v>
      </c>
      <c r="K311" s="201" t="s">
        <v>2948</v>
      </c>
      <c r="L311" s="201" t="s">
        <v>2394</v>
      </c>
      <c r="M311" s="233">
        <v>232.8</v>
      </c>
      <c r="N311" s="233">
        <v>59.92</v>
      </c>
      <c r="O311" s="438"/>
      <c r="P311" s="60"/>
      <c r="Q311" s="200" t="s">
        <v>2949</v>
      </c>
      <c r="R311" s="200"/>
      <c r="S311" s="439" t="s">
        <v>173</v>
      </c>
      <c r="T311" s="200">
        <v>1</v>
      </c>
      <c r="U311" s="209" t="s">
        <v>1059</v>
      </c>
      <c r="V311" s="252">
        <v>78000000</v>
      </c>
      <c r="W311" s="209">
        <v>78000000</v>
      </c>
      <c r="X311" s="200"/>
      <c r="Y311" s="209"/>
      <c r="Z311" s="209"/>
      <c r="AA311" s="209"/>
      <c r="AB311" s="200"/>
      <c r="AC311" s="209"/>
      <c r="AD311" s="209"/>
      <c r="AE311" s="209"/>
      <c r="AF311" s="209"/>
      <c r="AG311" s="440"/>
      <c r="AH311" s="255"/>
    </row>
    <row r="312" spans="2:34" s="198" customFormat="1" ht="14.1" hidden="1" customHeight="1">
      <c r="B312" s="199">
        <v>303</v>
      </c>
      <c r="C312" s="200"/>
      <c r="D312" s="200" t="s">
        <v>595</v>
      </c>
      <c r="E312" s="437" t="s">
        <v>676</v>
      </c>
      <c r="F312" s="200">
        <v>1</v>
      </c>
      <c r="G312" s="200">
        <v>1</v>
      </c>
      <c r="H312" s="201" t="s">
        <v>2200</v>
      </c>
      <c r="I312" s="201" t="s">
        <v>2950</v>
      </c>
      <c r="J312" s="201" t="s">
        <v>2951</v>
      </c>
      <c r="K312" s="201" t="s">
        <v>2952</v>
      </c>
      <c r="L312" s="201" t="s">
        <v>2122</v>
      </c>
      <c r="M312" s="233">
        <v>568</v>
      </c>
      <c r="N312" s="233"/>
      <c r="O312" s="438"/>
      <c r="P312" s="60"/>
      <c r="Q312" s="200"/>
      <c r="R312" s="200"/>
      <c r="S312" s="303" t="s">
        <v>2953</v>
      </c>
      <c r="T312" s="200">
        <v>1</v>
      </c>
      <c r="U312" s="209" t="s">
        <v>1059</v>
      </c>
      <c r="V312" s="252">
        <v>78000000</v>
      </c>
      <c r="W312" s="209">
        <v>78000000</v>
      </c>
      <c r="X312" s="200"/>
      <c r="Y312" s="209"/>
      <c r="Z312" s="209"/>
      <c r="AA312" s="209"/>
      <c r="AB312" s="200"/>
      <c r="AC312" s="209"/>
      <c r="AD312" s="209"/>
      <c r="AE312" s="209"/>
      <c r="AF312" s="209"/>
      <c r="AG312" s="440"/>
      <c r="AH312" s="254"/>
    </row>
    <row r="313" spans="2:34" s="198" customFormat="1" ht="14.1" hidden="1" customHeight="1">
      <c r="B313" s="199">
        <v>304</v>
      </c>
      <c r="C313" s="200"/>
      <c r="D313" s="200" t="s">
        <v>596</v>
      </c>
      <c r="E313" s="437" t="s">
        <v>130</v>
      </c>
      <c r="F313" s="200">
        <v>1</v>
      </c>
      <c r="G313" s="200">
        <v>1</v>
      </c>
      <c r="H313" s="201" t="s">
        <v>2107</v>
      </c>
      <c r="I313" s="201" t="s">
        <v>2840</v>
      </c>
      <c r="J313" s="201" t="s">
        <v>2954</v>
      </c>
      <c r="K313" s="201" t="s">
        <v>2955</v>
      </c>
      <c r="L313" s="201" t="s">
        <v>2956</v>
      </c>
      <c r="M313" s="233">
        <v>221.4</v>
      </c>
      <c r="N313" s="233">
        <v>36.43</v>
      </c>
      <c r="O313" s="438"/>
      <c r="P313" s="60"/>
      <c r="Q313" s="200" t="s">
        <v>2957</v>
      </c>
      <c r="R313" s="200"/>
      <c r="S313" s="439" t="s">
        <v>130</v>
      </c>
      <c r="T313" s="200">
        <v>1</v>
      </c>
      <c r="U313" s="209" t="s">
        <v>1059</v>
      </c>
      <c r="V313" s="252">
        <v>82800000</v>
      </c>
      <c r="W313" s="209">
        <v>82800000</v>
      </c>
      <c r="X313" s="200"/>
      <c r="Y313" s="209"/>
      <c r="Z313" s="209"/>
      <c r="AA313" s="209"/>
      <c r="AB313" s="200"/>
      <c r="AC313" s="209"/>
      <c r="AD313" s="209"/>
      <c r="AE313" s="209"/>
      <c r="AF313" s="209"/>
      <c r="AG313" s="440"/>
      <c r="AH313" s="255"/>
    </row>
    <row r="314" spans="2:34" s="198" customFormat="1" ht="14.1" hidden="1" customHeight="1">
      <c r="B314" s="199">
        <v>305</v>
      </c>
      <c r="C314" s="200"/>
      <c r="D314" s="200" t="s">
        <v>597</v>
      </c>
      <c r="E314" s="437" t="s">
        <v>208</v>
      </c>
      <c r="F314" s="200">
        <v>1</v>
      </c>
      <c r="G314" s="200">
        <v>1</v>
      </c>
      <c r="H314" s="201" t="s">
        <v>2239</v>
      </c>
      <c r="I314" s="201" t="s">
        <v>2781</v>
      </c>
      <c r="J314" s="201" t="s">
        <v>2958</v>
      </c>
      <c r="K314" s="201" t="s">
        <v>2959</v>
      </c>
      <c r="L314" s="201" t="s">
        <v>2800</v>
      </c>
      <c r="M314" s="233">
        <v>10868</v>
      </c>
      <c r="N314" s="233">
        <v>84.97</v>
      </c>
      <c r="O314" s="438"/>
      <c r="P314" s="60"/>
      <c r="Q314" s="200" t="s">
        <v>2960</v>
      </c>
      <c r="R314" s="200"/>
      <c r="S314" s="439" t="s">
        <v>208</v>
      </c>
      <c r="T314" s="200" t="s">
        <v>2123</v>
      </c>
      <c r="U314" s="209" t="s">
        <v>1059</v>
      </c>
      <c r="V314" s="252">
        <v>96000000</v>
      </c>
      <c r="W314" s="209">
        <v>96000000</v>
      </c>
      <c r="X314" s="200"/>
      <c r="Y314" s="209"/>
      <c r="Z314" s="209"/>
      <c r="AA314" s="209"/>
      <c r="AB314" s="200"/>
      <c r="AC314" s="209"/>
      <c r="AD314" s="209"/>
      <c r="AE314" s="209"/>
      <c r="AF314" s="209"/>
      <c r="AG314" s="440"/>
      <c r="AH314" s="255"/>
    </row>
    <row r="315" spans="2:34" s="198" customFormat="1" ht="14.1" hidden="1" customHeight="1">
      <c r="B315" s="199">
        <v>306</v>
      </c>
      <c r="C315" s="200"/>
      <c r="D315" s="200" t="s">
        <v>598</v>
      </c>
      <c r="E315" s="437" t="s">
        <v>676</v>
      </c>
      <c r="F315" s="200">
        <v>1</v>
      </c>
      <c r="G315" s="200">
        <v>1</v>
      </c>
      <c r="H315" s="201" t="s">
        <v>2239</v>
      </c>
      <c r="I315" s="201" t="s">
        <v>2299</v>
      </c>
      <c r="J315" s="201" t="s">
        <v>2961</v>
      </c>
      <c r="K315" s="201" t="s">
        <v>2962</v>
      </c>
      <c r="L315" s="201" t="s">
        <v>2963</v>
      </c>
      <c r="M315" s="233">
        <v>257.5</v>
      </c>
      <c r="N315" s="233">
        <v>50.4</v>
      </c>
      <c r="O315" s="438"/>
      <c r="P315" s="60"/>
      <c r="Q315" s="200" t="s">
        <v>2964</v>
      </c>
      <c r="R315" s="200"/>
      <c r="S315" s="439" t="s">
        <v>676</v>
      </c>
      <c r="T315" s="200">
        <v>1</v>
      </c>
      <c r="U315" s="209" t="s">
        <v>1059</v>
      </c>
      <c r="V315" s="252">
        <v>66000000</v>
      </c>
      <c r="W315" s="209">
        <v>66000000</v>
      </c>
      <c r="X315" s="200"/>
      <c r="Y315" s="209"/>
      <c r="Z315" s="209"/>
      <c r="AA315" s="209"/>
      <c r="AB315" s="200"/>
      <c r="AC315" s="209"/>
      <c r="AD315" s="209"/>
      <c r="AE315" s="209"/>
      <c r="AF315" s="209"/>
      <c r="AG315" s="440"/>
      <c r="AH315" s="255"/>
    </row>
    <row r="316" spans="2:34" s="198" customFormat="1" ht="14.1" hidden="1" customHeight="1">
      <c r="B316" s="199">
        <v>307</v>
      </c>
      <c r="C316" s="200"/>
      <c r="D316" s="200" t="s">
        <v>599</v>
      </c>
      <c r="E316" s="437" t="s">
        <v>677</v>
      </c>
      <c r="F316" s="200">
        <v>1</v>
      </c>
      <c r="G316" s="200">
        <v>1</v>
      </c>
      <c r="H316" s="201" t="s">
        <v>2119</v>
      </c>
      <c r="I316" s="201" t="s">
        <v>2965</v>
      </c>
      <c r="J316" s="201" t="s">
        <v>2966</v>
      </c>
      <c r="K316" s="201" t="s">
        <v>2967</v>
      </c>
      <c r="L316" s="201" t="s">
        <v>2968</v>
      </c>
      <c r="M316" s="233">
        <v>71925</v>
      </c>
      <c r="N316" s="233">
        <v>49.8</v>
      </c>
      <c r="O316" s="438"/>
      <c r="P316" s="60"/>
      <c r="Q316" s="200" t="s">
        <v>2969</v>
      </c>
      <c r="R316" s="200"/>
      <c r="S316" s="439" t="s">
        <v>677</v>
      </c>
      <c r="T316" s="200">
        <v>1</v>
      </c>
      <c r="U316" s="209" t="s">
        <v>1059</v>
      </c>
      <c r="V316" s="252">
        <v>54000000</v>
      </c>
      <c r="W316" s="209">
        <v>54000000</v>
      </c>
      <c r="X316" s="200"/>
      <c r="Y316" s="209"/>
      <c r="Z316" s="209"/>
      <c r="AA316" s="209"/>
      <c r="AB316" s="200"/>
      <c r="AC316" s="209"/>
      <c r="AD316" s="209"/>
      <c r="AE316" s="209"/>
      <c r="AF316" s="209"/>
      <c r="AG316" s="440"/>
      <c r="AH316" s="255"/>
    </row>
    <row r="317" spans="2:34" s="198" customFormat="1" ht="14.1" hidden="1" customHeight="1">
      <c r="B317" s="199">
        <v>308</v>
      </c>
      <c r="C317" s="200"/>
      <c r="D317" s="200" t="s">
        <v>600</v>
      </c>
      <c r="E317" s="437" t="s">
        <v>141</v>
      </c>
      <c r="F317" s="200">
        <v>1</v>
      </c>
      <c r="G317" s="200">
        <v>1</v>
      </c>
      <c r="H317" s="201" t="s">
        <v>2239</v>
      </c>
      <c r="I317" s="201" t="s">
        <v>2802</v>
      </c>
      <c r="J317" s="201" t="s">
        <v>2970</v>
      </c>
      <c r="K317" s="201" t="s">
        <v>2971</v>
      </c>
      <c r="L317" s="201" t="s">
        <v>2122</v>
      </c>
      <c r="M317" s="233">
        <v>595</v>
      </c>
      <c r="N317" s="233"/>
      <c r="O317" s="438"/>
      <c r="P317" s="60"/>
      <c r="Q317" s="200"/>
      <c r="R317" s="200"/>
      <c r="S317" s="439" t="s">
        <v>141</v>
      </c>
      <c r="T317" s="200">
        <v>1</v>
      </c>
      <c r="U317" s="209" t="s">
        <v>1059</v>
      </c>
      <c r="V317" s="252">
        <v>72000000</v>
      </c>
      <c r="W317" s="209">
        <v>72000000</v>
      </c>
      <c r="X317" s="200"/>
      <c r="Y317" s="209"/>
      <c r="Z317" s="209"/>
      <c r="AA317" s="209"/>
      <c r="AB317" s="200"/>
      <c r="AC317" s="209"/>
      <c r="AD317" s="209"/>
      <c r="AE317" s="209"/>
      <c r="AF317" s="209"/>
      <c r="AG317" s="440"/>
      <c r="AH317" s="255"/>
    </row>
    <row r="318" spans="2:34" s="198" customFormat="1" ht="14.1" hidden="1" customHeight="1">
      <c r="B318" s="199">
        <v>309</v>
      </c>
      <c r="C318" s="200"/>
      <c r="D318" s="200" t="s">
        <v>600</v>
      </c>
      <c r="E318" s="437" t="s">
        <v>141</v>
      </c>
      <c r="F318" s="200">
        <v>1</v>
      </c>
      <c r="G318" s="200">
        <v>2</v>
      </c>
      <c r="H318" s="201" t="s">
        <v>2239</v>
      </c>
      <c r="I318" s="201" t="s">
        <v>2802</v>
      </c>
      <c r="J318" s="201" t="s">
        <v>2970</v>
      </c>
      <c r="K318" s="201" t="s">
        <v>2972</v>
      </c>
      <c r="L318" s="201" t="s">
        <v>2973</v>
      </c>
      <c r="M318" s="233"/>
      <c r="N318" s="233">
        <v>120.05</v>
      </c>
      <c r="O318" s="438"/>
      <c r="P318" s="60"/>
      <c r="Q318" s="200"/>
      <c r="R318" s="200"/>
      <c r="S318" s="439" t="s">
        <v>141</v>
      </c>
      <c r="T318" s="200">
        <v>1</v>
      </c>
      <c r="U318" s="209" t="s">
        <v>1059</v>
      </c>
      <c r="V318" s="252">
        <v>72000000</v>
      </c>
      <c r="W318" s="209">
        <v>72000000</v>
      </c>
      <c r="X318" s="200"/>
      <c r="Y318" s="209"/>
      <c r="Z318" s="209"/>
      <c r="AA318" s="209"/>
      <c r="AB318" s="200"/>
      <c r="AC318" s="209"/>
      <c r="AD318" s="209"/>
      <c r="AE318" s="209"/>
      <c r="AF318" s="209"/>
      <c r="AG318" s="440"/>
      <c r="AH318" s="255"/>
    </row>
    <row r="319" spans="2:34" s="198" customFormat="1" ht="14.1" hidden="1" customHeight="1">
      <c r="B319" s="199">
        <v>310</v>
      </c>
      <c r="C319" s="200"/>
      <c r="D319" s="200" t="s">
        <v>601</v>
      </c>
      <c r="E319" s="437" t="s">
        <v>152</v>
      </c>
      <c r="F319" s="200">
        <v>1</v>
      </c>
      <c r="G319" s="200">
        <v>1</v>
      </c>
      <c r="H319" s="201" t="s">
        <v>2279</v>
      </c>
      <c r="I319" s="201" t="s">
        <v>2836</v>
      </c>
      <c r="J319" s="201" t="s">
        <v>2837</v>
      </c>
      <c r="K319" s="201" t="s">
        <v>2974</v>
      </c>
      <c r="L319" s="201" t="s">
        <v>2481</v>
      </c>
      <c r="M319" s="233">
        <v>15559.1</v>
      </c>
      <c r="N319" s="233">
        <v>41.3</v>
      </c>
      <c r="O319" s="438"/>
      <c r="P319" s="60"/>
      <c r="Q319" s="200" t="s">
        <v>2975</v>
      </c>
      <c r="R319" s="200"/>
      <c r="S319" s="439" t="s">
        <v>152</v>
      </c>
      <c r="T319" s="200">
        <v>1</v>
      </c>
      <c r="U319" s="209" t="s">
        <v>1059</v>
      </c>
      <c r="V319" s="252">
        <v>61680000</v>
      </c>
      <c r="W319" s="209">
        <v>61680000</v>
      </c>
      <c r="X319" s="200"/>
      <c r="Y319" s="209"/>
      <c r="Z319" s="209"/>
      <c r="AA319" s="209"/>
      <c r="AB319" s="200"/>
      <c r="AC319" s="209"/>
      <c r="AD319" s="209"/>
      <c r="AE319" s="209"/>
      <c r="AF319" s="209"/>
      <c r="AG319" s="440"/>
      <c r="AH319" s="255"/>
    </row>
    <row r="320" spans="2:34" s="198" customFormat="1" ht="14.1" hidden="1" customHeight="1">
      <c r="B320" s="199">
        <v>311</v>
      </c>
      <c r="C320" s="200"/>
      <c r="D320" s="200" t="s">
        <v>602</v>
      </c>
      <c r="E320" s="437" t="s">
        <v>135</v>
      </c>
      <c r="F320" s="200">
        <v>1</v>
      </c>
      <c r="G320" s="200">
        <v>1</v>
      </c>
      <c r="H320" s="201" t="s">
        <v>2107</v>
      </c>
      <c r="I320" s="201" t="s">
        <v>2582</v>
      </c>
      <c r="J320" s="201" t="s">
        <v>2976</v>
      </c>
      <c r="K320" s="201" t="s">
        <v>2977</v>
      </c>
      <c r="L320" s="201" t="s">
        <v>2934</v>
      </c>
      <c r="M320" s="233">
        <v>320</v>
      </c>
      <c r="N320" s="233">
        <v>41.31</v>
      </c>
      <c r="O320" s="438"/>
      <c r="P320" s="60"/>
      <c r="Q320" s="200" t="s">
        <v>2978</v>
      </c>
      <c r="R320" s="200"/>
      <c r="S320" s="439" t="s">
        <v>135</v>
      </c>
      <c r="T320" s="200">
        <v>1</v>
      </c>
      <c r="U320" s="209" t="s">
        <v>1059</v>
      </c>
      <c r="V320" s="252">
        <v>60000000</v>
      </c>
      <c r="W320" s="209">
        <v>60000000</v>
      </c>
      <c r="X320" s="200"/>
      <c r="Y320" s="209"/>
      <c r="Z320" s="209"/>
      <c r="AA320" s="209"/>
      <c r="AB320" s="200"/>
      <c r="AC320" s="209"/>
      <c r="AD320" s="209"/>
      <c r="AE320" s="209"/>
      <c r="AF320" s="209"/>
      <c r="AG320" s="440"/>
      <c r="AH320" s="255"/>
    </row>
    <row r="321" spans="2:34" s="198" customFormat="1" ht="14.1" hidden="1" customHeight="1">
      <c r="B321" s="199">
        <v>312</v>
      </c>
      <c r="C321" s="200"/>
      <c r="D321" s="200" t="s">
        <v>602</v>
      </c>
      <c r="E321" s="437" t="s">
        <v>135</v>
      </c>
      <c r="F321" s="200">
        <v>2</v>
      </c>
      <c r="G321" s="200">
        <v>1</v>
      </c>
      <c r="H321" s="201"/>
      <c r="I321" s="201"/>
      <c r="J321" s="201"/>
      <c r="K321" s="201" t="s">
        <v>1971</v>
      </c>
      <c r="L321" s="201" t="s">
        <v>2110</v>
      </c>
      <c r="M321" s="233"/>
      <c r="N321" s="233"/>
      <c r="O321" s="438" t="s">
        <v>2979</v>
      </c>
      <c r="P321" s="60"/>
      <c r="Q321" s="200"/>
      <c r="R321" s="200"/>
      <c r="S321" s="303" t="s">
        <v>2979</v>
      </c>
      <c r="T321" s="200"/>
      <c r="U321" s="209" t="s">
        <v>1059</v>
      </c>
      <c r="V321" s="252" t="s">
        <v>2979</v>
      </c>
      <c r="W321" s="252" t="s">
        <v>2979</v>
      </c>
      <c r="X321" s="200"/>
      <c r="Y321" s="209"/>
      <c r="Z321" s="209"/>
      <c r="AA321" s="209"/>
      <c r="AB321" s="200"/>
      <c r="AC321" s="209"/>
      <c r="AD321" s="209"/>
      <c r="AE321" s="209"/>
      <c r="AF321" s="209"/>
      <c r="AG321" s="440"/>
      <c r="AH321" s="255"/>
    </row>
    <row r="322" spans="2:34" s="198" customFormat="1" ht="14.1" hidden="1" customHeight="1">
      <c r="B322" s="199">
        <v>313</v>
      </c>
      <c r="C322" s="200"/>
      <c r="D322" s="200" t="s">
        <v>603</v>
      </c>
      <c r="E322" s="437" t="s">
        <v>678</v>
      </c>
      <c r="F322" s="200">
        <v>1</v>
      </c>
      <c r="G322" s="200">
        <v>1</v>
      </c>
      <c r="H322" s="201" t="s">
        <v>2138</v>
      </c>
      <c r="I322" s="201" t="s">
        <v>2753</v>
      </c>
      <c r="J322" s="201" t="s">
        <v>2980</v>
      </c>
      <c r="K322" s="201" t="s">
        <v>2981</v>
      </c>
      <c r="L322" s="201" t="s">
        <v>2540</v>
      </c>
      <c r="M322" s="233">
        <v>66419.3</v>
      </c>
      <c r="N322" s="233">
        <v>66.48</v>
      </c>
      <c r="O322" s="438"/>
      <c r="P322" s="60"/>
      <c r="Q322" s="200" t="s">
        <v>2982</v>
      </c>
      <c r="R322" s="200"/>
      <c r="S322" s="303" t="s">
        <v>2983</v>
      </c>
      <c r="T322" s="200">
        <v>3</v>
      </c>
      <c r="U322" s="209" t="s">
        <v>1059</v>
      </c>
      <c r="V322" s="252">
        <v>65000000</v>
      </c>
      <c r="W322" s="209">
        <v>65000000</v>
      </c>
      <c r="X322" s="200"/>
      <c r="Y322" s="209"/>
      <c r="Z322" s="209"/>
      <c r="AA322" s="209"/>
      <c r="AB322" s="200" t="s">
        <v>2123</v>
      </c>
      <c r="AC322" s="209" t="s">
        <v>1059</v>
      </c>
      <c r="AD322" s="209">
        <v>114000000</v>
      </c>
      <c r="AE322" s="209">
        <v>114000000</v>
      </c>
      <c r="AF322" s="209"/>
      <c r="AG322" s="440"/>
      <c r="AH322" s="255"/>
    </row>
    <row r="323" spans="2:34" s="198" customFormat="1" ht="14.1" hidden="1" customHeight="1">
      <c r="B323" s="199">
        <v>314</v>
      </c>
      <c r="C323" s="200"/>
      <c r="D323" s="200" t="s">
        <v>604</v>
      </c>
      <c r="E323" s="437" t="s">
        <v>679</v>
      </c>
      <c r="F323" s="200">
        <v>1</v>
      </c>
      <c r="G323" s="200">
        <v>1</v>
      </c>
      <c r="H323" s="201" t="s">
        <v>2107</v>
      </c>
      <c r="I323" s="201" t="s">
        <v>2840</v>
      </c>
      <c r="J323" s="201" t="s">
        <v>2841</v>
      </c>
      <c r="K323" s="201" t="s">
        <v>2842</v>
      </c>
      <c r="L323" s="201" t="s">
        <v>2984</v>
      </c>
      <c r="M323" s="233">
        <v>200</v>
      </c>
      <c r="N323" s="233">
        <v>42.87</v>
      </c>
      <c r="O323" s="438"/>
      <c r="P323" s="60"/>
      <c r="Q323" s="200" t="s">
        <v>2844</v>
      </c>
      <c r="R323" s="200"/>
      <c r="S323" s="303" t="s">
        <v>2517</v>
      </c>
      <c r="T323" s="200">
        <v>2</v>
      </c>
      <c r="U323" s="209" t="s">
        <v>2985</v>
      </c>
      <c r="V323" s="252">
        <v>120000</v>
      </c>
      <c r="W323" s="209">
        <v>137964000</v>
      </c>
      <c r="X323" s="200"/>
      <c r="Y323" s="209"/>
      <c r="Z323" s="209"/>
      <c r="AA323" s="209"/>
      <c r="AB323" s="200">
        <v>1</v>
      </c>
      <c r="AC323" s="209" t="s">
        <v>1059</v>
      </c>
      <c r="AD323" s="209">
        <v>126000000</v>
      </c>
      <c r="AE323" s="209">
        <v>126000000</v>
      </c>
      <c r="AF323" s="209"/>
      <c r="AG323" s="440"/>
      <c r="AH323" s="255"/>
    </row>
    <row r="324" spans="2:34" s="198" customFormat="1" ht="14.1" hidden="1" customHeight="1">
      <c r="B324" s="199">
        <v>315</v>
      </c>
      <c r="C324" s="200"/>
      <c r="D324" s="200" t="s">
        <v>605</v>
      </c>
      <c r="E324" s="437" t="s">
        <v>109</v>
      </c>
      <c r="F324" s="200">
        <v>1</v>
      </c>
      <c r="G324" s="200">
        <v>1</v>
      </c>
      <c r="H324" s="201" t="s">
        <v>2239</v>
      </c>
      <c r="I324" s="201" t="s">
        <v>2781</v>
      </c>
      <c r="J324" s="201" t="s">
        <v>2986</v>
      </c>
      <c r="K324" s="201" t="s">
        <v>2987</v>
      </c>
      <c r="L324" s="201" t="s">
        <v>2956</v>
      </c>
      <c r="M324" s="233">
        <v>135.9</v>
      </c>
      <c r="N324" s="233">
        <v>29.25</v>
      </c>
      <c r="O324" s="438"/>
      <c r="P324" s="60"/>
      <c r="Q324" s="200" t="s">
        <v>2988</v>
      </c>
      <c r="R324" s="200"/>
      <c r="S324" s="439" t="s">
        <v>109</v>
      </c>
      <c r="T324" s="200">
        <v>1</v>
      </c>
      <c r="U324" s="209" t="s">
        <v>1059</v>
      </c>
      <c r="V324" s="252">
        <v>23880000</v>
      </c>
      <c r="W324" s="209">
        <v>23880000</v>
      </c>
      <c r="X324" s="200"/>
      <c r="Y324" s="209"/>
      <c r="Z324" s="209"/>
      <c r="AA324" s="209"/>
      <c r="AB324" s="200"/>
      <c r="AC324" s="209"/>
      <c r="AD324" s="209"/>
      <c r="AE324" s="209"/>
      <c r="AF324" s="209"/>
      <c r="AG324" s="440"/>
      <c r="AH324" s="255"/>
    </row>
    <row r="325" spans="2:34" s="198" customFormat="1" ht="14.1" hidden="1" customHeight="1">
      <c r="B325" s="199">
        <v>316</v>
      </c>
      <c r="C325" s="200"/>
      <c r="D325" s="200" t="s">
        <v>605</v>
      </c>
      <c r="E325" s="437" t="s">
        <v>109</v>
      </c>
      <c r="F325" s="200">
        <v>2</v>
      </c>
      <c r="G325" s="200">
        <v>1</v>
      </c>
      <c r="H325" s="201" t="s">
        <v>2239</v>
      </c>
      <c r="I325" s="201" t="s">
        <v>2397</v>
      </c>
      <c r="J325" s="201" t="s">
        <v>2398</v>
      </c>
      <c r="K325" s="201" t="s">
        <v>2989</v>
      </c>
      <c r="L325" s="201" t="s">
        <v>2394</v>
      </c>
      <c r="M325" s="233">
        <v>109</v>
      </c>
      <c r="N325" s="233">
        <v>34.18</v>
      </c>
      <c r="O325" s="438"/>
      <c r="P325" s="60"/>
      <c r="Q325" s="200" t="s">
        <v>2990</v>
      </c>
      <c r="R325" s="200"/>
      <c r="S325" s="439" t="s">
        <v>109</v>
      </c>
      <c r="T325" s="200">
        <v>1</v>
      </c>
      <c r="U325" s="209" t="s">
        <v>1059</v>
      </c>
      <c r="V325" s="252">
        <v>34800000</v>
      </c>
      <c r="W325" s="209">
        <v>34800000</v>
      </c>
      <c r="X325" s="200"/>
      <c r="Y325" s="209"/>
      <c r="Z325" s="209"/>
      <c r="AA325" s="209"/>
      <c r="AB325" s="200"/>
      <c r="AC325" s="209"/>
      <c r="AD325" s="209"/>
      <c r="AE325" s="209"/>
      <c r="AF325" s="209"/>
      <c r="AG325" s="440"/>
      <c r="AH325" s="255"/>
    </row>
    <row r="326" spans="2:34" s="198" customFormat="1" ht="14.1" hidden="1" customHeight="1">
      <c r="B326" s="199">
        <v>317</v>
      </c>
      <c r="C326" s="200"/>
      <c r="D326" s="200" t="s">
        <v>606</v>
      </c>
      <c r="E326" s="437" t="s">
        <v>152</v>
      </c>
      <c r="F326" s="200">
        <v>1</v>
      </c>
      <c r="G326" s="200">
        <v>1</v>
      </c>
      <c r="H326" s="201" t="s">
        <v>2239</v>
      </c>
      <c r="I326" s="201" t="s">
        <v>2484</v>
      </c>
      <c r="J326" s="201" t="s">
        <v>2897</v>
      </c>
      <c r="K326" s="201" t="s">
        <v>2991</v>
      </c>
      <c r="L326" s="201" t="s">
        <v>2394</v>
      </c>
      <c r="M326" s="233">
        <v>140</v>
      </c>
      <c r="N326" s="233">
        <v>46.74</v>
      </c>
      <c r="O326" s="438"/>
      <c r="P326" s="60"/>
      <c r="Q326" s="200" t="s">
        <v>2992</v>
      </c>
      <c r="R326" s="200"/>
      <c r="S326" s="439" t="s">
        <v>152</v>
      </c>
      <c r="T326" s="200">
        <v>1</v>
      </c>
      <c r="U326" s="209" t="s">
        <v>1059</v>
      </c>
      <c r="V326" s="252">
        <v>57600000</v>
      </c>
      <c r="W326" s="209">
        <v>57600000</v>
      </c>
      <c r="X326" s="200"/>
      <c r="Y326" s="209"/>
      <c r="Z326" s="209"/>
      <c r="AA326" s="209"/>
      <c r="AB326" s="200"/>
      <c r="AC326" s="209"/>
      <c r="AD326" s="209"/>
      <c r="AE326" s="209"/>
      <c r="AF326" s="209"/>
      <c r="AG326" s="440"/>
      <c r="AH326" s="255"/>
    </row>
    <row r="327" spans="2:34" s="198" customFormat="1" ht="14.1" hidden="1" customHeight="1">
      <c r="B327" s="199">
        <v>318</v>
      </c>
      <c r="C327" s="200"/>
      <c r="D327" s="200" t="s">
        <v>607</v>
      </c>
      <c r="E327" s="437" t="s">
        <v>208</v>
      </c>
      <c r="F327" s="200">
        <v>1</v>
      </c>
      <c r="G327" s="200">
        <v>1</v>
      </c>
      <c r="H327" s="201" t="s">
        <v>2107</v>
      </c>
      <c r="I327" s="201" t="s">
        <v>2592</v>
      </c>
      <c r="J327" s="201" t="s">
        <v>2993</v>
      </c>
      <c r="K327" s="201" t="s">
        <v>2994</v>
      </c>
      <c r="L327" s="201" t="s">
        <v>2525</v>
      </c>
      <c r="M327" s="233">
        <v>23750.7</v>
      </c>
      <c r="N327" s="233">
        <v>109.708</v>
      </c>
      <c r="O327" s="438"/>
      <c r="P327" s="60"/>
      <c r="Q327" s="200" t="s">
        <v>2995</v>
      </c>
      <c r="R327" s="200"/>
      <c r="S327" s="439" t="s">
        <v>208</v>
      </c>
      <c r="T327" s="200">
        <v>1</v>
      </c>
      <c r="U327" s="209" t="s">
        <v>1059</v>
      </c>
      <c r="V327" s="252">
        <v>60000000</v>
      </c>
      <c r="W327" s="209">
        <v>60000000</v>
      </c>
      <c r="X327" s="200"/>
      <c r="Y327" s="209"/>
      <c r="Z327" s="209"/>
      <c r="AA327" s="209"/>
      <c r="AB327" s="200"/>
      <c r="AC327" s="209"/>
      <c r="AD327" s="209"/>
      <c r="AE327" s="209"/>
      <c r="AF327" s="209"/>
      <c r="AG327" s="440"/>
      <c r="AH327" s="255"/>
    </row>
    <row r="328" spans="2:34" s="198" customFormat="1" ht="14.1" hidden="1" customHeight="1">
      <c r="B328" s="199">
        <v>319</v>
      </c>
      <c r="C328" s="200"/>
      <c r="D328" s="200" t="s">
        <v>608</v>
      </c>
      <c r="E328" s="437" t="s">
        <v>221</v>
      </c>
      <c r="F328" s="200">
        <v>1</v>
      </c>
      <c r="G328" s="200">
        <v>1</v>
      </c>
      <c r="H328" s="201" t="s">
        <v>2239</v>
      </c>
      <c r="I328" s="201" t="s">
        <v>2397</v>
      </c>
      <c r="J328" s="201" t="s">
        <v>2848</v>
      </c>
      <c r="K328" s="201" t="s">
        <v>2996</v>
      </c>
      <c r="L328" s="201" t="s">
        <v>2997</v>
      </c>
      <c r="M328" s="233">
        <v>6978</v>
      </c>
      <c r="N328" s="233">
        <v>91.1</v>
      </c>
      <c r="O328" s="438"/>
      <c r="P328" s="60"/>
      <c r="Q328" s="200" t="s">
        <v>2998</v>
      </c>
      <c r="R328" s="200"/>
      <c r="S328" s="439" t="s">
        <v>221</v>
      </c>
      <c r="T328" s="200">
        <v>1</v>
      </c>
      <c r="U328" s="209" t="s">
        <v>1059</v>
      </c>
      <c r="V328" s="252">
        <v>60000000</v>
      </c>
      <c r="W328" s="209">
        <v>60000000</v>
      </c>
      <c r="X328" s="200"/>
      <c r="Y328" s="209"/>
      <c r="Z328" s="209"/>
      <c r="AA328" s="209"/>
      <c r="AB328" s="200"/>
      <c r="AC328" s="209"/>
      <c r="AD328" s="209"/>
      <c r="AE328" s="209"/>
      <c r="AF328" s="209"/>
      <c r="AG328" s="440"/>
      <c r="AH328" s="255"/>
    </row>
    <row r="329" spans="2:34" s="198" customFormat="1" ht="14.1" hidden="1" customHeight="1">
      <c r="B329" s="199">
        <v>320</v>
      </c>
      <c r="C329" s="200"/>
      <c r="D329" s="200" t="s">
        <v>609</v>
      </c>
      <c r="E329" s="437" t="s">
        <v>183</v>
      </c>
      <c r="F329" s="200">
        <v>1</v>
      </c>
      <c r="G329" s="200">
        <v>1</v>
      </c>
      <c r="H329" s="201" t="s">
        <v>2107</v>
      </c>
      <c r="I329" s="201" t="s">
        <v>2886</v>
      </c>
      <c r="J329" s="201" t="s">
        <v>2999</v>
      </c>
      <c r="K329" s="201" t="s">
        <v>3000</v>
      </c>
      <c r="L329" s="201" t="s">
        <v>2394</v>
      </c>
      <c r="M329" s="233">
        <v>431</v>
      </c>
      <c r="N329" s="233">
        <v>50.64</v>
      </c>
      <c r="O329" s="438"/>
      <c r="P329" s="60"/>
      <c r="Q329" s="200" t="s">
        <v>3001</v>
      </c>
      <c r="R329" s="200"/>
      <c r="S329" s="439" t="s">
        <v>183</v>
      </c>
      <c r="T329" s="200" t="s">
        <v>2118</v>
      </c>
      <c r="U329" s="209" t="s">
        <v>1059</v>
      </c>
      <c r="V329" s="252">
        <v>60000000</v>
      </c>
      <c r="W329" s="209">
        <v>60000000</v>
      </c>
      <c r="X329" s="200"/>
      <c r="Y329" s="209"/>
      <c r="Z329" s="209"/>
      <c r="AA329" s="209"/>
      <c r="AB329" s="200"/>
      <c r="AC329" s="209"/>
      <c r="AD329" s="209"/>
      <c r="AE329" s="209"/>
      <c r="AF329" s="209"/>
      <c r="AG329" s="440"/>
      <c r="AH329" s="255"/>
    </row>
    <row r="330" spans="2:34" s="198" customFormat="1" ht="14.1" hidden="1" customHeight="1">
      <c r="B330" s="199">
        <v>321</v>
      </c>
      <c r="C330" s="200"/>
      <c r="D330" s="200" t="s">
        <v>610</v>
      </c>
      <c r="E330" s="437" t="s">
        <v>109</v>
      </c>
      <c r="F330" s="200">
        <v>1</v>
      </c>
      <c r="G330" s="200">
        <v>1</v>
      </c>
      <c r="H330" s="201" t="s">
        <v>2138</v>
      </c>
      <c r="I330" s="201" t="s">
        <v>3002</v>
      </c>
      <c r="J330" s="201" t="s">
        <v>3003</v>
      </c>
      <c r="K330" s="201" t="s">
        <v>3004</v>
      </c>
      <c r="L330" s="201" t="s">
        <v>2394</v>
      </c>
      <c r="M330" s="233">
        <v>331</v>
      </c>
      <c r="N330" s="233">
        <v>57.54</v>
      </c>
      <c r="O330" s="438"/>
      <c r="P330" s="60"/>
      <c r="Q330" s="200" t="s">
        <v>3005</v>
      </c>
      <c r="R330" s="200" t="s">
        <v>2130</v>
      </c>
      <c r="S330" s="303" t="s">
        <v>2767</v>
      </c>
      <c r="T330" s="200">
        <v>1</v>
      </c>
      <c r="U330" s="209" t="s">
        <v>1059</v>
      </c>
      <c r="V330" s="252">
        <v>54000000</v>
      </c>
      <c r="W330" s="209">
        <v>54000000</v>
      </c>
      <c r="X330" s="200"/>
      <c r="Y330" s="209"/>
      <c r="Z330" s="209"/>
      <c r="AA330" s="209"/>
      <c r="AB330" s="200"/>
      <c r="AC330" s="209"/>
      <c r="AD330" s="209"/>
      <c r="AE330" s="209"/>
      <c r="AF330" s="209"/>
      <c r="AG330" s="440"/>
      <c r="AH330" s="255"/>
    </row>
    <row r="331" spans="2:34" s="198" customFormat="1" ht="14.1" hidden="1" customHeight="1">
      <c r="B331" s="199">
        <v>322</v>
      </c>
      <c r="C331" s="200"/>
      <c r="D331" s="200" t="s">
        <v>611</v>
      </c>
      <c r="E331" s="437" t="s">
        <v>135</v>
      </c>
      <c r="F331" s="200">
        <v>1</v>
      </c>
      <c r="G331" s="200">
        <v>1</v>
      </c>
      <c r="H331" s="201" t="s">
        <v>2260</v>
      </c>
      <c r="I331" s="201" t="s">
        <v>2299</v>
      </c>
      <c r="J331" s="201" t="s">
        <v>3006</v>
      </c>
      <c r="K331" s="201" t="s">
        <v>3007</v>
      </c>
      <c r="L331" s="201" t="s">
        <v>3008</v>
      </c>
      <c r="M331" s="233">
        <v>636.4</v>
      </c>
      <c r="N331" s="233">
        <v>26.619</v>
      </c>
      <c r="O331" s="438"/>
      <c r="P331" s="60"/>
      <c r="Q331" s="200" t="s">
        <v>3009</v>
      </c>
      <c r="R331" s="200"/>
      <c r="S331" s="439" t="s">
        <v>135</v>
      </c>
      <c r="T331" s="200">
        <v>1</v>
      </c>
      <c r="U331" s="209" t="s">
        <v>1059</v>
      </c>
      <c r="V331" s="252">
        <v>58500000</v>
      </c>
      <c r="W331" s="209">
        <v>58500000</v>
      </c>
      <c r="X331" s="200"/>
      <c r="Y331" s="209"/>
      <c r="Z331" s="209"/>
      <c r="AA331" s="209"/>
      <c r="AB331" s="200"/>
      <c r="AC331" s="209"/>
      <c r="AD331" s="209"/>
      <c r="AE331" s="209"/>
      <c r="AF331" s="209"/>
      <c r="AG331" s="440"/>
      <c r="AH331" s="255"/>
    </row>
    <row r="332" spans="2:34" s="198" customFormat="1" ht="14.1" hidden="1" customHeight="1">
      <c r="B332" s="199">
        <v>323</v>
      </c>
      <c r="C332" s="200"/>
      <c r="D332" s="200" t="s">
        <v>612</v>
      </c>
      <c r="E332" s="437" t="s">
        <v>646</v>
      </c>
      <c r="F332" s="200">
        <v>1</v>
      </c>
      <c r="G332" s="200">
        <v>1</v>
      </c>
      <c r="H332" s="201" t="s">
        <v>2239</v>
      </c>
      <c r="I332" s="201" t="s">
        <v>2132</v>
      </c>
      <c r="J332" s="201" t="s">
        <v>2561</v>
      </c>
      <c r="K332" s="201" t="s">
        <v>3010</v>
      </c>
      <c r="L332" s="201" t="s">
        <v>2644</v>
      </c>
      <c r="M332" s="233">
        <v>1173.2</v>
      </c>
      <c r="N332" s="233">
        <v>15.04</v>
      </c>
      <c r="O332" s="438"/>
      <c r="P332" s="60"/>
      <c r="Q332" s="200" t="s">
        <v>3011</v>
      </c>
      <c r="R332" s="200"/>
      <c r="S332" s="439" t="s">
        <v>646</v>
      </c>
      <c r="T332" s="200">
        <v>1</v>
      </c>
      <c r="U332" s="209" t="s">
        <v>1059</v>
      </c>
      <c r="V332" s="252">
        <v>48240000</v>
      </c>
      <c r="W332" s="209">
        <v>48240000</v>
      </c>
      <c r="X332" s="200"/>
      <c r="Y332" s="209"/>
      <c r="Z332" s="209"/>
      <c r="AA332" s="209"/>
      <c r="AB332" s="200"/>
      <c r="AC332" s="209"/>
      <c r="AD332" s="209"/>
      <c r="AE332" s="209"/>
      <c r="AF332" s="209"/>
      <c r="AG332" s="440"/>
      <c r="AH332" s="255"/>
    </row>
    <row r="333" spans="2:34" s="198" customFormat="1" ht="14.1" hidden="1" customHeight="1">
      <c r="B333" s="199">
        <v>324</v>
      </c>
      <c r="C333" s="200"/>
      <c r="D333" s="200" t="s">
        <v>613</v>
      </c>
      <c r="E333" s="437" t="s">
        <v>109</v>
      </c>
      <c r="F333" s="200">
        <v>1</v>
      </c>
      <c r="G333" s="200">
        <v>1</v>
      </c>
      <c r="H333" s="201" t="s">
        <v>2239</v>
      </c>
      <c r="I333" s="201" t="s">
        <v>2781</v>
      </c>
      <c r="J333" s="201" t="s">
        <v>2986</v>
      </c>
      <c r="K333" s="201" t="s">
        <v>3012</v>
      </c>
      <c r="L333" s="201" t="s">
        <v>2956</v>
      </c>
      <c r="M333" s="233">
        <v>410</v>
      </c>
      <c r="N333" s="233">
        <v>36.94</v>
      </c>
      <c r="O333" s="438"/>
      <c r="P333" s="60"/>
      <c r="Q333" s="200" t="s">
        <v>3013</v>
      </c>
      <c r="R333" s="200"/>
      <c r="S333" s="439" t="s">
        <v>109</v>
      </c>
      <c r="T333" s="200">
        <v>1</v>
      </c>
      <c r="U333" s="209" t="s">
        <v>1059</v>
      </c>
      <c r="V333" s="252">
        <v>46800000</v>
      </c>
      <c r="W333" s="209">
        <v>46800000</v>
      </c>
      <c r="X333" s="200"/>
      <c r="Y333" s="209"/>
      <c r="Z333" s="209"/>
      <c r="AA333" s="209"/>
      <c r="AB333" s="200"/>
      <c r="AC333" s="209"/>
      <c r="AD333" s="209"/>
      <c r="AE333" s="209"/>
      <c r="AF333" s="209"/>
      <c r="AG333" s="440"/>
      <c r="AH333" s="255"/>
    </row>
    <row r="334" spans="2:34" s="198" customFormat="1" ht="14.1" hidden="1" customHeight="1">
      <c r="B334" s="199">
        <v>325</v>
      </c>
      <c r="C334" s="200"/>
      <c r="D334" s="200" t="s">
        <v>614</v>
      </c>
      <c r="E334" s="437" t="s">
        <v>152</v>
      </c>
      <c r="F334" s="200">
        <v>1</v>
      </c>
      <c r="G334" s="200">
        <v>1</v>
      </c>
      <c r="H334" s="201" t="s">
        <v>2502</v>
      </c>
      <c r="I334" s="201" t="s">
        <v>3014</v>
      </c>
      <c r="J334" s="201" t="s">
        <v>3015</v>
      </c>
      <c r="K334" s="201" t="s">
        <v>3016</v>
      </c>
      <c r="L334" s="201" t="s">
        <v>2113</v>
      </c>
      <c r="M334" s="233">
        <v>1945</v>
      </c>
      <c r="N334" s="233"/>
      <c r="O334" s="438"/>
      <c r="P334" s="60"/>
      <c r="Q334" s="200"/>
      <c r="R334" s="200" t="s">
        <v>3017</v>
      </c>
      <c r="S334" s="303" t="s">
        <v>3018</v>
      </c>
      <c r="T334" s="200">
        <v>1</v>
      </c>
      <c r="U334" s="209" t="s">
        <v>1059</v>
      </c>
      <c r="V334" s="252">
        <v>234000000</v>
      </c>
      <c r="W334" s="209">
        <v>234000000</v>
      </c>
      <c r="X334" s="200"/>
      <c r="Y334" s="209"/>
      <c r="Z334" s="209"/>
      <c r="AA334" s="209"/>
      <c r="AB334" s="200"/>
      <c r="AC334" s="209"/>
      <c r="AD334" s="209"/>
      <c r="AE334" s="209"/>
      <c r="AF334" s="209"/>
      <c r="AG334" s="440"/>
      <c r="AH334" s="255" t="s">
        <v>3019</v>
      </c>
    </row>
    <row r="335" spans="2:34" s="198" customFormat="1" ht="14.1" hidden="1" customHeight="1">
      <c r="B335" s="199">
        <v>326</v>
      </c>
      <c r="C335" s="200"/>
      <c r="D335" s="200" t="s">
        <v>614</v>
      </c>
      <c r="E335" s="437" t="s">
        <v>152</v>
      </c>
      <c r="F335" s="200">
        <v>1</v>
      </c>
      <c r="G335" s="200">
        <v>2</v>
      </c>
      <c r="H335" s="201" t="s">
        <v>2502</v>
      </c>
      <c r="I335" s="201" t="s">
        <v>3014</v>
      </c>
      <c r="J335" s="201" t="s">
        <v>3015</v>
      </c>
      <c r="K335" s="201" t="s">
        <v>3020</v>
      </c>
      <c r="L335" s="201" t="s">
        <v>2113</v>
      </c>
      <c r="M335" s="233">
        <v>1257</v>
      </c>
      <c r="N335" s="233"/>
      <c r="O335" s="438"/>
      <c r="P335" s="60"/>
      <c r="Q335" s="200"/>
      <c r="R335" s="200" t="s">
        <v>3017</v>
      </c>
      <c r="S335" s="303" t="s">
        <v>3018</v>
      </c>
      <c r="T335" s="200">
        <v>1</v>
      </c>
      <c r="U335" s="209" t="s">
        <v>1059</v>
      </c>
      <c r="V335" s="252">
        <v>234000000</v>
      </c>
      <c r="W335" s="209">
        <v>234000000</v>
      </c>
      <c r="X335" s="200"/>
      <c r="Y335" s="209"/>
      <c r="Z335" s="209"/>
      <c r="AA335" s="209"/>
      <c r="AB335" s="200"/>
      <c r="AC335" s="209"/>
      <c r="AD335" s="209"/>
      <c r="AE335" s="209"/>
      <c r="AF335" s="209"/>
      <c r="AG335" s="440"/>
      <c r="AH335" s="255" t="s">
        <v>3019</v>
      </c>
    </row>
    <row r="336" spans="2:34" s="198" customFormat="1" ht="14.1" hidden="1" customHeight="1">
      <c r="B336" s="199">
        <v>327</v>
      </c>
      <c r="C336" s="200"/>
      <c r="D336" s="200" t="s">
        <v>615</v>
      </c>
      <c r="E336" s="437" t="s">
        <v>168</v>
      </c>
      <c r="F336" s="200">
        <v>1</v>
      </c>
      <c r="G336" s="200">
        <v>1</v>
      </c>
      <c r="H336" s="201" t="s">
        <v>2239</v>
      </c>
      <c r="I336" s="201" t="s">
        <v>2397</v>
      </c>
      <c r="J336" s="201" t="s">
        <v>2398</v>
      </c>
      <c r="K336" s="201" t="s">
        <v>3021</v>
      </c>
      <c r="L336" s="201" t="s">
        <v>2394</v>
      </c>
      <c r="M336" s="233">
        <v>154.5</v>
      </c>
      <c r="N336" s="233">
        <v>37.966999999999999</v>
      </c>
      <c r="O336" s="438"/>
      <c r="P336" s="60"/>
      <c r="Q336" s="200" t="s">
        <v>3022</v>
      </c>
      <c r="R336" s="200"/>
      <c r="S336" s="439" t="s">
        <v>168</v>
      </c>
      <c r="T336" s="200">
        <v>1</v>
      </c>
      <c r="U336" s="209" t="s">
        <v>1059</v>
      </c>
      <c r="V336" s="252">
        <v>44400000</v>
      </c>
      <c r="W336" s="209">
        <v>44400000</v>
      </c>
      <c r="X336" s="200"/>
      <c r="Y336" s="209"/>
      <c r="Z336" s="209"/>
      <c r="AA336" s="209"/>
      <c r="AB336" s="200"/>
      <c r="AC336" s="209"/>
      <c r="AD336" s="209"/>
      <c r="AE336" s="209"/>
      <c r="AF336" s="209"/>
      <c r="AG336" s="440"/>
      <c r="AH336" s="255"/>
    </row>
    <row r="337" spans="2:34" s="198" customFormat="1" ht="14.1" hidden="1" customHeight="1">
      <c r="B337" s="199">
        <v>328</v>
      </c>
      <c r="C337" s="200"/>
      <c r="D337" s="200" t="s">
        <v>616</v>
      </c>
      <c r="E337" s="437" t="s">
        <v>168</v>
      </c>
      <c r="F337" s="200">
        <v>1</v>
      </c>
      <c r="G337" s="200">
        <v>1</v>
      </c>
      <c r="H337" s="201" t="s">
        <v>2239</v>
      </c>
      <c r="I337" s="201" t="s">
        <v>2299</v>
      </c>
      <c r="J337" s="201" t="s">
        <v>3023</v>
      </c>
      <c r="K337" s="201" t="s">
        <v>3024</v>
      </c>
      <c r="L337" s="201" t="s">
        <v>2956</v>
      </c>
      <c r="M337" s="233">
        <v>199.1</v>
      </c>
      <c r="N337" s="233">
        <v>34.645000000000003</v>
      </c>
      <c r="O337" s="438"/>
      <c r="P337" s="60"/>
      <c r="Q337" s="200" t="s">
        <v>3025</v>
      </c>
      <c r="R337" s="200"/>
      <c r="S337" s="439" t="s">
        <v>168</v>
      </c>
      <c r="T337" s="200">
        <v>1</v>
      </c>
      <c r="U337" s="209" t="s">
        <v>1059</v>
      </c>
      <c r="V337" s="252">
        <v>46800000</v>
      </c>
      <c r="W337" s="209">
        <v>46800000</v>
      </c>
      <c r="X337" s="200"/>
      <c r="Y337" s="209"/>
      <c r="Z337" s="209"/>
      <c r="AA337" s="209"/>
      <c r="AB337" s="200"/>
      <c r="AC337" s="209"/>
      <c r="AD337" s="209"/>
      <c r="AE337" s="209"/>
      <c r="AF337" s="209"/>
      <c r="AG337" s="440"/>
      <c r="AH337" s="255"/>
    </row>
    <row r="338" spans="2:34" s="198" customFormat="1" ht="14.1" hidden="1" customHeight="1">
      <c r="B338" s="199">
        <v>329</v>
      </c>
      <c r="C338" s="200"/>
      <c r="D338" s="200" t="s">
        <v>617</v>
      </c>
      <c r="E338" s="437" t="s">
        <v>152</v>
      </c>
      <c r="F338" s="200">
        <v>1</v>
      </c>
      <c r="G338" s="200">
        <v>1</v>
      </c>
      <c r="H338" s="201" t="s">
        <v>2188</v>
      </c>
      <c r="I338" s="201" t="s">
        <v>3026</v>
      </c>
      <c r="J338" s="201" t="s">
        <v>3027</v>
      </c>
      <c r="K338" s="201" t="s">
        <v>3028</v>
      </c>
      <c r="L338" s="201" t="s">
        <v>2478</v>
      </c>
      <c r="M338" s="233">
        <v>20030</v>
      </c>
      <c r="N338" s="233">
        <v>45.42</v>
      </c>
      <c r="O338" s="438"/>
      <c r="P338" s="60"/>
      <c r="Q338" s="200" t="s">
        <v>3029</v>
      </c>
      <c r="R338" s="200"/>
      <c r="S338" s="439" t="s">
        <v>152</v>
      </c>
      <c r="T338" s="200" t="s">
        <v>2123</v>
      </c>
      <c r="U338" s="209" t="s">
        <v>1059</v>
      </c>
      <c r="V338" s="252">
        <v>45600000</v>
      </c>
      <c r="W338" s="209">
        <v>45600000</v>
      </c>
      <c r="X338" s="200"/>
      <c r="Y338" s="209"/>
      <c r="Z338" s="209"/>
      <c r="AA338" s="209"/>
      <c r="AB338" s="200"/>
      <c r="AC338" s="209"/>
      <c r="AD338" s="209"/>
      <c r="AE338" s="209"/>
      <c r="AF338" s="209"/>
      <c r="AG338" s="440"/>
      <c r="AH338" s="255"/>
    </row>
    <row r="339" spans="2:34" s="198" customFormat="1" ht="14.1" hidden="1" customHeight="1">
      <c r="B339" s="199">
        <v>330</v>
      </c>
      <c r="C339" s="200"/>
      <c r="D339" s="200" t="s">
        <v>618</v>
      </c>
      <c r="E339" s="437" t="s">
        <v>92</v>
      </c>
      <c r="F339" s="200">
        <v>1</v>
      </c>
      <c r="G339" s="200">
        <v>1</v>
      </c>
      <c r="H339" s="201" t="s">
        <v>2239</v>
      </c>
      <c r="I339" s="201" t="s">
        <v>2132</v>
      </c>
      <c r="J339" s="201" t="s">
        <v>3030</v>
      </c>
      <c r="K339" s="201" t="s">
        <v>3031</v>
      </c>
      <c r="L339" s="201" t="s">
        <v>2956</v>
      </c>
      <c r="M339" s="233">
        <v>335.1</v>
      </c>
      <c r="N339" s="233">
        <v>35.729999999999997</v>
      </c>
      <c r="O339" s="438"/>
      <c r="P339" s="60"/>
      <c r="Q339" s="200" t="s">
        <v>3032</v>
      </c>
      <c r="R339" s="200"/>
      <c r="S339" s="439" t="s">
        <v>92</v>
      </c>
      <c r="T339" s="200">
        <v>1</v>
      </c>
      <c r="U339" s="209" t="s">
        <v>1059</v>
      </c>
      <c r="V339" s="252">
        <v>46800000</v>
      </c>
      <c r="W339" s="209">
        <v>46800000</v>
      </c>
      <c r="X339" s="200"/>
      <c r="Y339" s="209"/>
      <c r="Z339" s="209"/>
      <c r="AA339" s="209"/>
      <c r="AB339" s="200"/>
      <c r="AC339" s="209"/>
      <c r="AD339" s="209"/>
      <c r="AE339" s="209"/>
      <c r="AF339" s="209"/>
      <c r="AG339" s="440"/>
      <c r="AH339" s="255"/>
    </row>
    <row r="340" spans="2:34" s="198" customFormat="1" ht="14.1" hidden="1" customHeight="1">
      <c r="B340" s="199">
        <v>331</v>
      </c>
      <c r="C340" s="200"/>
      <c r="D340" s="200" t="s">
        <v>619</v>
      </c>
      <c r="E340" s="437" t="s">
        <v>109</v>
      </c>
      <c r="F340" s="200">
        <v>1</v>
      </c>
      <c r="G340" s="200">
        <v>1</v>
      </c>
      <c r="H340" s="201" t="s">
        <v>2107</v>
      </c>
      <c r="I340" s="201" t="s">
        <v>2528</v>
      </c>
      <c r="J340" s="201" t="s">
        <v>3033</v>
      </c>
      <c r="K340" s="201" t="s">
        <v>3034</v>
      </c>
      <c r="L340" s="201" t="s">
        <v>2420</v>
      </c>
      <c r="M340" s="233">
        <v>26989</v>
      </c>
      <c r="N340" s="233">
        <v>59.903700000000001</v>
      </c>
      <c r="O340" s="438"/>
      <c r="P340" s="60"/>
      <c r="Q340" s="200" t="s">
        <v>3035</v>
      </c>
      <c r="R340" s="200"/>
      <c r="S340" s="439" t="s">
        <v>109</v>
      </c>
      <c r="T340" s="200">
        <v>1</v>
      </c>
      <c r="U340" s="209" t="s">
        <v>1059</v>
      </c>
      <c r="V340" s="252">
        <v>45000000</v>
      </c>
      <c r="W340" s="209">
        <v>45000000</v>
      </c>
      <c r="X340" s="200"/>
      <c r="Y340" s="209"/>
      <c r="Z340" s="209"/>
      <c r="AA340" s="209"/>
      <c r="AB340" s="200"/>
      <c r="AC340" s="209"/>
      <c r="AD340" s="209"/>
      <c r="AE340" s="209"/>
      <c r="AF340" s="209"/>
      <c r="AG340" s="440"/>
      <c r="AH340" s="254" t="s">
        <v>3036</v>
      </c>
    </row>
    <row r="341" spans="2:34" s="198" customFormat="1" ht="14.1" hidden="1" customHeight="1">
      <c r="B341" s="199">
        <v>332</v>
      </c>
      <c r="C341" s="200"/>
      <c r="D341" s="200" t="s">
        <v>620</v>
      </c>
      <c r="E341" s="437" t="s">
        <v>661</v>
      </c>
      <c r="F341" s="200">
        <v>1</v>
      </c>
      <c r="G341" s="200">
        <v>1</v>
      </c>
      <c r="H341" s="201" t="s">
        <v>2239</v>
      </c>
      <c r="I341" s="201" t="s">
        <v>2132</v>
      </c>
      <c r="J341" s="201" t="s">
        <v>3037</v>
      </c>
      <c r="K341" s="201" t="s">
        <v>3038</v>
      </c>
      <c r="L341" s="201" t="s">
        <v>2394</v>
      </c>
      <c r="M341" s="233">
        <v>304</v>
      </c>
      <c r="N341" s="233">
        <v>34.880000000000003</v>
      </c>
      <c r="O341" s="438"/>
      <c r="P341" s="60"/>
      <c r="Q341" s="200" t="s">
        <v>3039</v>
      </c>
      <c r="R341" s="200"/>
      <c r="S341" s="439" t="s">
        <v>661</v>
      </c>
      <c r="T341" s="200">
        <v>1</v>
      </c>
      <c r="U341" s="209" t="s">
        <v>1059</v>
      </c>
      <c r="V341" s="252">
        <v>41760000</v>
      </c>
      <c r="W341" s="209">
        <v>41760000</v>
      </c>
      <c r="X341" s="200"/>
      <c r="Y341" s="209"/>
      <c r="Z341" s="209"/>
      <c r="AA341" s="209"/>
      <c r="AB341" s="200"/>
      <c r="AC341" s="209"/>
      <c r="AD341" s="209"/>
      <c r="AE341" s="209"/>
      <c r="AF341" s="209"/>
      <c r="AG341" s="440"/>
      <c r="AH341" s="255"/>
    </row>
    <row r="342" spans="2:34" s="198" customFormat="1" ht="14.1" hidden="1" customHeight="1">
      <c r="B342" s="199">
        <v>333</v>
      </c>
      <c r="C342" s="200"/>
      <c r="D342" s="200" t="s">
        <v>621</v>
      </c>
      <c r="E342" s="437" t="s">
        <v>680</v>
      </c>
      <c r="F342" s="200">
        <v>1</v>
      </c>
      <c r="G342" s="200">
        <v>1</v>
      </c>
      <c r="H342" s="201" t="s">
        <v>2107</v>
      </c>
      <c r="I342" s="201" t="s">
        <v>2141</v>
      </c>
      <c r="J342" s="201" t="s">
        <v>3040</v>
      </c>
      <c r="K342" s="201" t="s">
        <v>3041</v>
      </c>
      <c r="L342" s="201" t="s">
        <v>2420</v>
      </c>
      <c r="M342" s="233">
        <v>29714.5</v>
      </c>
      <c r="N342" s="233">
        <v>59.965000000000003</v>
      </c>
      <c r="O342" s="438"/>
      <c r="P342" s="60"/>
      <c r="Q342" s="200" t="s">
        <v>3042</v>
      </c>
      <c r="R342" s="200"/>
      <c r="S342" s="439" t="s">
        <v>680</v>
      </c>
      <c r="T342" s="200">
        <v>2</v>
      </c>
      <c r="U342" s="209" t="s">
        <v>1059</v>
      </c>
      <c r="V342" s="252">
        <v>48000000</v>
      </c>
      <c r="W342" s="209">
        <v>48000000</v>
      </c>
      <c r="X342" s="200"/>
      <c r="Y342" s="209"/>
      <c r="Z342" s="209"/>
      <c r="AA342" s="209"/>
      <c r="AB342" s="200">
        <v>1</v>
      </c>
      <c r="AC342" s="209" t="s">
        <v>1059</v>
      </c>
      <c r="AD342" s="209">
        <v>108000000</v>
      </c>
      <c r="AE342" s="209">
        <v>108000000</v>
      </c>
      <c r="AF342" s="209"/>
      <c r="AG342" s="440"/>
      <c r="AH342" s="255"/>
    </row>
    <row r="343" spans="2:34" s="198" customFormat="1" ht="14.1" hidden="1" customHeight="1">
      <c r="B343" s="199">
        <v>334</v>
      </c>
      <c r="C343" s="200"/>
      <c r="D343" s="200" t="s">
        <v>622</v>
      </c>
      <c r="E343" s="437" t="s">
        <v>141</v>
      </c>
      <c r="F343" s="200">
        <v>1</v>
      </c>
      <c r="G343" s="200">
        <v>1</v>
      </c>
      <c r="H343" s="201" t="s">
        <v>2239</v>
      </c>
      <c r="I343" s="201" t="s">
        <v>2397</v>
      </c>
      <c r="J343" s="201" t="s">
        <v>2398</v>
      </c>
      <c r="K343" s="201" t="s">
        <v>3043</v>
      </c>
      <c r="L343" s="201" t="s">
        <v>2394</v>
      </c>
      <c r="M343" s="233">
        <v>119</v>
      </c>
      <c r="N343" s="233">
        <v>29.76</v>
      </c>
      <c r="O343" s="438"/>
      <c r="P343" s="60"/>
      <c r="Q343" s="200" t="s">
        <v>3022</v>
      </c>
      <c r="R343" s="200"/>
      <c r="S343" s="439" t="s">
        <v>141</v>
      </c>
      <c r="T343" s="200">
        <v>1</v>
      </c>
      <c r="U343" s="209" t="s">
        <v>1059</v>
      </c>
      <c r="V343" s="252">
        <v>39000000</v>
      </c>
      <c r="W343" s="209">
        <v>39000000</v>
      </c>
      <c r="X343" s="200"/>
      <c r="Y343" s="209"/>
      <c r="Z343" s="209"/>
      <c r="AA343" s="209"/>
      <c r="AB343" s="200"/>
      <c r="AC343" s="209"/>
      <c r="AD343" s="209"/>
      <c r="AE343" s="209"/>
      <c r="AF343" s="209"/>
      <c r="AG343" s="440"/>
      <c r="AH343" s="255"/>
    </row>
    <row r="344" spans="2:34" s="198" customFormat="1" ht="14.1" hidden="1" customHeight="1">
      <c r="B344" s="199">
        <v>335</v>
      </c>
      <c r="C344" s="200"/>
      <c r="D344" s="200" t="s">
        <v>623</v>
      </c>
      <c r="E344" s="437" t="s">
        <v>141</v>
      </c>
      <c r="F344" s="200">
        <v>1</v>
      </c>
      <c r="G344" s="200">
        <v>1</v>
      </c>
      <c r="H344" s="201" t="s">
        <v>2107</v>
      </c>
      <c r="I344" s="201" t="s">
        <v>3044</v>
      </c>
      <c r="J344" s="201" t="s">
        <v>2672</v>
      </c>
      <c r="K344" s="201" t="s">
        <v>3045</v>
      </c>
      <c r="L344" s="201" t="s">
        <v>3046</v>
      </c>
      <c r="M344" s="233">
        <v>586</v>
      </c>
      <c r="N344" s="233">
        <v>43.74</v>
      </c>
      <c r="O344" s="438"/>
      <c r="P344" s="60"/>
      <c r="Q344" s="200" t="s">
        <v>3047</v>
      </c>
      <c r="R344" s="200"/>
      <c r="S344" s="439" t="s">
        <v>141</v>
      </c>
      <c r="T344" s="200">
        <v>1</v>
      </c>
      <c r="U344" s="209" t="s">
        <v>1059</v>
      </c>
      <c r="V344" s="252">
        <v>44400000</v>
      </c>
      <c r="W344" s="209">
        <v>44400000</v>
      </c>
      <c r="X344" s="200"/>
      <c r="Y344" s="209"/>
      <c r="Z344" s="209"/>
      <c r="AA344" s="209"/>
      <c r="AB344" s="200"/>
      <c r="AC344" s="209"/>
      <c r="AD344" s="209"/>
      <c r="AE344" s="209"/>
      <c r="AF344" s="209"/>
      <c r="AG344" s="440"/>
      <c r="AH344" s="254" t="s">
        <v>3048</v>
      </c>
    </row>
    <row r="345" spans="2:34" s="198" customFormat="1" ht="14.1" hidden="1" customHeight="1">
      <c r="B345" s="199">
        <v>336</v>
      </c>
      <c r="C345" s="200"/>
      <c r="D345" s="200" t="s">
        <v>624</v>
      </c>
      <c r="E345" s="437" t="s">
        <v>221</v>
      </c>
      <c r="F345" s="200">
        <v>1</v>
      </c>
      <c r="G345" s="200">
        <v>1</v>
      </c>
      <c r="H345" s="201" t="s">
        <v>2188</v>
      </c>
      <c r="I345" s="201" t="s">
        <v>2240</v>
      </c>
      <c r="J345" s="201" t="s">
        <v>3049</v>
      </c>
      <c r="K345" s="201" t="s">
        <v>3050</v>
      </c>
      <c r="L345" s="201" t="s">
        <v>2122</v>
      </c>
      <c r="M345" s="233">
        <v>82.5</v>
      </c>
      <c r="N345" s="233"/>
      <c r="O345" s="438"/>
      <c r="P345" s="60"/>
      <c r="Q345" s="200"/>
      <c r="R345" s="200" t="s">
        <v>2130</v>
      </c>
      <c r="S345" s="303" t="s">
        <v>3051</v>
      </c>
      <c r="T345" s="200">
        <v>2</v>
      </c>
      <c r="U345" s="209" t="s">
        <v>1059</v>
      </c>
      <c r="V345" s="252">
        <v>36000000</v>
      </c>
      <c r="W345" s="209">
        <v>36000000</v>
      </c>
      <c r="X345" s="200"/>
      <c r="Y345" s="209"/>
      <c r="Z345" s="209"/>
      <c r="AA345" s="209"/>
      <c r="AB345" s="200">
        <v>1</v>
      </c>
      <c r="AC345" s="209" t="s">
        <v>1059</v>
      </c>
      <c r="AD345" s="209">
        <v>32400000</v>
      </c>
      <c r="AE345" s="209">
        <v>32400000</v>
      </c>
      <c r="AF345" s="209"/>
      <c r="AG345" s="440"/>
      <c r="AH345" s="255"/>
    </row>
    <row r="346" spans="2:34" s="198" customFormat="1" ht="14.1" hidden="1" customHeight="1">
      <c r="B346" s="199">
        <v>337</v>
      </c>
      <c r="C346" s="200"/>
      <c r="D346" s="200" t="s">
        <v>624</v>
      </c>
      <c r="E346" s="437" t="s">
        <v>221</v>
      </c>
      <c r="F346" s="200">
        <v>1</v>
      </c>
      <c r="G346" s="200">
        <v>2</v>
      </c>
      <c r="H346" s="201" t="s">
        <v>2188</v>
      </c>
      <c r="I346" s="201" t="s">
        <v>2240</v>
      </c>
      <c r="J346" s="201" t="s">
        <v>3049</v>
      </c>
      <c r="K346" s="201" t="s">
        <v>3052</v>
      </c>
      <c r="L346" s="201" t="s">
        <v>3053</v>
      </c>
      <c r="M346" s="233"/>
      <c r="N346" s="233">
        <v>41.52</v>
      </c>
      <c r="O346" s="438"/>
      <c r="P346" s="60"/>
      <c r="Q346" s="200"/>
      <c r="R346" s="200" t="s">
        <v>2130</v>
      </c>
      <c r="S346" s="303" t="s">
        <v>3051</v>
      </c>
      <c r="T346" s="200">
        <v>2</v>
      </c>
      <c r="U346" s="209" t="s">
        <v>1059</v>
      </c>
      <c r="V346" s="252">
        <v>36000000</v>
      </c>
      <c r="W346" s="209">
        <v>36000000</v>
      </c>
      <c r="X346" s="200"/>
      <c r="Y346" s="209"/>
      <c r="Z346" s="209"/>
      <c r="AA346" s="209"/>
      <c r="AB346" s="200">
        <v>1</v>
      </c>
      <c r="AC346" s="209" t="s">
        <v>1059</v>
      </c>
      <c r="AD346" s="209">
        <v>32400000</v>
      </c>
      <c r="AE346" s="209">
        <v>32400000</v>
      </c>
      <c r="AF346" s="209"/>
      <c r="AG346" s="440"/>
      <c r="AH346" s="255"/>
    </row>
    <row r="347" spans="2:34" s="198" customFormat="1" ht="14.1" hidden="1" customHeight="1">
      <c r="B347" s="199">
        <v>338</v>
      </c>
      <c r="C347" s="200"/>
      <c r="D347" s="200" t="s">
        <v>625</v>
      </c>
      <c r="E347" s="437" t="s">
        <v>681</v>
      </c>
      <c r="F347" s="200">
        <v>1</v>
      </c>
      <c r="G347" s="200">
        <v>1</v>
      </c>
      <c r="H347" s="201" t="s">
        <v>2239</v>
      </c>
      <c r="I347" s="201" t="s">
        <v>2132</v>
      </c>
      <c r="J347" s="201" t="s">
        <v>2925</v>
      </c>
      <c r="K347" s="201" t="s">
        <v>3054</v>
      </c>
      <c r="L347" s="201" t="s">
        <v>2394</v>
      </c>
      <c r="M347" s="233">
        <v>113</v>
      </c>
      <c r="N347" s="233">
        <v>31.7</v>
      </c>
      <c r="O347" s="438"/>
      <c r="P347" s="60"/>
      <c r="Q347" s="200" t="s">
        <v>3055</v>
      </c>
      <c r="R347" s="200"/>
      <c r="S347" s="303" t="s">
        <v>2620</v>
      </c>
      <c r="T347" s="200">
        <v>1</v>
      </c>
      <c r="U347" s="209" t="s">
        <v>1059</v>
      </c>
      <c r="V347" s="252">
        <v>37440000</v>
      </c>
      <c r="W347" s="209">
        <v>37440000</v>
      </c>
      <c r="X347" s="200"/>
      <c r="Y347" s="209"/>
      <c r="Z347" s="209"/>
      <c r="AA347" s="209"/>
      <c r="AB347" s="200"/>
      <c r="AC347" s="209"/>
      <c r="AD347" s="209"/>
      <c r="AE347" s="209"/>
      <c r="AF347" s="209"/>
      <c r="AG347" s="440"/>
      <c r="AH347" s="255"/>
    </row>
    <row r="348" spans="2:34" s="198" customFormat="1" ht="14.1" hidden="1" customHeight="1">
      <c r="B348" s="199">
        <v>339</v>
      </c>
      <c r="C348" s="200"/>
      <c r="D348" s="200" t="s">
        <v>626</v>
      </c>
      <c r="E348" s="437" t="s">
        <v>137</v>
      </c>
      <c r="F348" s="200">
        <v>1</v>
      </c>
      <c r="G348" s="200">
        <v>1</v>
      </c>
      <c r="H348" s="201" t="s">
        <v>2138</v>
      </c>
      <c r="I348" s="201" t="s">
        <v>2604</v>
      </c>
      <c r="J348" s="201" t="s">
        <v>3056</v>
      </c>
      <c r="K348" s="201" t="s">
        <v>3057</v>
      </c>
      <c r="L348" s="201" t="s">
        <v>2394</v>
      </c>
      <c r="M348" s="233">
        <v>151</v>
      </c>
      <c r="N348" s="233">
        <v>40.159999999999997</v>
      </c>
      <c r="O348" s="438"/>
      <c r="P348" s="60"/>
      <c r="Q348" s="200" t="s">
        <v>3058</v>
      </c>
      <c r="R348" s="200"/>
      <c r="S348" s="439" t="s">
        <v>137</v>
      </c>
      <c r="T348" s="200">
        <v>1</v>
      </c>
      <c r="U348" s="209" t="s">
        <v>1059</v>
      </c>
      <c r="V348" s="252">
        <v>36000000</v>
      </c>
      <c r="W348" s="209">
        <v>36000000</v>
      </c>
      <c r="X348" s="200"/>
      <c r="Y348" s="209"/>
      <c r="Z348" s="209"/>
      <c r="AA348" s="209"/>
      <c r="AB348" s="200"/>
      <c r="AC348" s="209"/>
      <c r="AD348" s="209"/>
      <c r="AE348" s="209"/>
      <c r="AF348" s="209"/>
      <c r="AG348" s="440"/>
      <c r="AH348" s="255"/>
    </row>
    <row r="349" spans="2:34" s="198" customFormat="1" ht="14.1" hidden="1" customHeight="1">
      <c r="B349" s="199">
        <v>340</v>
      </c>
      <c r="C349" s="200"/>
      <c r="D349" s="200" t="s">
        <v>627</v>
      </c>
      <c r="E349" s="437" t="s">
        <v>109</v>
      </c>
      <c r="F349" s="200">
        <v>1</v>
      </c>
      <c r="G349" s="200">
        <v>1</v>
      </c>
      <c r="H349" s="201" t="s">
        <v>2114</v>
      </c>
      <c r="I349" s="201" t="s">
        <v>3059</v>
      </c>
      <c r="J349" s="201" t="s">
        <v>3060</v>
      </c>
      <c r="K349" s="201" t="s">
        <v>3061</v>
      </c>
      <c r="L349" s="201" t="s">
        <v>3062</v>
      </c>
      <c r="M349" s="233">
        <v>58181</v>
      </c>
      <c r="N349" s="233">
        <v>39.991199999999999</v>
      </c>
      <c r="O349" s="438"/>
      <c r="P349" s="60"/>
      <c r="Q349" s="200" t="s">
        <v>3063</v>
      </c>
      <c r="R349" s="200"/>
      <c r="S349" s="439" t="s">
        <v>109</v>
      </c>
      <c r="T349" s="200">
        <v>1</v>
      </c>
      <c r="U349" s="209" t="s">
        <v>1059</v>
      </c>
      <c r="V349" s="252">
        <v>31920000</v>
      </c>
      <c r="W349" s="209">
        <v>31920000</v>
      </c>
      <c r="X349" s="200"/>
      <c r="Y349" s="209"/>
      <c r="Z349" s="209"/>
      <c r="AA349" s="209"/>
      <c r="AB349" s="200"/>
      <c r="AC349" s="209"/>
      <c r="AD349" s="209"/>
      <c r="AE349" s="209"/>
      <c r="AF349" s="209"/>
      <c r="AG349" s="440"/>
      <c r="AH349" s="255"/>
    </row>
    <row r="350" spans="2:34" s="198" customFormat="1" ht="14.1" hidden="1" customHeight="1">
      <c r="B350" s="199">
        <v>341</v>
      </c>
      <c r="C350" s="200"/>
      <c r="D350" s="200" t="s">
        <v>628</v>
      </c>
      <c r="E350" s="437" t="s">
        <v>152</v>
      </c>
      <c r="F350" s="200">
        <v>1</v>
      </c>
      <c r="G350" s="200">
        <v>1</v>
      </c>
      <c r="H350" s="201" t="s">
        <v>2239</v>
      </c>
      <c r="I350" s="201" t="s">
        <v>2484</v>
      </c>
      <c r="J350" s="201" t="s">
        <v>2897</v>
      </c>
      <c r="K350" s="201" t="s">
        <v>3064</v>
      </c>
      <c r="L350" s="201" t="s">
        <v>2394</v>
      </c>
      <c r="M350" s="233">
        <v>245</v>
      </c>
      <c r="N350" s="233">
        <v>38.64</v>
      </c>
      <c r="O350" s="438"/>
      <c r="P350" s="60"/>
      <c r="Q350" s="200" t="s">
        <v>3065</v>
      </c>
      <c r="R350" s="200"/>
      <c r="S350" s="439" t="s">
        <v>152</v>
      </c>
      <c r="T350" s="200">
        <v>1</v>
      </c>
      <c r="U350" s="209" t="s">
        <v>1059</v>
      </c>
      <c r="V350" s="252">
        <v>32400000</v>
      </c>
      <c r="W350" s="209">
        <v>32400000</v>
      </c>
      <c r="X350" s="200"/>
      <c r="Y350" s="209"/>
      <c r="Z350" s="209"/>
      <c r="AA350" s="209"/>
      <c r="AB350" s="200"/>
      <c r="AC350" s="209"/>
      <c r="AD350" s="209"/>
      <c r="AE350" s="209"/>
      <c r="AF350" s="209"/>
      <c r="AG350" s="440"/>
      <c r="AH350" s="255"/>
    </row>
    <row r="351" spans="2:34" s="198" customFormat="1" ht="14.1" hidden="1" customHeight="1">
      <c r="B351" s="199">
        <v>342</v>
      </c>
      <c r="C351" s="200"/>
      <c r="D351" s="200" t="s">
        <v>629</v>
      </c>
      <c r="E351" s="437" t="s">
        <v>234</v>
      </c>
      <c r="F351" s="200">
        <v>1</v>
      </c>
      <c r="G351" s="200">
        <v>1</v>
      </c>
      <c r="H351" s="201" t="s">
        <v>2239</v>
      </c>
      <c r="I351" s="201" t="s">
        <v>2132</v>
      </c>
      <c r="J351" s="201" t="s">
        <v>2922</v>
      </c>
      <c r="K351" s="201" t="s">
        <v>3066</v>
      </c>
      <c r="L351" s="201" t="s">
        <v>2394</v>
      </c>
      <c r="M351" s="233">
        <v>147</v>
      </c>
      <c r="N351" s="233">
        <v>43.29</v>
      </c>
      <c r="O351" s="438"/>
      <c r="P351" s="60"/>
      <c r="Q351" s="200" t="s">
        <v>3067</v>
      </c>
      <c r="R351" s="200"/>
      <c r="S351" s="439" t="s">
        <v>234</v>
      </c>
      <c r="T351" s="200">
        <v>1</v>
      </c>
      <c r="U351" s="209" t="s">
        <v>1059</v>
      </c>
      <c r="V351" s="252">
        <v>30000000</v>
      </c>
      <c r="W351" s="209">
        <v>30000000</v>
      </c>
      <c r="X351" s="200"/>
      <c r="Y351" s="209"/>
      <c r="Z351" s="209"/>
      <c r="AA351" s="209"/>
      <c r="AB351" s="200"/>
      <c r="AC351" s="209"/>
      <c r="AD351" s="209"/>
      <c r="AE351" s="209"/>
      <c r="AF351" s="209"/>
      <c r="AG351" s="440"/>
      <c r="AH351" s="255"/>
    </row>
    <row r="352" spans="2:34" s="198" customFormat="1" ht="14.1" hidden="1" customHeight="1">
      <c r="B352" s="199">
        <v>343</v>
      </c>
      <c r="C352" s="200"/>
      <c r="D352" s="200" t="s">
        <v>630</v>
      </c>
      <c r="E352" s="437" t="s">
        <v>168</v>
      </c>
      <c r="F352" s="200">
        <v>1</v>
      </c>
      <c r="G352" s="200">
        <v>1</v>
      </c>
      <c r="H352" s="201" t="s">
        <v>3068</v>
      </c>
      <c r="I352" s="201" t="s">
        <v>3069</v>
      </c>
      <c r="J352" s="201" t="s">
        <v>3070</v>
      </c>
      <c r="K352" s="201" t="s">
        <v>3071</v>
      </c>
      <c r="L352" s="201" t="s">
        <v>2660</v>
      </c>
      <c r="M352" s="233">
        <v>4193.5</v>
      </c>
      <c r="N352" s="233">
        <v>49.5</v>
      </c>
      <c r="O352" s="438"/>
      <c r="P352" s="60"/>
      <c r="Q352" s="200" t="s">
        <v>3072</v>
      </c>
      <c r="R352" s="200"/>
      <c r="S352" s="439" t="s">
        <v>168</v>
      </c>
      <c r="T352" s="200" t="s">
        <v>2123</v>
      </c>
      <c r="U352" s="209" t="s">
        <v>1059</v>
      </c>
      <c r="V352" s="252">
        <v>30240000</v>
      </c>
      <c r="W352" s="209">
        <v>30240000</v>
      </c>
      <c r="X352" s="200"/>
      <c r="Y352" s="209"/>
      <c r="Z352" s="209"/>
      <c r="AA352" s="209"/>
      <c r="AB352" s="200"/>
      <c r="AC352" s="209"/>
      <c r="AD352" s="209"/>
      <c r="AE352" s="209"/>
      <c r="AF352" s="209"/>
      <c r="AG352" s="440"/>
      <c r="AH352" s="255"/>
    </row>
    <row r="353" spans="2:34" s="198" customFormat="1" ht="14.1" hidden="1" customHeight="1">
      <c r="B353" s="199">
        <v>344</v>
      </c>
      <c r="C353" s="200"/>
      <c r="D353" s="200" t="s">
        <v>631</v>
      </c>
      <c r="E353" s="437" t="s">
        <v>151</v>
      </c>
      <c r="F353" s="200">
        <v>1</v>
      </c>
      <c r="G353" s="200">
        <v>1</v>
      </c>
      <c r="H353" s="201" t="s">
        <v>2138</v>
      </c>
      <c r="I353" s="201" t="s">
        <v>3073</v>
      </c>
      <c r="J353" s="201" t="s">
        <v>3074</v>
      </c>
      <c r="K353" s="201" t="s">
        <v>3075</v>
      </c>
      <c r="L353" s="201" t="s">
        <v>2946</v>
      </c>
      <c r="M353" s="233">
        <v>477</v>
      </c>
      <c r="N353" s="233">
        <v>22.5</v>
      </c>
      <c r="O353" s="438"/>
      <c r="P353" s="60"/>
      <c r="Q353" s="200" t="s">
        <v>3076</v>
      </c>
      <c r="R353" s="200"/>
      <c r="S353" s="439" t="s">
        <v>151</v>
      </c>
      <c r="T353" s="200">
        <v>1</v>
      </c>
      <c r="U353" s="209" t="s">
        <v>1059</v>
      </c>
      <c r="V353" s="252">
        <v>12000000</v>
      </c>
      <c r="W353" s="209">
        <v>12000000</v>
      </c>
      <c r="X353" s="200"/>
      <c r="Y353" s="209"/>
      <c r="Z353" s="209"/>
      <c r="AA353" s="209"/>
      <c r="AB353" s="200"/>
      <c r="AC353" s="209"/>
      <c r="AD353" s="209"/>
      <c r="AE353" s="209"/>
      <c r="AF353" s="209"/>
      <c r="AG353" s="440"/>
      <c r="AH353" s="332" t="s">
        <v>3077</v>
      </c>
    </row>
    <row r="354" spans="2:34" s="198" customFormat="1" ht="14.1" hidden="1" customHeight="1">
      <c r="B354" s="199">
        <v>345</v>
      </c>
      <c r="C354" s="200"/>
      <c r="D354" s="200" t="s">
        <v>632</v>
      </c>
      <c r="E354" s="437" t="s">
        <v>205</v>
      </c>
      <c r="F354" s="200">
        <v>1</v>
      </c>
      <c r="G354" s="200">
        <v>1</v>
      </c>
      <c r="H354" s="201" t="s">
        <v>2138</v>
      </c>
      <c r="I354" s="201" t="s">
        <v>2860</v>
      </c>
      <c r="J354" s="201" t="s">
        <v>3078</v>
      </c>
      <c r="K354" s="201" t="s">
        <v>3079</v>
      </c>
      <c r="L354" s="201" t="s">
        <v>3080</v>
      </c>
      <c r="M354" s="233">
        <v>15688.7</v>
      </c>
      <c r="N354" s="233">
        <v>49.8</v>
      </c>
      <c r="O354" s="438"/>
      <c r="P354" s="60"/>
      <c r="Q354" s="200" t="s">
        <v>3081</v>
      </c>
      <c r="R354" s="200" t="s">
        <v>2130</v>
      </c>
      <c r="S354" s="303" t="s">
        <v>3082</v>
      </c>
      <c r="T354" s="200">
        <v>2</v>
      </c>
      <c r="U354" s="209" t="s">
        <v>1059</v>
      </c>
      <c r="V354" s="252">
        <v>60000000</v>
      </c>
      <c r="W354" s="209">
        <v>60000000</v>
      </c>
      <c r="X354" s="200"/>
      <c r="Y354" s="209"/>
      <c r="Z354" s="209"/>
      <c r="AA354" s="209"/>
      <c r="AB354" s="200">
        <v>1</v>
      </c>
      <c r="AC354" s="209" t="s">
        <v>1059</v>
      </c>
      <c r="AD354" s="209">
        <v>133200000</v>
      </c>
      <c r="AE354" s="209">
        <v>133200000</v>
      </c>
      <c r="AF354" s="209"/>
      <c r="AG354" s="440"/>
      <c r="AH354" s="255"/>
    </row>
    <row r="355" spans="2:34" s="198" customFormat="1" ht="14.1" hidden="1" customHeight="1">
      <c r="B355" s="199">
        <v>346</v>
      </c>
      <c r="C355" s="200"/>
      <c r="D355" s="200" t="s">
        <v>633</v>
      </c>
      <c r="E355" s="437" t="s">
        <v>152</v>
      </c>
      <c r="F355" s="200">
        <v>1</v>
      </c>
      <c r="G355" s="200">
        <v>1</v>
      </c>
      <c r="H355" s="201" t="s">
        <v>2279</v>
      </c>
      <c r="I355" s="201" t="s">
        <v>2280</v>
      </c>
      <c r="J355" s="201" t="s">
        <v>3083</v>
      </c>
      <c r="K355" s="201" t="s">
        <v>3084</v>
      </c>
      <c r="L355" s="201" t="s">
        <v>2122</v>
      </c>
      <c r="M355" s="233">
        <v>384</v>
      </c>
      <c r="N355" s="233"/>
      <c r="O355" s="438"/>
      <c r="P355" s="60"/>
      <c r="Q355" s="200"/>
      <c r="R355" s="200"/>
      <c r="S355" s="439" t="s">
        <v>152</v>
      </c>
      <c r="T355" s="200">
        <v>1</v>
      </c>
      <c r="U355" s="209" t="s">
        <v>1059</v>
      </c>
      <c r="V355" s="252">
        <v>36000000</v>
      </c>
      <c r="W355" s="209">
        <v>36000000</v>
      </c>
      <c r="X355" s="200"/>
      <c r="Y355" s="209"/>
      <c r="Z355" s="209"/>
      <c r="AA355" s="209"/>
      <c r="AB355" s="200"/>
      <c r="AC355" s="209"/>
      <c r="AD355" s="209"/>
      <c r="AE355" s="209"/>
      <c r="AF355" s="209"/>
      <c r="AG355" s="440"/>
      <c r="AH355" s="255"/>
    </row>
    <row r="356" spans="2:34" s="198" customFormat="1" ht="14.1" hidden="1" customHeight="1">
      <c r="B356" s="199">
        <v>347</v>
      </c>
      <c r="C356" s="200"/>
      <c r="D356" s="200" t="s">
        <v>633</v>
      </c>
      <c r="E356" s="437" t="s">
        <v>152</v>
      </c>
      <c r="F356" s="200">
        <v>1</v>
      </c>
      <c r="G356" s="200">
        <v>2</v>
      </c>
      <c r="H356" s="201" t="s">
        <v>2279</v>
      </c>
      <c r="I356" s="201" t="s">
        <v>2280</v>
      </c>
      <c r="J356" s="201" t="s">
        <v>3083</v>
      </c>
      <c r="K356" s="201" t="s">
        <v>3085</v>
      </c>
      <c r="L356" s="201" t="s">
        <v>3086</v>
      </c>
      <c r="M356" s="233"/>
      <c r="N356" s="233">
        <v>125.29</v>
      </c>
      <c r="O356" s="438"/>
      <c r="P356" s="60"/>
      <c r="Q356" s="200"/>
      <c r="R356" s="200"/>
      <c r="S356" s="439" t="s">
        <v>152</v>
      </c>
      <c r="T356" s="200">
        <v>1</v>
      </c>
      <c r="U356" s="209" t="s">
        <v>1059</v>
      </c>
      <c r="V356" s="252">
        <v>36000000</v>
      </c>
      <c r="W356" s="209">
        <v>36000000</v>
      </c>
      <c r="X356" s="200"/>
      <c r="Y356" s="209"/>
      <c r="Z356" s="209"/>
      <c r="AA356" s="209"/>
      <c r="AB356" s="200"/>
      <c r="AC356" s="209"/>
      <c r="AD356" s="209"/>
      <c r="AE356" s="209"/>
      <c r="AF356" s="209"/>
      <c r="AG356" s="440"/>
      <c r="AH356" s="255"/>
    </row>
    <row r="357" spans="2:34" s="198" customFormat="1" ht="14.1" hidden="1" customHeight="1">
      <c r="B357" s="199">
        <v>348</v>
      </c>
      <c r="C357" s="200"/>
      <c r="D357" s="200" t="s">
        <v>633</v>
      </c>
      <c r="E357" s="437" t="s">
        <v>152</v>
      </c>
      <c r="F357" s="200">
        <v>1</v>
      </c>
      <c r="G357" s="200">
        <v>3</v>
      </c>
      <c r="H357" s="201" t="s">
        <v>2279</v>
      </c>
      <c r="I357" s="201" t="s">
        <v>2280</v>
      </c>
      <c r="J357" s="201" t="s">
        <v>3083</v>
      </c>
      <c r="K357" s="201" t="s">
        <v>3087</v>
      </c>
      <c r="L357" s="201" t="s">
        <v>2122</v>
      </c>
      <c r="M357" s="233">
        <v>414</v>
      </c>
      <c r="N357" s="233"/>
      <c r="O357" s="438"/>
      <c r="P357" s="60"/>
      <c r="Q357" s="200"/>
      <c r="R357" s="200"/>
      <c r="S357" s="439" t="s">
        <v>152</v>
      </c>
      <c r="T357" s="200">
        <v>1</v>
      </c>
      <c r="U357" s="209" t="s">
        <v>1059</v>
      </c>
      <c r="V357" s="252">
        <v>36000000</v>
      </c>
      <c r="W357" s="209">
        <v>36000000</v>
      </c>
      <c r="X357" s="200"/>
      <c r="Y357" s="209"/>
      <c r="Z357" s="209"/>
      <c r="AA357" s="209"/>
      <c r="AB357" s="200"/>
      <c r="AC357" s="209"/>
      <c r="AD357" s="209"/>
      <c r="AE357" s="209"/>
      <c r="AF357" s="209"/>
      <c r="AG357" s="440"/>
      <c r="AH357" s="255"/>
    </row>
    <row r="358" spans="2:34" s="198" customFormat="1" ht="14.1" hidden="1" customHeight="1">
      <c r="B358" s="199">
        <v>349</v>
      </c>
      <c r="C358" s="200"/>
      <c r="D358" s="200" t="s">
        <v>634</v>
      </c>
      <c r="E358" s="437" t="s">
        <v>152</v>
      </c>
      <c r="F358" s="200">
        <v>1</v>
      </c>
      <c r="G358" s="200">
        <v>1</v>
      </c>
      <c r="H358" s="201" t="s">
        <v>2107</v>
      </c>
      <c r="I358" s="201" t="s">
        <v>2886</v>
      </c>
      <c r="J358" s="201" t="s">
        <v>3088</v>
      </c>
      <c r="K358" s="201" t="s">
        <v>3089</v>
      </c>
      <c r="L358" s="201" t="s">
        <v>3090</v>
      </c>
      <c r="M358" s="233">
        <v>5448.2</v>
      </c>
      <c r="N358" s="233">
        <v>84.89</v>
      </c>
      <c r="O358" s="438"/>
      <c r="P358" s="60"/>
      <c r="Q358" s="200" t="s">
        <v>3091</v>
      </c>
      <c r="R358" s="200"/>
      <c r="S358" s="439" t="s">
        <v>152</v>
      </c>
      <c r="T358" s="200">
        <v>1</v>
      </c>
      <c r="U358" s="209" t="s">
        <v>1059</v>
      </c>
      <c r="V358" s="252">
        <v>24000000</v>
      </c>
      <c r="W358" s="209">
        <v>24000000</v>
      </c>
      <c r="X358" s="200"/>
      <c r="Y358" s="209"/>
      <c r="Z358" s="209"/>
      <c r="AA358" s="209"/>
      <c r="AB358" s="200"/>
      <c r="AC358" s="209"/>
      <c r="AD358" s="209"/>
      <c r="AE358" s="209"/>
      <c r="AF358" s="209"/>
      <c r="AG358" s="440"/>
      <c r="AH358" s="255"/>
    </row>
    <row r="359" spans="2:34" s="198" customFormat="1" ht="14.1" hidden="1" customHeight="1">
      <c r="B359" s="199">
        <v>350</v>
      </c>
      <c r="C359" s="200"/>
      <c r="D359" s="200" t="s">
        <v>635</v>
      </c>
      <c r="E359" s="437" t="s">
        <v>152</v>
      </c>
      <c r="F359" s="200">
        <v>1</v>
      </c>
      <c r="G359" s="200">
        <v>1</v>
      </c>
      <c r="H359" s="201" t="s">
        <v>2239</v>
      </c>
      <c r="I359" s="201" t="s">
        <v>2299</v>
      </c>
      <c r="J359" s="201" t="s">
        <v>2499</v>
      </c>
      <c r="K359" s="201" t="s">
        <v>3092</v>
      </c>
      <c r="L359" s="201" t="s">
        <v>2478</v>
      </c>
      <c r="M359" s="233">
        <v>6991.5</v>
      </c>
      <c r="N359" s="233">
        <v>58.32</v>
      </c>
      <c r="O359" s="438"/>
      <c r="P359" s="60"/>
      <c r="Q359" s="200" t="s">
        <v>3093</v>
      </c>
      <c r="R359" s="200"/>
      <c r="S359" s="439" t="s">
        <v>152</v>
      </c>
      <c r="T359" s="200">
        <v>1</v>
      </c>
      <c r="U359" s="209" t="s">
        <v>1059</v>
      </c>
      <c r="V359" s="252">
        <v>30000000</v>
      </c>
      <c r="W359" s="209">
        <v>30000000</v>
      </c>
      <c r="X359" s="200"/>
      <c r="Y359" s="209"/>
      <c r="Z359" s="209"/>
      <c r="AA359" s="209"/>
      <c r="AB359" s="200"/>
      <c r="AC359" s="209"/>
      <c r="AD359" s="209"/>
      <c r="AE359" s="209"/>
      <c r="AF359" s="209"/>
      <c r="AG359" s="440"/>
      <c r="AH359" s="255"/>
    </row>
    <row r="360" spans="2:34" s="198" customFormat="1" ht="14.1" hidden="1" customHeight="1">
      <c r="B360" s="199">
        <v>351</v>
      </c>
      <c r="C360" s="200"/>
      <c r="D360" s="200" t="s">
        <v>636</v>
      </c>
      <c r="E360" s="437" t="s">
        <v>138</v>
      </c>
      <c r="F360" s="200">
        <v>1</v>
      </c>
      <c r="G360" s="200">
        <v>1</v>
      </c>
      <c r="H360" s="201" t="s">
        <v>2279</v>
      </c>
      <c r="I360" s="201" t="s">
        <v>2280</v>
      </c>
      <c r="J360" s="201" t="s">
        <v>3094</v>
      </c>
      <c r="K360" s="201" t="s">
        <v>3095</v>
      </c>
      <c r="L360" s="201" t="s">
        <v>2956</v>
      </c>
      <c r="M360" s="233">
        <v>298</v>
      </c>
      <c r="N360" s="233">
        <v>49.59</v>
      </c>
      <c r="O360" s="438"/>
      <c r="P360" s="60"/>
      <c r="Q360" s="200" t="s">
        <v>3096</v>
      </c>
      <c r="R360" s="200"/>
      <c r="S360" s="439" t="s">
        <v>138</v>
      </c>
      <c r="T360" s="200">
        <v>1</v>
      </c>
      <c r="U360" s="209" t="s">
        <v>1059</v>
      </c>
      <c r="V360" s="209">
        <v>14400000</v>
      </c>
      <c r="W360" s="209">
        <v>14400000</v>
      </c>
      <c r="X360" s="200"/>
      <c r="Y360" s="209"/>
      <c r="Z360" s="209"/>
      <c r="AA360" s="209"/>
      <c r="AB360" s="200"/>
      <c r="AC360" s="209"/>
      <c r="AD360" s="209"/>
      <c r="AE360" s="209"/>
      <c r="AF360" s="209"/>
      <c r="AG360" s="440"/>
      <c r="AH360" s="255"/>
    </row>
    <row r="361" spans="2:34" s="198" customFormat="1" ht="14.1" hidden="1" customHeight="1">
      <c r="B361" s="199">
        <v>352</v>
      </c>
      <c r="C361" s="200"/>
      <c r="D361" s="200" t="s">
        <v>637</v>
      </c>
      <c r="E361" s="437" t="s">
        <v>682</v>
      </c>
      <c r="F361" s="200">
        <v>1</v>
      </c>
      <c r="G361" s="200">
        <v>1</v>
      </c>
      <c r="H361" s="201" t="s">
        <v>2114</v>
      </c>
      <c r="I361" s="201" t="s">
        <v>3097</v>
      </c>
      <c r="J361" s="201" t="s">
        <v>3098</v>
      </c>
      <c r="K361" s="201" t="s">
        <v>3099</v>
      </c>
      <c r="L361" s="201" t="s">
        <v>2106</v>
      </c>
      <c r="M361" s="233">
        <v>3111</v>
      </c>
      <c r="N361" s="233"/>
      <c r="O361" s="438"/>
      <c r="P361" s="60"/>
      <c r="Q361" s="200"/>
      <c r="R361" s="200"/>
      <c r="S361" s="439" t="s">
        <v>682</v>
      </c>
      <c r="T361" s="200">
        <v>1</v>
      </c>
      <c r="U361" s="209" t="s">
        <v>1059</v>
      </c>
      <c r="V361" s="252">
        <v>4200000000</v>
      </c>
      <c r="W361" s="252">
        <v>4200000000</v>
      </c>
      <c r="X361" s="200"/>
      <c r="Y361" s="209"/>
      <c r="Z361" s="209"/>
      <c r="AA361" s="209"/>
      <c r="AB361" s="200"/>
      <c r="AC361" s="209"/>
      <c r="AD361" s="209"/>
      <c r="AE361" s="209"/>
      <c r="AF361" s="209"/>
      <c r="AG361" s="440"/>
      <c r="AH361" s="255"/>
    </row>
    <row r="362" spans="2:34" s="198" customFormat="1" ht="14.1" hidden="1" customHeight="1">
      <c r="B362" s="199">
        <v>353</v>
      </c>
      <c r="C362" s="200"/>
      <c r="D362" s="200" t="s">
        <v>637</v>
      </c>
      <c r="E362" s="437" t="s">
        <v>682</v>
      </c>
      <c r="F362" s="200">
        <v>1</v>
      </c>
      <c r="G362" s="200">
        <v>2</v>
      </c>
      <c r="H362" s="201" t="s">
        <v>2114</v>
      </c>
      <c r="I362" s="201" t="s">
        <v>3097</v>
      </c>
      <c r="J362" s="201" t="s">
        <v>3098</v>
      </c>
      <c r="K362" s="201" t="s">
        <v>3100</v>
      </c>
      <c r="L362" s="201" t="s">
        <v>3101</v>
      </c>
      <c r="M362" s="233"/>
      <c r="N362" s="233">
        <v>3044.08</v>
      </c>
      <c r="O362" s="438">
        <v>13</v>
      </c>
      <c r="P362" s="60"/>
      <c r="Q362" s="200"/>
      <c r="R362" s="200"/>
      <c r="S362" s="439" t="s">
        <v>682</v>
      </c>
      <c r="T362" s="200">
        <v>1</v>
      </c>
      <c r="U362" s="209" t="s">
        <v>1059</v>
      </c>
      <c r="V362" s="252">
        <v>4200000000</v>
      </c>
      <c r="W362" s="252">
        <v>4200000000</v>
      </c>
      <c r="X362" s="200"/>
      <c r="Y362" s="209"/>
      <c r="Z362" s="209"/>
      <c r="AA362" s="209"/>
      <c r="AB362" s="200"/>
      <c r="AC362" s="209"/>
      <c r="AD362" s="209"/>
      <c r="AE362" s="209"/>
      <c r="AF362" s="209"/>
      <c r="AG362" s="440"/>
      <c r="AH362" s="255"/>
    </row>
    <row r="363" spans="2:34" s="198" customFormat="1" ht="14.1" hidden="1" customHeight="1">
      <c r="B363" s="199">
        <v>354</v>
      </c>
      <c r="C363" s="200"/>
      <c r="D363" s="200" t="s">
        <v>637</v>
      </c>
      <c r="E363" s="437" t="s">
        <v>682</v>
      </c>
      <c r="F363" s="200">
        <v>1</v>
      </c>
      <c r="G363" s="200">
        <v>3</v>
      </c>
      <c r="H363" s="201" t="s">
        <v>2114</v>
      </c>
      <c r="I363" s="201" t="s">
        <v>3097</v>
      </c>
      <c r="J363" s="201" t="s">
        <v>3098</v>
      </c>
      <c r="K363" s="201" t="s">
        <v>3102</v>
      </c>
      <c r="L363" s="201" t="s">
        <v>3103</v>
      </c>
      <c r="M363" s="233"/>
      <c r="N363" s="233">
        <v>1015.17</v>
      </c>
      <c r="O363" s="438"/>
      <c r="P363" s="60"/>
      <c r="Q363" s="200"/>
      <c r="R363" s="200"/>
      <c r="S363" s="439" t="s">
        <v>682</v>
      </c>
      <c r="T363" s="200">
        <v>1</v>
      </c>
      <c r="U363" s="209" t="s">
        <v>1059</v>
      </c>
      <c r="V363" s="252">
        <v>4200000000</v>
      </c>
      <c r="W363" s="252">
        <v>4200000000</v>
      </c>
      <c r="X363" s="200"/>
      <c r="Y363" s="209"/>
      <c r="Z363" s="209"/>
      <c r="AA363" s="209"/>
      <c r="AB363" s="200"/>
      <c r="AC363" s="209"/>
      <c r="AD363" s="209"/>
      <c r="AE363" s="209"/>
      <c r="AF363" s="209"/>
      <c r="AG363" s="440"/>
      <c r="AH363" s="255"/>
    </row>
    <row r="364" spans="2:34" s="198" customFormat="1" ht="14.1" hidden="1" customHeight="1">
      <c r="B364" s="199">
        <v>355</v>
      </c>
      <c r="C364" s="200"/>
      <c r="D364" s="200" t="s">
        <v>637</v>
      </c>
      <c r="E364" s="437" t="s">
        <v>682</v>
      </c>
      <c r="F364" s="200">
        <v>1</v>
      </c>
      <c r="G364" s="200">
        <v>4</v>
      </c>
      <c r="H364" s="201" t="s">
        <v>2114</v>
      </c>
      <c r="I364" s="201" t="s">
        <v>3097</v>
      </c>
      <c r="J364" s="201" t="s">
        <v>3098</v>
      </c>
      <c r="K364" s="201" t="s">
        <v>3104</v>
      </c>
      <c r="L364" s="201" t="s">
        <v>3105</v>
      </c>
      <c r="M364" s="233"/>
      <c r="N364" s="233">
        <v>13.2</v>
      </c>
      <c r="O364" s="438"/>
      <c r="P364" s="60"/>
      <c r="Q364" s="200"/>
      <c r="R364" s="200"/>
      <c r="S364" s="439" t="s">
        <v>682</v>
      </c>
      <c r="T364" s="200">
        <v>1</v>
      </c>
      <c r="U364" s="209" t="s">
        <v>1059</v>
      </c>
      <c r="V364" s="252">
        <v>4200000000</v>
      </c>
      <c r="W364" s="252">
        <v>4200000000</v>
      </c>
      <c r="X364" s="200"/>
      <c r="Y364" s="209"/>
      <c r="Z364" s="209"/>
      <c r="AA364" s="209"/>
      <c r="AB364" s="200"/>
      <c r="AC364" s="209"/>
      <c r="AD364" s="209"/>
      <c r="AE364" s="209"/>
      <c r="AF364" s="209"/>
      <c r="AG364" s="440"/>
      <c r="AH364" s="255"/>
    </row>
    <row r="365" spans="2:34" s="198" customFormat="1" ht="14.1" hidden="1" customHeight="1" thickBot="1">
      <c r="B365" s="318">
        <v>356</v>
      </c>
      <c r="C365" s="319"/>
      <c r="D365" s="319" t="s">
        <v>637</v>
      </c>
      <c r="E365" s="443" t="s">
        <v>682</v>
      </c>
      <c r="F365" s="319">
        <v>1</v>
      </c>
      <c r="G365" s="319">
        <v>5</v>
      </c>
      <c r="H365" s="320" t="s">
        <v>2114</v>
      </c>
      <c r="I365" s="320" t="s">
        <v>3097</v>
      </c>
      <c r="J365" s="320" t="s">
        <v>3098</v>
      </c>
      <c r="K365" s="320" t="s">
        <v>3106</v>
      </c>
      <c r="L365" s="320" t="s">
        <v>2106</v>
      </c>
      <c r="M365" s="335">
        <v>216</v>
      </c>
      <c r="N365" s="335"/>
      <c r="O365" s="444"/>
      <c r="P365" s="336"/>
      <c r="Q365" s="319"/>
      <c r="R365" s="319"/>
      <c r="S365" s="337" t="s">
        <v>3107</v>
      </c>
      <c r="T365" s="319">
        <v>1</v>
      </c>
      <c r="U365" s="328" t="s">
        <v>1059</v>
      </c>
      <c r="V365" s="338">
        <v>4200000000</v>
      </c>
      <c r="W365" s="338">
        <v>4200000000</v>
      </c>
      <c r="X365" s="319"/>
      <c r="Y365" s="328"/>
      <c r="Z365" s="328"/>
      <c r="AA365" s="328"/>
      <c r="AB365" s="319"/>
      <c r="AC365" s="328"/>
      <c r="AD365" s="328"/>
      <c r="AE365" s="328"/>
      <c r="AF365" s="328"/>
      <c r="AG365" s="445"/>
      <c r="AH365" s="334"/>
    </row>
  </sheetData>
  <autoFilter ref="B9:AG365">
    <filterColumn colId="2">
      <filters>
        <filter val="R-001"/>
      </filters>
    </filterColumn>
  </autoFilter>
  <phoneticPr fontId="4" type="noConversion"/>
  <conditionalFormatting sqref="S14:S20 S42 S121:S128 S119 S77:S117 S59:S75 S44:S57 S22:S40 S10:S12">
    <cfRule type="expression" dxfId="7" priority="11">
      <formula>$F10="제외차주"</formula>
    </cfRule>
  </conditionalFormatting>
  <conditionalFormatting sqref="S14:S20 S42">
    <cfRule type="expression" dxfId="6" priority="9">
      <formula>$F14="제외차주"</formula>
    </cfRule>
  </conditionalFormatting>
  <conditionalFormatting sqref="S14:S20 S42">
    <cfRule type="expression" dxfId="5" priority="7">
      <formula>$F14="제외차주"</formula>
    </cfRule>
  </conditionalFormatting>
  <conditionalFormatting sqref="S14:S20 S42">
    <cfRule type="expression" dxfId="4" priority="6">
      <formula>$F14="제외차주"</formula>
    </cfRule>
  </conditionalFormatting>
  <conditionalFormatting sqref="S14:S20 S42">
    <cfRule type="expression" dxfId="3" priority="4">
      <formula>$F14="제외차주"</formula>
    </cfRule>
  </conditionalFormatting>
  <conditionalFormatting sqref="S14:S20 S42">
    <cfRule type="expression" dxfId="2" priority="3">
      <formula>$F14="제외차주"</formula>
    </cfRule>
  </conditionalFormatting>
  <conditionalFormatting sqref="S26:S38 S61 S77:S83 S89:S100 S105 S109:S110 S113:S117 S121 S130 S149 S158 S169:S171 S176 S185 S187 S200:S203 S205 S217 S221 S229 S231 S239:S240 S244 S255 S257 S263 S265 S270 S273 S285:S286 S300 S302 S308 S312 S321:S323 S330 S334:S335 S345:S347 S354 S365">
    <cfRule type="expression" dxfId="1" priority="2">
      <formula>$F26="제외차주"</formula>
    </cfRule>
  </conditionalFormatting>
  <conditionalFormatting sqref="S217 S221 S229 S231">
    <cfRule type="expression" dxfId="0" priority="1">
      <formula>$F217="제외차주"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75"/>
  <sheetViews>
    <sheetView showGridLines="0" workbookViewId="0">
      <selection activeCell="B4" sqref="B4"/>
    </sheetView>
  </sheetViews>
  <sheetFormatPr defaultColWidth="8.875" defaultRowHeight="14.1" customHeight="1"/>
  <cols>
    <col min="1" max="1" width="2.875" style="214" customWidth="1"/>
    <col min="2" max="2" width="7.75" style="214" customWidth="1"/>
    <col min="3" max="3" width="11.125" style="219" customWidth="1"/>
    <col min="4" max="4" width="10.5" style="214" bestFit="1" customWidth="1"/>
    <col min="5" max="5" width="15.5" style="214" customWidth="1"/>
    <col min="6" max="6" width="7.25" style="219" customWidth="1"/>
    <col min="7" max="7" width="7.75" style="219" customWidth="1"/>
    <col min="8" max="8" width="25.25" style="219" bestFit="1" customWidth="1"/>
    <col min="9" max="9" width="11.625" style="219" customWidth="1"/>
    <col min="10" max="10" width="10.375" style="219" customWidth="1"/>
    <col min="11" max="11" width="8.125" style="220" customWidth="1"/>
    <col min="12" max="13" width="15.625" style="218" customWidth="1"/>
    <col min="14" max="14" width="10" style="218" customWidth="1"/>
    <col min="15" max="15" width="57.125" style="220" customWidth="1"/>
    <col min="16" max="16384" width="8.875" style="256"/>
  </cols>
  <sheetData>
    <row r="1" spans="1:15" s="244" customFormat="1" ht="20.100000000000001" customHeight="1">
      <c r="A1" s="155"/>
      <c r="B1" s="156"/>
      <c r="C1" s="156"/>
      <c r="D1" s="157"/>
      <c r="E1" s="214"/>
      <c r="F1" s="242"/>
      <c r="G1" s="242"/>
      <c r="H1" s="242"/>
      <c r="I1" s="242"/>
      <c r="J1" s="242"/>
      <c r="K1" s="243"/>
      <c r="L1" s="242"/>
      <c r="M1" s="242"/>
      <c r="N1" s="242"/>
      <c r="O1" s="242"/>
    </row>
    <row r="2" spans="1:15" s="244" customFormat="1" ht="30" customHeight="1">
      <c r="A2" s="155"/>
      <c r="B2" s="166" t="s">
        <v>2084</v>
      </c>
      <c r="C2" s="167"/>
      <c r="D2" s="168"/>
      <c r="E2" s="245"/>
      <c r="F2" s="242"/>
      <c r="G2" s="242"/>
      <c r="H2" s="242"/>
      <c r="I2" s="242"/>
      <c r="J2" s="242"/>
      <c r="K2" s="242"/>
      <c r="L2" s="242"/>
      <c r="M2" s="246"/>
      <c r="N2" s="242"/>
      <c r="O2" s="242"/>
    </row>
    <row r="3" spans="1:15" s="244" customFormat="1" ht="20.100000000000001" customHeight="1">
      <c r="A3" s="174"/>
      <c r="B3" s="175" t="s">
        <v>286</v>
      </c>
      <c r="C3" s="176"/>
      <c r="D3" s="162"/>
      <c r="E3" s="245"/>
      <c r="F3" s="242"/>
      <c r="G3" s="242"/>
      <c r="H3" s="242"/>
      <c r="I3" s="246"/>
      <c r="J3" s="246"/>
      <c r="K3" s="242"/>
      <c r="L3" s="246"/>
      <c r="M3" s="246"/>
      <c r="N3" s="242"/>
      <c r="O3" s="247"/>
    </row>
    <row r="4" spans="1:15" s="244" customFormat="1" ht="20.100000000000001" customHeight="1">
      <c r="A4" s="174"/>
      <c r="B4" s="175" t="s">
        <v>287</v>
      </c>
      <c r="C4" s="176"/>
      <c r="D4" s="168"/>
      <c r="E4" s="245"/>
      <c r="F4" s="240" t="s">
        <v>192</v>
      </c>
      <c r="G4" s="242"/>
      <c r="H4" s="240"/>
      <c r="I4" s="240"/>
      <c r="J4" s="240"/>
      <c r="K4" s="242"/>
      <c r="L4" s="242"/>
      <c r="M4" s="242"/>
      <c r="N4" s="240"/>
      <c r="O4" s="240"/>
    </row>
    <row r="5" spans="1:15" s="244" customFormat="1" ht="20.100000000000001" customHeight="1" thickBot="1">
      <c r="A5" s="174"/>
      <c r="B5" s="155"/>
      <c r="C5" s="182"/>
      <c r="D5" s="183"/>
      <c r="E5" s="219"/>
      <c r="F5" s="240"/>
      <c r="G5" s="240"/>
      <c r="H5" s="240"/>
      <c r="I5" s="240"/>
      <c r="J5" s="240"/>
      <c r="K5" s="242"/>
      <c r="L5" s="242"/>
      <c r="M5" s="242"/>
      <c r="N5" s="240"/>
      <c r="O5" s="240"/>
    </row>
    <row r="6" spans="1:15" s="187" customFormat="1" ht="13.5" customHeight="1">
      <c r="A6" s="224"/>
      <c r="B6" s="446" t="s">
        <v>2</v>
      </c>
      <c r="C6" s="447"/>
      <c r="D6" s="447"/>
      <c r="E6" s="448"/>
      <c r="F6" s="449" t="s">
        <v>3108</v>
      </c>
      <c r="G6" s="450"/>
      <c r="H6" s="450"/>
      <c r="I6" s="450"/>
      <c r="J6" s="451"/>
      <c r="K6" s="452"/>
      <c r="L6" s="450"/>
      <c r="M6" s="450"/>
      <c r="N6" s="453"/>
      <c r="O6" s="454" t="s">
        <v>49</v>
      </c>
    </row>
    <row r="7" spans="1:15" s="187" customFormat="1" ht="13.5" customHeight="1">
      <c r="A7" s="224"/>
      <c r="B7" s="455">
        <v>1</v>
      </c>
      <c r="C7" s="456">
        <v>2</v>
      </c>
      <c r="D7" s="456">
        <v>3</v>
      </c>
      <c r="E7" s="457">
        <v>4</v>
      </c>
      <c r="F7" s="458">
        <v>5</v>
      </c>
      <c r="G7" s="456">
        <v>6</v>
      </c>
      <c r="H7" s="456">
        <v>7</v>
      </c>
      <c r="I7" s="456">
        <v>8</v>
      </c>
      <c r="J7" s="456">
        <v>9</v>
      </c>
      <c r="K7" s="459">
        <v>10</v>
      </c>
      <c r="L7" s="456">
        <v>11</v>
      </c>
      <c r="M7" s="456">
        <v>12</v>
      </c>
      <c r="N7" s="457">
        <v>13</v>
      </c>
      <c r="O7" s="460">
        <v>14</v>
      </c>
    </row>
    <row r="8" spans="1:15" s="194" customFormat="1" ht="24">
      <c r="A8" s="232"/>
      <c r="B8" s="227" t="s">
        <v>20</v>
      </c>
      <c r="C8" s="228" t="s">
        <v>21</v>
      </c>
      <c r="D8" s="228" t="s">
        <v>22</v>
      </c>
      <c r="E8" s="228" t="s">
        <v>23</v>
      </c>
      <c r="F8" s="227" t="s">
        <v>3109</v>
      </c>
      <c r="G8" s="248" t="s">
        <v>254</v>
      </c>
      <c r="H8" s="248" t="s">
        <v>291</v>
      </c>
      <c r="I8" s="248" t="s">
        <v>292</v>
      </c>
      <c r="J8" s="248" t="s">
        <v>293</v>
      </c>
      <c r="K8" s="228" t="s">
        <v>36</v>
      </c>
      <c r="L8" s="248" t="s">
        <v>294</v>
      </c>
      <c r="M8" s="248" t="s">
        <v>295</v>
      </c>
      <c r="N8" s="249" t="s">
        <v>296</v>
      </c>
      <c r="O8" s="461" t="s">
        <v>261</v>
      </c>
    </row>
    <row r="9" spans="1:15" s="194" customFormat="1" ht="60.75" thickBot="1">
      <c r="A9" s="232"/>
      <c r="B9" s="434" t="s">
        <v>24</v>
      </c>
      <c r="C9" s="435" t="s">
        <v>25</v>
      </c>
      <c r="D9" s="435" t="s">
        <v>26</v>
      </c>
      <c r="E9" s="435" t="s">
        <v>27</v>
      </c>
      <c r="F9" s="434" t="s">
        <v>262</v>
      </c>
      <c r="G9" s="462" t="s">
        <v>297</v>
      </c>
      <c r="H9" s="462" t="s">
        <v>298</v>
      </c>
      <c r="I9" s="462" t="s">
        <v>54</v>
      </c>
      <c r="J9" s="462" t="s">
        <v>299</v>
      </c>
      <c r="K9" s="435" t="s">
        <v>300</v>
      </c>
      <c r="L9" s="462" t="s">
        <v>278</v>
      </c>
      <c r="M9" s="462" t="s">
        <v>279</v>
      </c>
      <c r="N9" s="463" t="s">
        <v>301</v>
      </c>
      <c r="O9" s="464" t="s">
        <v>76</v>
      </c>
    </row>
    <row r="10" spans="1:15" s="198" customFormat="1" ht="14.1" customHeight="1">
      <c r="B10" s="250">
        <v>1</v>
      </c>
      <c r="C10" s="251"/>
      <c r="D10" s="200" t="s">
        <v>430</v>
      </c>
      <c r="E10" s="437" t="s">
        <v>208</v>
      </c>
      <c r="F10" s="251">
        <v>1</v>
      </c>
      <c r="G10" s="251">
        <v>1</v>
      </c>
      <c r="H10" s="209" t="s">
        <v>3111</v>
      </c>
      <c r="I10" s="206">
        <v>41198</v>
      </c>
      <c r="J10" s="206" t="s">
        <v>3110</v>
      </c>
      <c r="K10" s="208" t="s">
        <v>1059</v>
      </c>
      <c r="L10" s="252">
        <v>312000000</v>
      </c>
      <c r="M10" s="252">
        <v>312000000</v>
      </c>
      <c r="N10" s="253"/>
      <c r="O10" s="254"/>
    </row>
    <row r="11" spans="1:15" s="198" customFormat="1" ht="14.1" customHeight="1">
      <c r="B11" s="250">
        <v>2</v>
      </c>
      <c r="C11" s="251"/>
      <c r="D11" s="200" t="s">
        <v>430</v>
      </c>
      <c r="E11" s="437" t="s">
        <v>208</v>
      </c>
      <c r="F11" s="251">
        <v>1</v>
      </c>
      <c r="G11" s="251">
        <v>2</v>
      </c>
      <c r="H11" s="209" t="s">
        <v>3111</v>
      </c>
      <c r="I11" s="206">
        <v>41218</v>
      </c>
      <c r="J11" s="206" t="s">
        <v>3110</v>
      </c>
      <c r="K11" s="208" t="s">
        <v>1059</v>
      </c>
      <c r="L11" s="252">
        <v>72000000</v>
      </c>
      <c r="M11" s="252">
        <v>72000000</v>
      </c>
      <c r="N11" s="253"/>
      <c r="O11" s="254"/>
    </row>
    <row r="12" spans="1:15" s="198" customFormat="1" ht="14.1" customHeight="1">
      <c r="B12" s="250">
        <v>3</v>
      </c>
      <c r="C12" s="251"/>
      <c r="D12" s="200" t="s">
        <v>430</v>
      </c>
      <c r="E12" s="437" t="s">
        <v>208</v>
      </c>
      <c r="F12" s="251">
        <v>1</v>
      </c>
      <c r="G12" s="251">
        <v>3</v>
      </c>
      <c r="H12" s="209" t="s">
        <v>3111</v>
      </c>
      <c r="I12" s="206">
        <v>41809</v>
      </c>
      <c r="J12" s="206" t="s">
        <v>3110</v>
      </c>
      <c r="K12" s="208" t="s">
        <v>1059</v>
      </c>
      <c r="L12" s="252">
        <v>120000000</v>
      </c>
      <c r="M12" s="252">
        <v>120000000</v>
      </c>
      <c r="N12" s="253"/>
      <c r="O12" s="254"/>
    </row>
    <row r="13" spans="1:15" s="198" customFormat="1" ht="14.1" customHeight="1">
      <c r="B13" s="250">
        <v>4</v>
      </c>
      <c r="C13" s="251"/>
      <c r="D13" s="200" t="s">
        <v>431</v>
      </c>
      <c r="E13" s="437" t="s">
        <v>186</v>
      </c>
      <c r="F13" s="251">
        <v>1</v>
      </c>
      <c r="G13" s="251">
        <v>1</v>
      </c>
      <c r="H13" s="209" t="s">
        <v>3111</v>
      </c>
      <c r="I13" s="206">
        <v>37315</v>
      </c>
      <c r="J13" s="206" t="s">
        <v>3117</v>
      </c>
      <c r="K13" s="208" t="s">
        <v>1059</v>
      </c>
      <c r="L13" s="252">
        <v>84000000</v>
      </c>
      <c r="M13" s="252">
        <v>84000000</v>
      </c>
      <c r="N13" s="253"/>
      <c r="O13" s="254"/>
    </row>
    <row r="14" spans="1:15" s="198" customFormat="1" ht="14.1" customHeight="1">
      <c r="B14" s="250">
        <v>5</v>
      </c>
      <c r="C14" s="251"/>
      <c r="D14" s="200" t="s">
        <v>432</v>
      </c>
      <c r="E14" s="437" t="s">
        <v>638</v>
      </c>
      <c r="F14" s="251">
        <v>1</v>
      </c>
      <c r="G14" s="251">
        <v>1</v>
      </c>
      <c r="H14" s="209" t="s">
        <v>3111</v>
      </c>
      <c r="I14" s="206">
        <v>41549</v>
      </c>
      <c r="J14" s="206" t="s">
        <v>3110</v>
      </c>
      <c r="K14" s="208" t="s">
        <v>1059</v>
      </c>
      <c r="L14" s="252">
        <v>7320000000</v>
      </c>
      <c r="M14" s="252">
        <v>7320000000</v>
      </c>
      <c r="N14" s="253"/>
      <c r="O14" s="254"/>
    </row>
    <row r="15" spans="1:15" s="198" customFormat="1" ht="14.1" customHeight="1">
      <c r="B15" s="250">
        <v>6</v>
      </c>
      <c r="C15" s="251"/>
      <c r="D15" s="200" t="s">
        <v>433</v>
      </c>
      <c r="E15" s="437" t="s">
        <v>639</v>
      </c>
      <c r="F15" s="251">
        <v>1</v>
      </c>
      <c r="G15" s="251">
        <v>1</v>
      </c>
      <c r="H15" s="209" t="s">
        <v>3111</v>
      </c>
      <c r="I15" s="206">
        <v>41466</v>
      </c>
      <c r="J15" s="206" t="s">
        <v>3110</v>
      </c>
      <c r="K15" s="208" t="s">
        <v>1059</v>
      </c>
      <c r="L15" s="252">
        <v>1380000000</v>
      </c>
      <c r="M15" s="252">
        <v>1380000000</v>
      </c>
      <c r="N15" s="253"/>
      <c r="O15" s="254" t="s">
        <v>3118</v>
      </c>
    </row>
    <row r="16" spans="1:15" s="198" customFormat="1" ht="14.1" customHeight="1">
      <c r="B16" s="250">
        <v>7</v>
      </c>
      <c r="C16" s="251"/>
      <c r="D16" s="200" t="s">
        <v>433</v>
      </c>
      <c r="E16" s="437" t="s">
        <v>639</v>
      </c>
      <c r="F16" s="251">
        <v>1</v>
      </c>
      <c r="G16" s="251">
        <v>2</v>
      </c>
      <c r="H16" s="209" t="s">
        <v>3111</v>
      </c>
      <c r="I16" s="206">
        <v>41597</v>
      </c>
      <c r="J16" s="206" t="s">
        <v>3110</v>
      </c>
      <c r="K16" s="208" t="s">
        <v>1059</v>
      </c>
      <c r="L16" s="252">
        <v>1920000000</v>
      </c>
      <c r="M16" s="252">
        <v>1920000000</v>
      </c>
      <c r="N16" s="253"/>
      <c r="O16" s="254" t="s">
        <v>3118</v>
      </c>
    </row>
    <row r="17" spans="2:15" s="198" customFormat="1" ht="14.1" customHeight="1">
      <c r="B17" s="250">
        <v>8</v>
      </c>
      <c r="C17" s="251"/>
      <c r="D17" s="200" t="s">
        <v>433</v>
      </c>
      <c r="E17" s="437" t="s">
        <v>639</v>
      </c>
      <c r="F17" s="251">
        <v>1</v>
      </c>
      <c r="G17" s="251">
        <v>3</v>
      </c>
      <c r="H17" s="209" t="s">
        <v>3111</v>
      </c>
      <c r="I17" s="206">
        <v>41870</v>
      </c>
      <c r="J17" s="206" t="s">
        <v>3110</v>
      </c>
      <c r="K17" s="208" t="s">
        <v>1059</v>
      </c>
      <c r="L17" s="252">
        <v>1920000000</v>
      </c>
      <c r="M17" s="252">
        <v>1920000000</v>
      </c>
      <c r="N17" s="253"/>
      <c r="O17" s="254"/>
    </row>
    <row r="18" spans="2:15" s="198" customFormat="1" ht="14.1" customHeight="1">
      <c r="B18" s="250">
        <v>9</v>
      </c>
      <c r="C18" s="251"/>
      <c r="D18" s="200" t="s">
        <v>434</v>
      </c>
      <c r="E18" s="437" t="s">
        <v>640</v>
      </c>
      <c r="F18" s="251">
        <v>1</v>
      </c>
      <c r="G18" s="251">
        <v>1</v>
      </c>
      <c r="H18" s="209" t="s">
        <v>3111</v>
      </c>
      <c r="I18" s="206">
        <v>41634</v>
      </c>
      <c r="J18" s="206" t="s">
        <v>3110</v>
      </c>
      <c r="K18" s="208" t="s">
        <v>1059</v>
      </c>
      <c r="L18" s="252">
        <v>1620000000</v>
      </c>
      <c r="M18" s="252">
        <v>1620000000</v>
      </c>
      <c r="N18" s="253"/>
      <c r="O18" s="254"/>
    </row>
    <row r="19" spans="2:15" s="198" customFormat="1" ht="14.1" customHeight="1">
      <c r="B19" s="250">
        <v>10</v>
      </c>
      <c r="C19" s="251"/>
      <c r="D19" s="200" t="s">
        <v>434</v>
      </c>
      <c r="E19" s="437" t="s">
        <v>640</v>
      </c>
      <c r="F19" s="251">
        <v>1</v>
      </c>
      <c r="G19" s="251">
        <v>2</v>
      </c>
      <c r="H19" s="209" t="s">
        <v>3111</v>
      </c>
      <c r="I19" s="206">
        <v>41772</v>
      </c>
      <c r="J19" s="206" t="s">
        <v>3110</v>
      </c>
      <c r="K19" s="208" t="s">
        <v>1059</v>
      </c>
      <c r="L19" s="252">
        <v>2760000000</v>
      </c>
      <c r="M19" s="252">
        <v>2760000000</v>
      </c>
      <c r="N19" s="253"/>
      <c r="O19" s="254" t="s">
        <v>3119</v>
      </c>
    </row>
    <row r="20" spans="2:15" s="198" customFormat="1" ht="14.1" customHeight="1">
      <c r="B20" s="250">
        <v>11</v>
      </c>
      <c r="C20" s="251"/>
      <c r="D20" s="200" t="s">
        <v>435</v>
      </c>
      <c r="E20" s="437" t="s">
        <v>641</v>
      </c>
      <c r="F20" s="251">
        <v>1</v>
      </c>
      <c r="G20" s="251">
        <v>1</v>
      </c>
      <c r="H20" s="209" t="s">
        <v>3111</v>
      </c>
      <c r="I20" s="206">
        <v>41549</v>
      </c>
      <c r="J20" s="206" t="s">
        <v>3110</v>
      </c>
      <c r="K20" s="208" t="s">
        <v>1059</v>
      </c>
      <c r="L20" s="252">
        <v>1800000000</v>
      </c>
      <c r="M20" s="252">
        <v>1800000000</v>
      </c>
      <c r="N20" s="253" t="s">
        <v>3112</v>
      </c>
      <c r="O20" s="254"/>
    </row>
    <row r="21" spans="2:15" s="198" customFormat="1" ht="14.1" customHeight="1">
      <c r="B21" s="250">
        <v>12</v>
      </c>
      <c r="C21" s="251"/>
      <c r="D21" s="200" t="s">
        <v>435</v>
      </c>
      <c r="E21" s="437" t="s">
        <v>641</v>
      </c>
      <c r="F21" s="251">
        <v>1</v>
      </c>
      <c r="G21" s="251">
        <v>2</v>
      </c>
      <c r="H21" s="209" t="s">
        <v>3111</v>
      </c>
      <c r="I21" s="206">
        <v>41675</v>
      </c>
      <c r="J21" s="206" t="s">
        <v>3110</v>
      </c>
      <c r="K21" s="208" t="s">
        <v>1059</v>
      </c>
      <c r="L21" s="252">
        <v>1500000000</v>
      </c>
      <c r="M21" s="252">
        <v>1500000000</v>
      </c>
      <c r="N21" s="253"/>
      <c r="O21" s="254"/>
    </row>
    <row r="22" spans="2:15" s="198" customFormat="1" ht="14.1" customHeight="1">
      <c r="B22" s="250">
        <v>13</v>
      </c>
      <c r="C22" s="251"/>
      <c r="D22" s="200" t="s">
        <v>435</v>
      </c>
      <c r="E22" s="437" t="s">
        <v>641</v>
      </c>
      <c r="F22" s="251">
        <v>2</v>
      </c>
      <c r="G22" s="251">
        <v>1</v>
      </c>
      <c r="H22" s="209" t="s">
        <v>3120</v>
      </c>
      <c r="I22" s="206">
        <v>39080</v>
      </c>
      <c r="J22" s="206" t="s">
        <v>3114</v>
      </c>
      <c r="K22" s="208" t="s">
        <v>1059</v>
      </c>
      <c r="L22" s="252">
        <v>3640000000</v>
      </c>
      <c r="M22" s="252">
        <v>3640000000</v>
      </c>
      <c r="N22" s="253"/>
      <c r="O22" s="254"/>
    </row>
    <row r="23" spans="2:15" s="198" customFormat="1" ht="14.1" customHeight="1">
      <c r="B23" s="250">
        <v>14</v>
      </c>
      <c r="C23" s="251"/>
      <c r="D23" s="200" t="s">
        <v>435</v>
      </c>
      <c r="E23" s="437" t="s">
        <v>641</v>
      </c>
      <c r="F23" s="251">
        <v>2</v>
      </c>
      <c r="G23" s="251">
        <v>2</v>
      </c>
      <c r="H23" s="209" t="s">
        <v>3121</v>
      </c>
      <c r="I23" s="206">
        <v>40380</v>
      </c>
      <c r="J23" s="206" t="s">
        <v>3114</v>
      </c>
      <c r="K23" s="208" t="s">
        <v>1059</v>
      </c>
      <c r="L23" s="252">
        <v>1950000000</v>
      </c>
      <c r="M23" s="252">
        <v>1950000000</v>
      </c>
      <c r="N23" s="253"/>
      <c r="O23" s="254"/>
    </row>
    <row r="24" spans="2:15" s="198" customFormat="1" ht="14.1" customHeight="1">
      <c r="B24" s="250">
        <v>15</v>
      </c>
      <c r="C24" s="251"/>
      <c r="D24" s="200" t="s">
        <v>435</v>
      </c>
      <c r="E24" s="437" t="s">
        <v>641</v>
      </c>
      <c r="F24" s="251">
        <v>2</v>
      </c>
      <c r="G24" s="251">
        <v>3</v>
      </c>
      <c r="H24" s="209" t="s">
        <v>3122</v>
      </c>
      <c r="I24" s="206">
        <v>40382</v>
      </c>
      <c r="J24" s="206" t="s">
        <v>3114</v>
      </c>
      <c r="K24" s="208" t="s">
        <v>1059</v>
      </c>
      <c r="L24" s="252">
        <v>500000000</v>
      </c>
      <c r="M24" s="252">
        <v>500000000</v>
      </c>
      <c r="N24" s="253"/>
      <c r="O24" s="254"/>
    </row>
    <row r="25" spans="2:15" s="198" customFormat="1" ht="14.1" customHeight="1">
      <c r="B25" s="250">
        <v>16</v>
      </c>
      <c r="C25" s="251"/>
      <c r="D25" s="200" t="s">
        <v>435</v>
      </c>
      <c r="E25" s="437" t="s">
        <v>641</v>
      </c>
      <c r="F25" s="251">
        <v>2</v>
      </c>
      <c r="G25" s="251">
        <v>4</v>
      </c>
      <c r="H25" s="209" t="s">
        <v>2517</v>
      </c>
      <c r="I25" s="206">
        <v>41338</v>
      </c>
      <c r="J25" s="206" t="s">
        <v>3114</v>
      </c>
      <c r="K25" s="208" t="s">
        <v>1059</v>
      </c>
      <c r="L25" s="252">
        <v>300000000</v>
      </c>
      <c r="M25" s="252">
        <v>300000000</v>
      </c>
      <c r="N25" s="253"/>
      <c r="O25" s="254"/>
    </row>
    <row r="26" spans="2:15" s="198" customFormat="1" ht="14.1" customHeight="1">
      <c r="B26" s="250">
        <v>17</v>
      </c>
      <c r="C26" s="251"/>
      <c r="D26" s="200" t="s">
        <v>435</v>
      </c>
      <c r="E26" s="437" t="s">
        <v>641</v>
      </c>
      <c r="F26" s="251">
        <v>2</v>
      </c>
      <c r="G26" s="251">
        <v>5</v>
      </c>
      <c r="H26" s="209" t="s">
        <v>3123</v>
      </c>
      <c r="I26" s="206">
        <v>41438</v>
      </c>
      <c r="J26" s="206" t="s">
        <v>3114</v>
      </c>
      <c r="K26" s="208" t="s">
        <v>1059</v>
      </c>
      <c r="L26" s="252">
        <v>300000000</v>
      </c>
      <c r="M26" s="252">
        <v>300000000</v>
      </c>
      <c r="N26" s="253"/>
      <c r="O26" s="254"/>
    </row>
    <row r="27" spans="2:15" s="198" customFormat="1" ht="14.1" customHeight="1">
      <c r="B27" s="250">
        <v>18</v>
      </c>
      <c r="C27" s="251"/>
      <c r="D27" s="200" t="s">
        <v>435</v>
      </c>
      <c r="E27" s="437" t="s">
        <v>641</v>
      </c>
      <c r="F27" s="251">
        <v>2</v>
      </c>
      <c r="G27" s="251">
        <v>6</v>
      </c>
      <c r="H27" s="209" t="s">
        <v>2620</v>
      </c>
      <c r="I27" s="206">
        <v>41438</v>
      </c>
      <c r="J27" s="206" t="s">
        <v>3114</v>
      </c>
      <c r="K27" s="208" t="s">
        <v>1059</v>
      </c>
      <c r="L27" s="252">
        <v>700000000</v>
      </c>
      <c r="M27" s="252">
        <v>700000000</v>
      </c>
      <c r="N27" s="253"/>
      <c r="O27" s="254"/>
    </row>
    <row r="28" spans="2:15" s="198" customFormat="1" ht="14.1" customHeight="1">
      <c r="B28" s="250">
        <v>19</v>
      </c>
      <c r="C28" s="251"/>
      <c r="D28" s="200" t="s">
        <v>435</v>
      </c>
      <c r="E28" s="437" t="s">
        <v>641</v>
      </c>
      <c r="F28" s="251">
        <v>2</v>
      </c>
      <c r="G28" s="251">
        <v>7</v>
      </c>
      <c r="H28" s="209" t="s">
        <v>3111</v>
      </c>
      <c r="I28" s="206">
        <v>41549</v>
      </c>
      <c r="J28" s="206" t="s">
        <v>3110</v>
      </c>
      <c r="K28" s="208" t="s">
        <v>1059</v>
      </c>
      <c r="L28" s="252">
        <v>1800000000</v>
      </c>
      <c r="M28" s="252">
        <v>1800000000</v>
      </c>
      <c r="N28" s="253" t="s">
        <v>3112</v>
      </c>
      <c r="O28" s="254"/>
    </row>
    <row r="29" spans="2:15" s="198" customFormat="1" ht="14.1" customHeight="1">
      <c r="B29" s="250">
        <v>20</v>
      </c>
      <c r="C29" s="251"/>
      <c r="D29" s="200" t="s">
        <v>436</v>
      </c>
      <c r="E29" s="437" t="s">
        <v>642</v>
      </c>
      <c r="F29" s="251">
        <v>1</v>
      </c>
      <c r="G29" s="251">
        <v>1</v>
      </c>
      <c r="H29" s="209" t="s">
        <v>2201</v>
      </c>
      <c r="I29" s="206">
        <v>41569</v>
      </c>
      <c r="J29" s="206" t="s">
        <v>3114</v>
      </c>
      <c r="K29" s="208" t="s">
        <v>1059</v>
      </c>
      <c r="L29" s="252">
        <v>354812000</v>
      </c>
      <c r="M29" s="252">
        <v>354812000</v>
      </c>
      <c r="N29" s="253"/>
      <c r="O29" s="254"/>
    </row>
    <row r="30" spans="2:15" s="198" customFormat="1" ht="14.1" customHeight="1">
      <c r="B30" s="250">
        <v>21</v>
      </c>
      <c r="C30" s="251"/>
      <c r="D30" s="200" t="s">
        <v>436</v>
      </c>
      <c r="E30" s="437" t="s">
        <v>642</v>
      </c>
      <c r="F30" s="251">
        <v>1</v>
      </c>
      <c r="G30" s="251">
        <v>2</v>
      </c>
      <c r="H30" s="209" t="s">
        <v>3111</v>
      </c>
      <c r="I30" s="206">
        <v>41610</v>
      </c>
      <c r="J30" s="206" t="s">
        <v>3110</v>
      </c>
      <c r="K30" s="208" t="s">
        <v>1059</v>
      </c>
      <c r="L30" s="252">
        <v>2040000000</v>
      </c>
      <c r="M30" s="252">
        <v>2040000000</v>
      </c>
      <c r="N30" s="253" t="s">
        <v>3112</v>
      </c>
      <c r="O30" s="254" t="s">
        <v>192</v>
      </c>
    </row>
    <row r="31" spans="2:15" s="198" customFormat="1" ht="14.1" customHeight="1">
      <c r="B31" s="250">
        <v>22</v>
      </c>
      <c r="C31" s="251"/>
      <c r="D31" s="200" t="s">
        <v>436</v>
      </c>
      <c r="E31" s="437" t="s">
        <v>642</v>
      </c>
      <c r="F31" s="251">
        <v>1</v>
      </c>
      <c r="G31" s="251">
        <v>3</v>
      </c>
      <c r="H31" s="209" t="s">
        <v>3111</v>
      </c>
      <c r="I31" s="206">
        <v>42051</v>
      </c>
      <c r="J31" s="206" t="s">
        <v>3110</v>
      </c>
      <c r="K31" s="208" t="s">
        <v>1059</v>
      </c>
      <c r="L31" s="252">
        <v>600000000</v>
      </c>
      <c r="M31" s="252">
        <v>600000000</v>
      </c>
      <c r="N31" s="253" t="s">
        <v>3115</v>
      </c>
      <c r="O31" s="254" t="s">
        <v>3124</v>
      </c>
    </row>
    <row r="32" spans="2:15" s="198" customFormat="1" ht="14.1" customHeight="1">
      <c r="B32" s="250">
        <v>23</v>
      </c>
      <c r="C32" s="251"/>
      <c r="D32" s="200" t="s">
        <v>436</v>
      </c>
      <c r="E32" s="437" t="s">
        <v>642</v>
      </c>
      <c r="F32" s="251">
        <v>2</v>
      </c>
      <c r="G32" s="251">
        <v>1</v>
      </c>
      <c r="H32" s="209" t="s">
        <v>3111</v>
      </c>
      <c r="I32" s="206">
        <v>41820</v>
      </c>
      <c r="J32" s="206" t="s">
        <v>3110</v>
      </c>
      <c r="K32" s="208" t="s">
        <v>1059</v>
      </c>
      <c r="L32" s="252">
        <v>2040000000</v>
      </c>
      <c r="M32" s="252">
        <v>2040000000</v>
      </c>
      <c r="N32" s="253" t="s">
        <v>3112</v>
      </c>
      <c r="O32" s="254"/>
    </row>
    <row r="33" spans="2:15" s="198" customFormat="1" ht="14.1" customHeight="1">
      <c r="B33" s="250">
        <v>24</v>
      </c>
      <c r="C33" s="251"/>
      <c r="D33" s="200" t="s">
        <v>436</v>
      </c>
      <c r="E33" s="437" t="s">
        <v>642</v>
      </c>
      <c r="F33" s="251">
        <v>2</v>
      </c>
      <c r="G33" s="251">
        <v>2</v>
      </c>
      <c r="H33" s="209" t="s">
        <v>3111</v>
      </c>
      <c r="I33" s="206">
        <v>42051</v>
      </c>
      <c r="J33" s="206" t="s">
        <v>3110</v>
      </c>
      <c r="K33" s="208" t="s">
        <v>1059</v>
      </c>
      <c r="L33" s="252">
        <v>600000000</v>
      </c>
      <c r="M33" s="252">
        <v>600000000</v>
      </c>
      <c r="N33" s="253" t="s">
        <v>3115</v>
      </c>
      <c r="O33" s="254" t="s">
        <v>3124</v>
      </c>
    </row>
    <row r="34" spans="2:15" s="198" customFormat="1" ht="14.1" customHeight="1">
      <c r="B34" s="250">
        <v>25</v>
      </c>
      <c r="C34" s="251"/>
      <c r="D34" s="200" t="s">
        <v>436</v>
      </c>
      <c r="E34" s="437" t="s">
        <v>642</v>
      </c>
      <c r="F34" s="251">
        <v>3</v>
      </c>
      <c r="G34" s="251">
        <v>1</v>
      </c>
      <c r="H34" s="209" t="s">
        <v>3111</v>
      </c>
      <c r="I34" s="206">
        <v>42051</v>
      </c>
      <c r="J34" s="206" t="s">
        <v>3110</v>
      </c>
      <c r="K34" s="208" t="s">
        <v>1059</v>
      </c>
      <c r="L34" s="252">
        <v>600000000</v>
      </c>
      <c r="M34" s="252">
        <v>600000000</v>
      </c>
      <c r="N34" s="253" t="s">
        <v>3115</v>
      </c>
      <c r="O34" s="254" t="s">
        <v>3124</v>
      </c>
    </row>
    <row r="35" spans="2:15" s="198" customFormat="1" ht="14.1" customHeight="1">
      <c r="B35" s="250">
        <v>26</v>
      </c>
      <c r="C35" s="251"/>
      <c r="D35" s="200" t="s">
        <v>437</v>
      </c>
      <c r="E35" s="437" t="s">
        <v>643</v>
      </c>
      <c r="F35" s="251">
        <v>1</v>
      </c>
      <c r="G35" s="251">
        <v>1</v>
      </c>
      <c r="H35" s="209" t="s">
        <v>3111</v>
      </c>
      <c r="I35" s="206">
        <v>41761</v>
      </c>
      <c r="J35" s="206" t="s">
        <v>3110</v>
      </c>
      <c r="K35" s="208" t="s">
        <v>1059</v>
      </c>
      <c r="L35" s="252">
        <v>324000000</v>
      </c>
      <c r="M35" s="252">
        <v>324000000</v>
      </c>
      <c r="N35" s="253" t="s">
        <v>3112</v>
      </c>
      <c r="O35" s="254" t="s">
        <v>3125</v>
      </c>
    </row>
    <row r="36" spans="2:15" s="198" customFormat="1" ht="14.1" customHeight="1">
      <c r="B36" s="250">
        <v>27</v>
      </c>
      <c r="C36" s="251"/>
      <c r="D36" s="200" t="s">
        <v>437</v>
      </c>
      <c r="E36" s="437" t="s">
        <v>643</v>
      </c>
      <c r="F36" s="251">
        <v>1</v>
      </c>
      <c r="G36" s="251">
        <v>2</v>
      </c>
      <c r="H36" s="209" t="s">
        <v>3111</v>
      </c>
      <c r="I36" s="206">
        <v>41761</v>
      </c>
      <c r="J36" s="206" t="s">
        <v>3110</v>
      </c>
      <c r="K36" s="208" t="s">
        <v>1059</v>
      </c>
      <c r="L36" s="252">
        <v>2760000000</v>
      </c>
      <c r="M36" s="252">
        <v>2760000000</v>
      </c>
      <c r="N36" s="253" t="s">
        <v>3115</v>
      </c>
      <c r="O36" s="254" t="s">
        <v>3125</v>
      </c>
    </row>
    <row r="37" spans="2:15" s="198" customFormat="1" ht="14.1" customHeight="1">
      <c r="B37" s="250">
        <v>28</v>
      </c>
      <c r="C37" s="251"/>
      <c r="D37" s="200" t="s">
        <v>437</v>
      </c>
      <c r="E37" s="437" t="s">
        <v>643</v>
      </c>
      <c r="F37" s="251">
        <v>2</v>
      </c>
      <c r="G37" s="251">
        <v>1</v>
      </c>
      <c r="H37" s="209" t="s">
        <v>3111</v>
      </c>
      <c r="I37" s="206">
        <v>41948</v>
      </c>
      <c r="J37" s="206" t="s">
        <v>3110</v>
      </c>
      <c r="K37" s="208" t="s">
        <v>1059</v>
      </c>
      <c r="L37" s="252">
        <v>2760000000</v>
      </c>
      <c r="M37" s="252">
        <v>2760000000</v>
      </c>
      <c r="N37" s="253" t="s">
        <v>3115</v>
      </c>
      <c r="O37" s="254" t="s">
        <v>3125</v>
      </c>
    </row>
    <row r="38" spans="2:15" s="198" customFormat="1" ht="14.1" customHeight="1">
      <c r="B38" s="250">
        <v>29</v>
      </c>
      <c r="C38" s="251"/>
      <c r="D38" s="200" t="s">
        <v>437</v>
      </c>
      <c r="E38" s="437" t="s">
        <v>643</v>
      </c>
      <c r="F38" s="251">
        <v>2</v>
      </c>
      <c r="G38" s="251">
        <v>2</v>
      </c>
      <c r="H38" s="209" t="s">
        <v>101</v>
      </c>
      <c r="I38" s="206">
        <v>41948</v>
      </c>
      <c r="J38" s="206" t="s">
        <v>3110</v>
      </c>
      <c r="K38" s="208" t="s">
        <v>80</v>
      </c>
      <c r="L38" s="252">
        <v>324000000</v>
      </c>
      <c r="M38" s="252">
        <v>324000000</v>
      </c>
      <c r="N38" s="253" t="s">
        <v>3112</v>
      </c>
      <c r="O38" s="254" t="s">
        <v>3126</v>
      </c>
    </row>
    <row r="39" spans="2:15" s="198" customFormat="1" ht="14.1" customHeight="1">
      <c r="B39" s="250">
        <v>30</v>
      </c>
      <c r="C39" s="251"/>
      <c r="D39" s="200" t="s">
        <v>437</v>
      </c>
      <c r="E39" s="437" t="s">
        <v>643</v>
      </c>
      <c r="F39" s="251">
        <v>3</v>
      </c>
      <c r="G39" s="251">
        <v>1</v>
      </c>
      <c r="H39" s="209" t="s">
        <v>3111</v>
      </c>
      <c r="I39" s="206">
        <v>41761</v>
      </c>
      <c r="J39" s="206" t="s">
        <v>3110</v>
      </c>
      <c r="K39" s="208" t="s">
        <v>1059</v>
      </c>
      <c r="L39" s="252">
        <v>324000000</v>
      </c>
      <c r="M39" s="252">
        <v>324000000</v>
      </c>
      <c r="N39" s="253" t="s">
        <v>3127</v>
      </c>
      <c r="O39" s="254"/>
    </row>
    <row r="40" spans="2:15" s="198" customFormat="1" ht="14.1" customHeight="1">
      <c r="B40" s="250">
        <v>31</v>
      </c>
      <c r="C40" s="251"/>
      <c r="D40" s="200" t="s">
        <v>438</v>
      </c>
      <c r="E40" s="437" t="s">
        <v>644</v>
      </c>
      <c r="F40" s="251">
        <v>1</v>
      </c>
      <c r="G40" s="251">
        <v>1</v>
      </c>
      <c r="H40" s="209" t="s">
        <v>3111</v>
      </c>
      <c r="I40" s="206">
        <v>39405</v>
      </c>
      <c r="J40" s="206" t="s">
        <v>3117</v>
      </c>
      <c r="K40" s="208" t="s">
        <v>1059</v>
      </c>
      <c r="L40" s="252">
        <v>1150000000</v>
      </c>
      <c r="M40" s="252">
        <v>1150000000</v>
      </c>
      <c r="N40" s="253"/>
      <c r="O40" s="254"/>
    </row>
    <row r="41" spans="2:15" s="198" customFormat="1" ht="14.1" customHeight="1">
      <c r="B41" s="250">
        <v>32</v>
      </c>
      <c r="C41" s="251"/>
      <c r="D41" s="200" t="s">
        <v>438</v>
      </c>
      <c r="E41" s="437" t="s">
        <v>644</v>
      </c>
      <c r="F41" s="251">
        <v>1</v>
      </c>
      <c r="G41" s="251">
        <v>2</v>
      </c>
      <c r="H41" s="209" t="s">
        <v>3111</v>
      </c>
      <c r="I41" s="206">
        <v>40892</v>
      </c>
      <c r="J41" s="206" t="s">
        <v>3110</v>
      </c>
      <c r="K41" s="208" t="s">
        <v>1059</v>
      </c>
      <c r="L41" s="252">
        <v>130000000</v>
      </c>
      <c r="M41" s="252">
        <v>130000000</v>
      </c>
      <c r="N41" s="253"/>
      <c r="O41" s="254" t="s">
        <v>3128</v>
      </c>
    </row>
    <row r="42" spans="2:15" s="198" customFormat="1" ht="14.1" customHeight="1">
      <c r="B42" s="250">
        <v>33</v>
      </c>
      <c r="C42" s="251"/>
      <c r="D42" s="200" t="s">
        <v>438</v>
      </c>
      <c r="E42" s="437" t="s">
        <v>644</v>
      </c>
      <c r="F42" s="251">
        <v>1</v>
      </c>
      <c r="G42" s="251">
        <v>3</v>
      </c>
      <c r="H42" s="209" t="s">
        <v>3111</v>
      </c>
      <c r="I42" s="206">
        <v>41807</v>
      </c>
      <c r="J42" s="206" t="s">
        <v>3110</v>
      </c>
      <c r="K42" s="208" t="s">
        <v>1059</v>
      </c>
      <c r="L42" s="252">
        <v>200000000</v>
      </c>
      <c r="M42" s="252">
        <v>200000000</v>
      </c>
      <c r="N42" s="253"/>
      <c r="O42" s="254"/>
    </row>
    <row r="43" spans="2:15" s="198" customFormat="1" ht="14.1" customHeight="1">
      <c r="B43" s="250">
        <v>34</v>
      </c>
      <c r="C43" s="251"/>
      <c r="D43" s="200" t="s">
        <v>439</v>
      </c>
      <c r="E43" s="437" t="s">
        <v>645</v>
      </c>
      <c r="F43" s="251">
        <v>1</v>
      </c>
      <c r="G43" s="251">
        <v>1</v>
      </c>
      <c r="H43" s="209" t="s">
        <v>3111</v>
      </c>
      <c r="I43" s="206">
        <v>41680</v>
      </c>
      <c r="J43" s="206" t="s">
        <v>3110</v>
      </c>
      <c r="K43" s="208" t="s">
        <v>1059</v>
      </c>
      <c r="L43" s="252">
        <v>1680000000</v>
      </c>
      <c r="M43" s="252">
        <v>1680000000</v>
      </c>
      <c r="N43" s="253"/>
      <c r="O43" s="254"/>
    </row>
    <row r="44" spans="2:15" s="198" customFormat="1" ht="14.1" customHeight="1">
      <c r="B44" s="250">
        <v>35</v>
      </c>
      <c r="C44" s="251"/>
      <c r="D44" s="200" t="s">
        <v>439</v>
      </c>
      <c r="E44" s="437" t="s">
        <v>645</v>
      </c>
      <c r="F44" s="251">
        <v>1</v>
      </c>
      <c r="G44" s="251">
        <v>2</v>
      </c>
      <c r="H44" s="209" t="s">
        <v>3111</v>
      </c>
      <c r="I44" s="206">
        <v>42033</v>
      </c>
      <c r="J44" s="206" t="s">
        <v>3110</v>
      </c>
      <c r="K44" s="208" t="s">
        <v>1059</v>
      </c>
      <c r="L44" s="252">
        <v>564000000</v>
      </c>
      <c r="M44" s="252">
        <v>564000000</v>
      </c>
      <c r="N44" s="253"/>
      <c r="O44" s="254" t="s">
        <v>3129</v>
      </c>
    </row>
    <row r="45" spans="2:15" s="198" customFormat="1" ht="14.1" customHeight="1">
      <c r="B45" s="250">
        <v>36</v>
      </c>
      <c r="C45" s="251"/>
      <c r="D45" s="200" t="s">
        <v>440</v>
      </c>
      <c r="E45" s="437" t="s">
        <v>646</v>
      </c>
      <c r="F45" s="251">
        <v>1</v>
      </c>
      <c r="G45" s="251">
        <v>1</v>
      </c>
      <c r="H45" s="209" t="s">
        <v>3111</v>
      </c>
      <c r="I45" s="206">
        <v>40634</v>
      </c>
      <c r="J45" s="206" t="s">
        <v>3117</v>
      </c>
      <c r="K45" s="208" t="s">
        <v>80</v>
      </c>
      <c r="L45" s="252">
        <v>156000000</v>
      </c>
      <c r="M45" s="252">
        <v>156000000</v>
      </c>
      <c r="N45" s="253"/>
      <c r="O45" s="254" t="s">
        <v>3130</v>
      </c>
    </row>
    <row r="46" spans="2:15" s="198" customFormat="1" ht="14.1" customHeight="1">
      <c r="B46" s="250">
        <v>37</v>
      </c>
      <c r="C46" s="251"/>
      <c r="D46" s="200" t="s">
        <v>440</v>
      </c>
      <c r="E46" s="437" t="s">
        <v>646</v>
      </c>
      <c r="F46" s="251">
        <v>1</v>
      </c>
      <c r="G46" s="251">
        <v>2</v>
      </c>
      <c r="H46" s="209" t="s">
        <v>3111</v>
      </c>
      <c r="I46" s="206">
        <v>41127</v>
      </c>
      <c r="J46" s="206" t="s">
        <v>3110</v>
      </c>
      <c r="K46" s="208" t="s">
        <v>80</v>
      </c>
      <c r="L46" s="252">
        <v>551200000</v>
      </c>
      <c r="M46" s="252">
        <v>551200000</v>
      </c>
      <c r="N46" s="253"/>
      <c r="O46" s="254" t="s">
        <v>3130</v>
      </c>
    </row>
    <row r="47" spans="2:15" s="198" customFormat="1" ht="14.1" customHeight="1">
      <c r="B47" s="250">
        <v>38</v>
      </c>
      <c r="C47" s="251"/>
      <c r="D47" s="200" t="s">
        <v>440</v>
      </c>
      <c r="E47" s="437" t="s">
        <v>646</v>
      </c>
      <c r="F47" s="251">
        <v>1</v>
      </c>
      <c r="G47" s="251">
        <v>3</v>
      </c>
      <c r="H47" s="209" t="s">
        <v>3111</v>
      </c>
      <c r="I47" s="206">
        <v>41410</v>
      </c>
      <c r="J47" s="206" t="s">
        <v>3110</v>
      </c>
      <c r="K47" s="208" t="s">
        <v>80</v>
      </c>
      <c r="L47" s="252">
        <v>1200000000</v>
      </c>
      <c r="M47" s="252">
        <v>1200000000</v>
      </c>
      <c r="N47" s="253"/>
      <c r="O47" s="254"/>
    </row>
    <row r="48" spans="2:15" s="198" customFormat="1" ht="14.1" customHeight="1">
      <c r="B48" s="250">
        <v>39</v>
      </c>
      <c r="C48" s="251"/>
      <c r="D48" s="200" t="s">
        <v>440</v>
      </c>
      <c r="E48" s="437" t="s">
        <v>646</v>
      </c>
      <c r="F48" s="251">
        <v>2</v>
      </c>
      <c r="G48" s="251">
        <v>1</v>
      </c>
      <c r="H48" s="209" t="s">
        <v>3111</v>
      </c>
      <c r="I48" s="206">
        <v>41394</v>
      </c>
      <c r="J48" s="206" t="s">
        <v>3110</v>
      </c>
      <c r="K48" s="208" t="s">
        <v>80</v>
      </c>
      <c r="L48" s="252">
        <v>240000000</v>
      </c>
      <c r="M48" s="252">
        <v>240000000</v>
      </c>
      <c r="N48" s="253"/>
      <c r="O48" s="254"/>
    </row>
    <row r="49" spans="2:15" s="198" customFormat="1" ht="14.1" customHeight="1">
      <c r="B49" s="250">
        <v>40</v>
      </c>
      <c r="C49" s="251"/>
      <c r="D49" s="200" t="s">
        <v>441</v>
      </c>
      <c r="E49" s="437" t="s">
        <v>239</v>
      </c>
      <c r="F49" s="251">
        <v>1</v>
      </c>
      <c r="G49" s="251">
        <v>1</v>
      </c>
      <c r="H49" s="209" t="s">
        <v>3111</v>
      </c>
      <c r="I49" s="206">
        <v>41465</v>
      </c>
      <c r="J49" s="206" t="s">
        <v>3110</v>
      </c>
      <c r="K49" s="208" t="s">
        <v>80</v>
      </c>
      <c r="L49" s="252">
        <v>1020000000</v>
      </c>
      <c r="M49" s="252">
        <v>1020000000</v>
      </c>
      <c r="N49" s="253"/>
      <c r="O49" s="254"/>
    </row>
    <row r="50" spans="2:15" s="198" customFormat="1" ht="14.1" customHeight="1">
      <c r="B50" s="250">
        <v>41</v>
      </c>
      <c r="C50" s="251"/>
      <c r="D50" s="200" t="s">
        <v>441</v>
      </c>
      <c r="E50" s="437" t="s">
        <v>239</v>
      </c>
      <c r="F50" s="251">
        <v>1</v>
      </c>
      <c r="G50" s="251">
        <v>2</v>
      </c>
      <c r="H50" s="209" t="s">
        <v>3111</v>
      </c>
      <c r="I50" s="206">
        <v>41506</v>
      </c>
      <c r="J50" s="206" t="s">
        <v>3110</v>
      </c>
      <c r="K50" s="208" t="s">
        <v>80</v>
      </c>
      <c r="L50" s="252">
        <v>180000000</v>
      </c>
      <c r="M50" s="252">
        <v>180000000</v>
      </c>
      <c r="N50" s="253"/>
      <c r="O50" s="254"/>
    </row>
    <row r="51" spans="2:15" s="198" customFormat="1" ht="14.1" customHeight="1">
      <c r="B51" s="250">
        <v>42</v>
      </c>
      <c r="C51" s="251"/>
      <c r="D51" s="200" t="s">
        <v>442</v>
      </c>
      <c r="E51" s="437" t="s">
        <v>647</v>
      </c>
      <c r="F51" s="251">
        <v>1</v>
      </c>
      <c r="G51" s="251">
        <v>1</v>
      </c>
      <c r="H51" s="209" t="s">
        <v>3111</v>
      </c>
      <c r="I51" s="206">
        <v>42060</v>
      </c>
      <c r="J51" s="206" t="s">
        <v>3110</v>
      </c>
      <c r="K51" s="208" t="s">
        <v>80</v>
      </c>
      <c r="L51" s="252">
        <v>1800000000</v>
      </c>
      <c r="M51" s="252">
        <v>1800000000</v>
      </c>
      <c r="N51" s="253"/>
      <c r="O51" s="254"/>
    </row>
    <row r="52" spans="2:15" s="198" customFormat="1" ht="14.1" customHeight="1">
      <c r="B52" s="250">
        <v>43</v>
      </c>
      <c r="C52" s="251"/>
      <c r="D52" s="200" t="s">
        <v>443</v>
      </c>
      <c r="E52" s="437" t="s">
        <v>648</v>
      </c>
      <c r="F52" s="251">
        <v>1</v>
      </c>
      <c r="G52" s="251">
        <v>1</v>
      </c>
      <c r="H52" s="209" t="s">
        <v>3111</v>
      </c>
      <c r="I52" s="206">
        <v>41835</v>
      </c>
      <c r="J52" s="206" t="s">
        <v>3110</v>
      </c>
      <c r="K52" s="208" t="s">
        <v>80</v>
      </c>
      <c r="L52" s="252">
        <v>1260000000</v>
      </c>
      <c r="M52" s="252">
        <v>1260000000</v>
      </c>
      <c r="N52" s="253"/>
      <c r="O52" s="254"/>
    </row>
    <row r="53" spans="2:15" s="198" customFormat="1" ht="14.1" customHeight="1">
      <c r="B53" s="250">
        <v>44</v>
      </c>
      <c r="C53" s="251"/>
      <c r="D53" s="200" t="s">
        <v>443</v>
      </c>
      <c r="E53" s="437" t="s">
        <v>648</v>
      </c>
      <c r="F53" s="251">
        <v>1</v>
      </c>
      <c r="G53" s="251">
        <v>2</v>
      </c>
      <c r="H53" s="209" t="s">
        <v>3111</v>
      </c>
      <c r="I53" s="206">
        <v>41912</v>
      </c>
      <c r="J53" s="206" t="s">
        <v>3110</v>
      </c>
      <c r="K53" s="208" t="s">
        <v>80</v>
      </c>
      <c r="L53" s="252">
        <v>540000000</v>
      </c>
      <c r="M53" s="252">
        <v>540000000</v>
      </c>
      <c r="N53" s="253"/>
      <c r="O53" s="254"/>
    </row>
    <row r="54" spans="2:15" s="198" customFormat="1" ht="14.1" customHeight="1">
      <c r="B54" s="250">
        <v>45</v>
      </c>
      <c r="C54" s="251"/>
      <c r="D54" s="200" t="s">
        <v>444</v>
      </c>
      <c r="E54" s="437" t="s">
        <v>649</v>
      </c>
      <c r="F54" s="251">
        <v>1</v>
      </c>
      <c r="G54" s="251">
        <v>1</v>
      </c>
      <c r="H54" s="209" t="s">
        <v>3111</v>
      </c>
      <c r="I54" s="206">
        <v>42004</v>
      </c>
      <c r="J54" s="206" t="s">
        <v>3110</v>
      </c>
      <c r="K54" s="208" t="s">
        <v>80</v>
      </c>
      <c r="L54" s="252">
        <v>1800000000</v>
      </c>
      <c r="M54" s="252">
        <v>1800000000</v>
      </c>
      <c r="N54" s="253"/>
      <c r="O54" s="254"/>
    </row>
    <row r="55" spans="2:15" s="198" customFormat="1" ht="14.1" customHeight="1">
      <c r="B55" s="250">
        <v>46</v>
      </c>
      <c r="C55" s="251"/>
      <c r="D55" s="200" t="s">
        <v>444</v>
      </c>
      <c r="E55" s="437" t="s">
        <v>649</v>
      </c>
      <c r="F55" s="251">
        <v>2</v>
      </c>
      <c r="G55" s="251">
        <v>1</v>
      </c>
      <c r="H55" s="209" t="s">
        <v>3131</v>
      </c>
      <c r="I55" s="206">
        <v>41887</v>
      </c>
      <c r="J55" s="206" t="s">
        <v>3114</v>
      </c>
      <c r="K55" s="208" t="s">
        <v>80</v>
      </c>
      <c r="L55" s="252">
        <v>156000000</v>
      </c>
      <c r="M55" s="252">
        <v>156000000</v>
      </c>
      <c r="N55" s="253" t="s">
        <v>3127</v>
      </c>
      <c r="O55" s="254"/>
    </row>
    <row r="56" spans="2:15" s="198" customFormat="1" ht="14.1" customHeight="1">
      <c r="B56" s="250">
        <v>47</v>
      </c>
      <c r="C56" s="251"/>
      <c r="D56" s="200" t="s">
        <v>444</v>
      </c>
      <c r="E56" s="437" t="s">
        <v>649</v>
      </c>
      <c r="F56" s="251">
        <v>2</v>
      </c>
      <c r="G56" s="251">
        <v>2</v>
      </c>
      <c r="H56" s="209" t="s">
        <v>3111</v>
      </c>
      <c r="I56" s="206">
        <v>42004</v>
      </c>
      <c r="J56" s="206" t="s">
        <v>3110</v>
      </c>
      <c r="K56" s="208" t="s">
        <v>80</v>
      </c>
      <c r="L56" s="252">
        <v>100000000</v>
      </c>
      <c r="M56" s="252">
        <v>100000000</v>
      </c>
      <c r="N56" s="253" t="s">
        <v>3112</v>
      </c>
      <c r="O56" s="254"/>
    </row>
    <row r="57" spans="2:15" s="198" customFormat="1" ht="14.1" customHeight="1">
      <c r="B57" s="250">
        <v>48</v>
      </c>
      <c r="C57" s="251"/>
      <c r="D57" s="200" t="s">
        <v>444</v>
      </c>
      <c r="E57" s="437" t="s">
        <v>649</v>
      </c>
      <c r="F57" s="251">
        <v>3</v>
      </c>
      <c r="G57" s="251">
        <v>1</v>
      </c>
      <c r="H57" s="209" t="s">
        <v>3132</v>
      </c>
      <c r="I57" s="206">
        <v>41869</v>
      </c>
      <c r="J57" s="206" t="s">
        <v>3114</v>
      </c>
      <c r="K57" s="208" t="s">
        <v>80</v>
      </c>
      <c r="L57" s="252">
        <v>156000000</v>
      </c>
      <c r="M57" s="252">
        <v>156000000</v>
      </c>
      <c r="N57" s="253" t="s">
        <v>3127</v>
      </c>
      <c r="O57" s="254"/>
    </row>
    <row r="58" spans="2:15" s="198" customFormat="1" ht="14.1" customHeight="1">
      <c r="B58" s="250">
        <v>49</v>
      </c>
      <c r="C58" s="251"/>
      <c r="D58" s="200" t="s">
        <v>444</v>
      </c>
      <c r="E58" s="437" t="s">
        <v>649</v>
      </c>
      <c r="F58" s="251">
        <v>3</v>
      </c>
      <c r="G58" s="251">
        <v>2</v>
      </c>
      <c r="H58" s="209" t="s">
        <v>101</v>
      </c>
      <c r="I58" s="206">
        <v>42004</v>
      </c>
      <c r="J58" s="206" t="s">
        <v>3110</v>
      </c>
      <c r="K58" s="208" t="s">
        <v>80</v>
      </c>
      <c r="L58" s="252">
        <v>100000000</v>
      </c>
      <c r="M58" s="252">
        <v>100000000</v>
      </c>
      <c r="N58" s="253" t="s">
        <v>3112</v>
      </c>
      <c r="O58" s="254"/>
    </row>
    <row r="59" spans="2:15" s="198" customFormat="1" ht="14.1" customHeight="1">
      <c r="B59" s="250">
        <v>50</v>
      </c>
      <c r="C59" s="251"/>
      <c r="D59" s="200" t="s">
        <v>445</v>
      </c>
      <c r="E59" s="437" t="s">
        <v>152</v>
      </c>
      <c r="F59" s="251">
        <v>1</v>
      </c>
      <c r="G59" s="251">
        <v>1</v>
      </c>
      <c r="H59" s="209" t="s">
        <v>101</v>
      </c>
      <c r="I59" s="206">
        <v>41914</v>
      </c>
      <c r="J59" s="206" t="s">
        <v>3110</v>
      </c>
      <c r="K59" s="208" t="s">
        <v>80</v>
      </c>
      <c r="L59" s="252">
        <v>1680000000</v>
      </c>
      <c r="M59" s="252">
        <v>1680000000</v>
      </c>
      <c r="N59" s="253"/>
      <c r="O59" s="254"/>
    </row>
    <row r="60" spans="2:15" s="198" customFormat="1" ht="14.1" customHeight="1">
      <c r="B60" s="250">
        <v>51</v>
      </c>
      <c r="C60" s="251"/>
      <c r="D60" s="200" t="s">
        <v>446</v>
      </c>
      <c r="E60" s="437" t="s">
        <v>152</v>
      </c>
      <c r="F60" s="251">
        <v>1</v>
      </c>
      <c r="G60" s="251">
        <v>1</v>
      </c>
      <c r="H60" s="209" t="s">
        <v>101</v>
      </c>
      <c r="I60" s="206">
        <v>41389</v>
      </c>
      <c r="J60" s="206" t="s">
        <v>3110</v>
      </c>
      <c r="K60" s="208" t="s">
        <v>80</v>
      </c>
      <c r="L60" s="252">
        <v>1920000000</v>
      </c>
      <c r="M60" s="252">
        <v>1920000000</v>
      </c>
      <c r="N60" s="253"/>
      <c r="O60" s="254"/>
    </row>
    <row r="61" spans="2:15" s="198" customFormat="1" ht="14.1" customHeight="1">
      <c r="B61" s="250">
        <v>52</v>
      </c>
      <c r="C61" s="251"/>
      <c r="D61" s="200" t="s">
        <v>447</v>
      </c>
      <c r="E61" s="437" t="s">
        <v>650</v>
      </c>
      <c r="F61" s="251">
        <v>1</v>
      </c>
      <c r="G61" s="251">
        <v>1</v>
      </c>
      <c r="H61" s="209" t="s">
        <v>101</v>
      </c>
      <c r="I61" s="206">
        <v>41353</v>
      </c>
      <c r="J61" s="206" t="s">
        <v>3110</v>
      </c>
      <c r="K61" s="208" t="s">
        <v>80</v>
      </c>
      <c r="L61" s="252">
        <v>120000000</v>
      </c>
      <c r="M61" s="252">
        <v>120000000</v>
      </c>
      <c r="N61" s="253"/>
      <c r="O61" s="254"/>
    </row>
    <row r="62" spans="2:15" s="198" customFormat="1" ht="14.1" customHeight="1">
      <c r="B62" s="250">
        <v>53</v>
      </c>
      <c r="C62" s="251"/>
      <c r="D62" s="200" t="s">
        <v>447</v>
      </c>
      <c r="E62" s="437" t="s">
        <v>650</v>
      </c>
      <c r="F62" s="251">
        <v>1</v>
      </c>
      <c r="G62" s="251">
        <v>2</v>
      </c>
      <c r="H62" s="209" t="s">
        <v>101</v>
      </c>
      <c r="I62" s="206">
        <v>41401</v>
      </c>
      <c r="J62" s="206" t="s">
        <v>3110</v>
      </c>
      <c r="K62" s="208" t="s">
        <v>80</v>
      </c>
      <c r="L62" s="252">
        <v>1200000000</v>
      </c>
      <c r="M62" s="252">
        <v>1200000000</v>
      </c>
      <c r="N62" s="253" t="s">
        <v>3112</v>
      </c>
      <c r="O62" s="254"/>
    </row>
    <row r="63" spans="2:15" s="198" customFormat="1" ht="14.1" customHeight="1">
      <c r="B63" s="250">
        <v>54</v>
      </c>
      <c r="C63" s="251"/>
      <c r="D63" s="200" t="s">
        <v>447</v>
      </c>
      <c r="E63" s="437" t="s">
        <v>650</v>
      </c>
      <c r="F63" s="251">
        <v>2</v>
      </c>
      <c r="G63" s="251">
        <v>1</v>
      </c>
      <c r="H63" s="209" t="s">
        <v>3133</v>
      </c>
      <c r="I63" s="206">
        <v>41870</v>
      </c>
      <c r="J63" s="206" t="s">
        <v>3114</v>
      </c>
      <c r="K63" s="208" t="s">
        <v>80</v>
      </c>
      <c r="L63" s="252">
        <v>132000000</v>
      </c>
      <c r="M63" s="252">
        <v>132000000</v>
      </c>
      <c r="N63" s="253"/>
      <c r="O63" s="254" t="s">
        <v>3134</v>
      </c>
    </row>
    <row r="64" spans="2:15" s="198" customFormat="1" ht="14.1" customHeight="1">
      <c r="B64" s="250">
        <v>55</v>
      </c>
      <c r="C64" s="251"/>
      <c r="D64" s="200" t="s">
        <v>447</v>
      </c>
      <c r="E64" s="437" t="s">
        <v>650</v>
      </c>
      <c r="F64" s="251">
        <v>2</v>
      </c>
      <c r="G64" s="251">
        <v>2</v>
      </c>
      <c r="H64" s="209" t="s">
        <v>101</v>
      </c>
      <c r="I64" s="206">
        <v>42257</v>
      </c>
      <c r="J64" s="206" t="s">
        <v>3110</v>
      </c>
      <c r="K64" s="208" t="s">
        <v>80</v>
      </c>
      <c r="L64" s="252">
        <v>1200000000</v>
      </c>
      <c r="M64" s="252">
        <v>1200000000</v>
      </c>
      <c r="N64" s="253" t="s">
        <v>3112</v>
      </c>
      <c r="O64" s="254"/>
    </row>
    <row r="65" spans="2:15" s="198" customFormat="1" ht="14.1" customHeight="1">
      <c r="B65" s="250">
        <v>56</v>
      </c>
      <c r="C65" s="251"/>
      <c r="D65" s="200" t="s">
        <v>448</v>
      </c>
      <c r="E65" s="437" t="s">
        <v>651</v>
      </c>
      <c r="F65" s="251">
        <v>1</v>
      </c>
      <c r="G65" s="251">
        <v>1</v>
      </c>
      <c r="H65" s="209" t="s">
        <v>101</v>
      </c>
      <c r="I65" s="206">
        <v>41061</v>
      </c>
      <c r="J65" s="206" t="s">
        <v>3110</v>
      </c>
      <c r="K65" s="208" t="s">
        <v>80</v>
      </c>
      <c r="L65" s="252">
        <v>260000000</v>
      </c>
      <c r="M65" s="252">
        <v>260000000</v>
      </c>
      <c r="N65" s="253"/>
      <c r="O65" s="254" t="s">
        <v>3135</v>
      </c>
    </row>
    <row r="66" spans="2:15" s="198" customFormat="1" ht="14.1" customHeight="1">
      <c r="B66" s="250">
        <v>57</v>
      </c>
      <c r="C66" s="251"/>
      <c r="D66" s="200" t="s">
        <v>448</v>
      </c>
      <c r="E66" s="437" t="s">
        <v>651</v>
      </c>
      <c r="F66" s="251">
        <v>1</v>
      </c>
      <c r="G66" s="251">
        <v>2</v>
      </c>
      <c r="H66" s="209" t="s">
        <v>101</v>
      </c>
      <c r="I66" s="206">
        <v>41250</v>
      </c>
      <c r="J66" s="206" t="s">
        <v>3110</v>
      </c>
      <c r="K66" s="208" t="s">
        <v>80</v>
      </c>
      <c r="L66" s="252">
        <v>1547000000</v>
      </c>
      <c r="M66" s="252">
        <v>1547000000</v>
      </c>
      <c r="N66" s="253"/>
      <c r="O66" s="254" t="s">
        <v>3136</v>
      </c>
    </row>
    <row r="67" spans="2:15" s="198" customFormat="1" ht="14.1" customHeight="1">
      <c r="B67" s="250">
        <v>58</v>
      </c>
      <c r="C67" s="251"/>
      <c r="D67" s="200" t="s">
        <v>449</v>
      </c>
      <c r="E67" s="437" t="s">
        <v>211</v>
      </c>
      <c r="F67" s="251">
        <v>1</v>
      </c>
      <c r="G67" s="251">
        <v>1</v>
      </c>
      <c r="H67" s="209" t="s">
        <v>101</v>
      </c>
      <c r="I67" s="206">
        <v>37194</v>
      </c>
      <c r="J67" s="206" t="s">
        <v>3117</v>
      </c>
      <c r="K67" s="208" t="s">
        <v>80</v>
      </c>
      <c r="L67" s="252">
        <v>780000000</v>
      </c>
      <c r="M67" s="252">
        <v>780000000</v>
      </c>
      <c r="N67" s="253"/>
      <c r="O67" s="254" t="s">
        <v>3137</v>
      </c>
    </row>
    <row r="68" spans="2:15" s="198" customFormat="1" ht="14.1" customHeight="1">
      <c r="B68" s="250">
        <v>59</v>
      </c>
      <c r="C68" s="251"/>
      <c r="D68" s="200" t="s">
        <v>449</v>
      </c>
      <c r="E68" s="437" t="s">
        <v>211</v>
      </c>
      <c r="F68" s="251">
        <v>1</v>
      </c>
      <c r="G68" s="251">
        <v>2</v>
      </c>
      <c r="H68" s="209" t="s">
        <v>101</v>
      </c>
      <c r="I68" s="206">
        <v>39639</v>
      </c>
      <c r="J68" s="206" t="s">
        <v>3110</v>
      </c>
      <c r="K68" s="208" t="s">
        <v>80</v>
      </c>
      <c r="L68" s="252">
        <v>220000000</v>
      </c>
      <c r="M68" s="252">
        <v>220000000</v>
      </c>
      <c r="N68" s="253"/>
      <c r="O68" s="254" t="s">
        <v>3138</v>
      </c>
    </row>
    <row r="69" spans="2:15" s="198" customFormat="1" ht="14.1" customHeight="1">
      <c r="B69" s="250">
        <v>60</v>
      </c>
      <c r="C69" s="251"/>
      <c r="D69" s="200" t="s">
        <v>449</v>
      </c>
      <c r="E69" s="437" t="s">
        <v>211</v>
      </c>
      <c r="F69" s="251">
        <v>1</v>
      </c>
      <c r="G69" s="251">
        <v>3</v>
      </c>
      <c r="H69" s="209" t="s">
        <v>101</v>
      </c>
      <c r="I69" s="206">
        <v>40547</v>
      </c>
      <c r="J69" s="206" t="s">
        <v>3117</v>
      </c>
      <c r="K69" s="208" t="s">
        <v>80</v>
      </c>
      <c r="L69" s="252">
        <v>200000000</v>
      </c>
      <c r="M69" s="252">
        <v>200000000</v>
      </c>
      <c r="N69" s="253"/>
      <c r="O69" s="254"/>
    </row>
    <row r="70" spans="2:15" s="198" customFormat="1" ht="14.1" customHeight="1">
      <c r="B70" s="250">
        <v>61</v>
      </c>
      <c r="C70" s="251"/>
      <c r="D70" s="200" t="s">
        <v>450</v>
      </c>
      <c r="E70" s="437" t="s">
        <v>135</v>
      </c>
      <c r="F70" s="251">
        <v>1</v>
      </c>
      <c r="G70" s="251">
        <v>1</v>
      </c>
      <c r="H70" s="209" t="s">
        <v>101</v>
      </c>
      <c r="I70" s="206">
        <v>41547</v>
      </c>
      <c r="J70" s="206" t="s">
        <v>3110</v>
      </c>
      <c r="K70" s="208" t="s">
        <v>80</v>
      </c>
      <c r="L70" s="252">
        <v>1200000000</v>
      </c>
      <c r="M70" s="252">
        <v>1200000000</v>
      </c>
      <c r="N70" s="253"/>
      <c r="O70" s="254"/>
    </row>
    <row r="71" spans="2:15" s="198" customFormat="1" ht="14.1" customHeight="1">
      <c r="B71" s="250">
        <v>62</v>
      </c>
      <c r="C71" s="251"/>
      <c r="D71" s="200" t="s">
        <v>451</v>
      </c>
      <c r="E71" s="437" t="s">
        <v>652</v>
      </c>
      <c r="F71" s="251">
        <v>1</v>
      </c>
      <c r="G71" s="251">
        <v>1</v>
      </c>
      <c r="H71" s="209" t="s">
        <v>101</v>
      </c>
      <c r="I71" s="206">
        <v>41898</v>
      </c>
      <c r="J71" s="206" t="s">
        <v>3110</v>
      </c>
      <c r="K71" s="208" t="s">
        <v>80</v>
      </c>
      <c r="L71" s="252">
        <v>1200000000</v>
      </c>
      <c r="M71" s="252">
        <v>1200000000</v>
      </c>
      <c r="N71" s="253" t="s">
        <v>3112</v>
      </c>
      <c r="O71" s="254"/>
    </row>
    <row r="72" spans="2:15" s="198" customFormat="1" ht="14.1" customHeight="1">
      <c r="B72" s="250">
        <v>63</v>
      </c>
      <c r="C72" s="251"/>
      <c r="D72" s="200" t="s">
        <v>451</v>
      </c>
      <c r="E72" s="437" t="s">
        <v>652</v>
      </c>
      <c r="F72" s="251">
        <v>2</v>
      </c>
      <c r="G72" s="251">
        <v>1</v>
      </c>
      <c r="H72" s="209" t="s">
        <v>3139</v>
      </c>
      <c r="I72" s="206">
        <v>36047</v>
      </c>
      <c r="J72" s="206" t="s">
        <v>3114</v>
      </c>
      <c r="K72" s="208" t="s">
        <v>80</v>
      </c>
      <c r="L72" s="252">
        <v>30000000</v>
      </c>
      <c r="M72" s="252">
        <v>30000000</v>
      </c>
      <c r="N72" s="253"/>
      <c r="O72" s="254" t="s">
        <v>3140</v>
      </c>
    </row>
    <row r="73" spans="2:15" s="198" customFormat="1" ht="14.1" customHeight="1">
      <c r="B73" s="250">
        <v>64</v>
      </c>
      <c r="C73" s="251"/>
      <c r="D73" s="200" t="s">
        <v>451</v>
      </c>
      <c r="E73" s="437" t="s">
        <v>652</v>
      </c>
      <c r="F73" s="251">
        <v>2</v>
      </c>
      <c r="G73" s="251">
        <v>2</v>
      </c>
      <c r="H73" s="209" t="s">
        <v>101</v>
      </c>
      <c r="I73" s="206">
        <v>41898</v>
      </c>
      <c r="J73" s="206" t="s">
        <v>3110</v>
      </c>
      <c r="K73" s="208" t="s">
        <v>80</v>
      </c>
      <c r="L73" s="252">
        <v>1200000000</v>
      </c>
      <c r="M73" s="252">
        <v>1200000000</v>
      </c>
      <c r="N73" s="253" t="s">
        <v>3112</v>
      </c>
      <c r="O73" s="254"/>
    </row>
    <row r="74" spans="2:15" s="198" customFormat="1" ht="14.1" customHeight="1">
      <c r="B74" s="250">
        <v>65</v>
      </c>
      <c r="C74" s="251"/>
      <c r="D74" s="200" t="s">
        <v>452</v>
      </c>
      <c r="E74" s="437" t="s">
        <v>653</v>
      </c>
      <c r="F74" s="251">
        <v>1</v>
      </c>
      <c r="G74" s="251">
        <v>1</v>
      </c>
      <c r="H74" s="209" t="s">
        <v>101</v>
      </c>
      <c r="I74" s="206">
        <v>42272</v>
      </c>
      <c r="J74" s="206" t="s">
        <v>3110</v>
      </c>
      <c r="K74" s="208" t="s">
        <v>80</v>
      </c>
      <c r="L74" s="252">
        <v>1030800000</v>
      </c>
      <c r="M74" s="252">
        <v>1030800000</v>
      </c>
      <c r="N74" s="253"/>
      <c r="O74" s="254"/>
    </row>
    <row r="75" spans="2:15" s="198" customFormat="1" ht="14.1" customHeight="1">
      <c r="B75" s="250">
        <v>66</v>
      </c>
      <c r="C75" s="251"/>
      <c r="D75" s="200" t="s">
        <v>453</v>
      </c>
      <c r="E75" s="437" t="s">
        <v>109</v>
      </c>
      <c r="F75" s="251">
        <v>1</v>
      </c>
      <c r="G75" s="251">
        <v>1</v>
      </c>
      <c r="H75" s="209" t="s">
        <v>101</v>
      </c>
      <c r="I75" s="206">
        <v>40497</v>
      </c>
      <c r="J75" s="206" t="s">
        <v>3110</v>
      </c>
      <c r="K75" s="208" t="s">
        <v>80</v>
      </c>
      <c r="L75" s="252">
        <v>984000000</v>
      </c>
      <c r="M75" s="252">
        <v>984000000</v>
      </c>
      <c r="N75" s="253"/>
      <c r="O75" s="254"/>
    </row>
    <row r="76" spans="2:15" s="198" customFormat="1" ht="14.1" customHeight="1">
      <c r="B76" s="250">
        <v>67</v>
      </c>
      <c r="C76" s="251"/>
      <c r="D76" s="200" t="s">
        <v>454</v>
      </c>
      <c r="E76" s="437" t="s">
        <v>654</v>
      </c>
      <c r="F76" s="251">
        <v>1</v>
      </c>
      <c r="G76" s="251">
        <v>1</v>
      </c>
      <c r="H76" s="209" t="s">
        <v>101</v>
      </c>
      <c r="I76" s="206">
        <v>41992</v>
      </c>
      <c r="J76" s="206" t="s">
        <v>3110</v>
      </c>
      <c r="K76" s="208" t="s">
        <v>80</v>
      </c>
      <c r="L76" s="252">
        <v>960000000</v>
      </c>
      <c r="M76" s="252">
        <v>960000000</v>
      </c>
      <c r="N76" s="253" t="s">
        <v>3112</v>
      </c>
      <c r="O76" s="254"/>
    </row>
    <row r="77" spans="2:15" s="198" customFormat="1" ht="14.1" customHeight="1">
      <c r="B77" s="250">
        <v>68</v>
      </c>
      <c r="C77" s="251"/>
      <c r="D77" s="200" t="s">
        <v>454</v>
      </c>
      <c r="E77" s="437" t="s">
        <v>654</v>
      </c>
      <c r="F77" s="251">
        <v>2</v>
      </c>
      <c r="G77" s="251">
        <v>1</v>
      </c>
      <c r="H77" s="209" t="s">
        <v>3113</v>
      </c>
      <c r="I77" s="206">
        <v>41163</v>
      </c>
      <c r="J77" s="206" t="s">
        <v>3114</v>
      </c>
      <c r="K77" s="208" t="s">
        <v>80</v>
      </c>
      <c r="L77" s="252">
        <v>1320000000</v>
      </c>
      <c r="M77" s="252">
        <v>1320000000</v>
      </c>
      <c r="N77" s="253"/>
      <c r="O77" s="254" t="s">
        <v>3141</v>
      </c>
    </row>
    <row r="78" spans="2:15" s="198" customFormat="1" ht="14.1" customHeight="1">
      <c r="B78" s="250">
        <v>69</v>
      </c>
      <c r="C78" s="251"/>
      <c r="D78" s="200" t="s">
        <v>454</v>
      </c>
      <c r="E78" s="437" t="s">
        <v>654</v>
      </c>
      <c r="F78" s="251">
        <v>2</v>
      </c>
      <c r="G78" s="251">
        <v>2</v>
      </c>
      <c r="H78" s="209" t="s">
        <v>101</v>
      </c>
      <c r="I78" s="206">
        <v>41992</v>
      </c>
      <c r="J78" s="206" t="s">
        <v>3110</v>
      </c>
      <c r="K78" s="208" t="s">
        <v>80</v>
      </c>
      <c r="L78" s="252">
        <v>960000000</v>
      </c>
      <c r="M78" s="252">
        <v>960000000</v>
      </c>
      <c r="N78" s="253" t="s">
        <v>3112</v>
      </c>
      <c r="O78" s="254"/>
    </row>
    <row r="79" spans="2:15" s="198" customFormat="1" ht="14.1" customHeight="1">
      <c r="B79" s="250">
        <v>70</v>
      </c>
      <c r="C79" s="251"/>
      <c r="D79" s="200" t="s">
        <v>455</v>
      </c>
      <c r="E79" s="437" t="s">
        <v>655</v>
      </c>
      <c r="F79" s="251">
        <v>1</v>
      </c>
      <c r="G79" s="251">
        <v>1</v>
      </c>
      <c r="H79" s="209" t="s">
        <v>101</v>
      </c>
      <c r="I79" s="206">
        <v>41806</v>
      </c>
      <c r="J79" s="206" t="s">
        <v>3110</v>
      </c>
      <c r="K79" s="208" t="s">
        <v>80</v>
      </c>
      <c r="L79" s="252">
        <v>960000000</v>
      </c>
      <c r="M79" s="252">
        <v>960000000</v>
      </c>
      <c r="N79" s="253" t="s">
        <v>3112</v>
      </c>
      <c r="O79" s="254" t="s">
        <v>3142</v>
      </c>
    </row>
    <row r="80" spans="2:15" s="198" customFormat="1" ht="14.1" customHeight="1">
      <c r="B80" s="250">
        <v>71</v>
      </c>
      <c r="C80" s="251"/>
      <c r="D80" s="200" t="s">
        <v>455</v>
      </c>
      <c r="E80" s="437" t="s">
        <v>655</v>
      </c>
      <c r="F80" s="251">
        <v>2</v>
      </c>
      <c r="G80" s="251">
        <v>1</v>
      </c>
      <c r="H80" s="209" t="s">
        <v>3133</v>
      </c>
      <c r="I80" s="206">
        <v>41803</v>
      </c>
      <c r="J80" s="206" t="s">
        <v>3114</v>
      </c>
      <c r="K80" s="208" t="s">
        <v>80</v>
      </c>
      <c r="L80" s="252">
        <v>36000000</v>
      </c>
      <c r="M80" s="252">
        <v>36000000</v>
      </c>
      <c r="N80" s="253" t="s">
        <v>192</v>
      </c>
      <c r="O80" s="254" t="s">
        <v>3143</v>
      </c>
    </row>
    <row r="81" spans="2:15" s="198" customFormat="1" ht="14.1" customHeight="1">
      <c r="B81" s="250">
        <v>72</v>
      </c>
      <c r="C81" s="251"/>
      <c r="D81" s="200" t="s">
        <v>455</v>
      </c>
      <c r="E81" s="437" t="s">
        <v>655</v>
      </c>
      <c r="F81" s="251">
        <v>2</v>
      </c>
      <c r="G81" s="251">
        <v>2</v>
      </c>
      <c r="H81" s="209" t="s">
        <v>101</v>
      </c>
      <c r="I81" s="206">
        <v>41806</v>
      </c>
      <c r="J81" s="206" t="s">
        <v>3110</v>
      </c>
      <c r="K81" s="208" t="s">
        <v>80</v>
      </c>
      <c r="L81" s="252">
        <v>960000000</v>
      </c>
      <c r="M81" s="252">
        <v>960000000</v>
      </c>
      <c r="N81" s="253" t="s">
        <v>3112</v>
      </c>
      <c r="O81" s="254" t="s">
        <v>1479</v>
      </c>
    </row>
    <row r="82" spans="2:15" s="198" customFormat="1" ht="14.1" customHeight="1">
      <c r="B82" s="250">
        <v>73</v>
      </c>
      <c r="C82" s="251"/>
      <c r="D82" s="200" t="s">
        <v>456</v>
      </c>
      <c r="E82" s="437" t="s">
        <v>214</v>
      </c>
      <c r="F82" s="251">
        <v>1</v>
      </c>
      <c r="G82" s="251">
        <v>1</v>
      </c>
      <c r="H82" s="209" t="s">
        <v>3111</v>
      </c>
      <c r="I82" s="206">
        <v>38029</v>
      </c>
      <c r="J82" s="206" t="s">
        <v>3110</v>
      </c>
      <c r="K82" s="208" t="s">
        <v>1059</v>
      </c>
      <c r="L82" s="252">
        <v>966000000</v>
      </c>
      <c r="M82" s="252">
        <v>966000000</v>
      </c>
      <c r="N82" s="253"/>
      <c r="O82" s="254"/>
    </row>
    <row r="83" spans="2:15" s="198" customFormat="1" ht="14.1" customHeight="1">
      <c r="B83" s="250">
        <v>74</v>
      </c>
      <c r="C83" s="251"/>
      <c r="D83" s="200" t="s">
        <v>457</v>
      </c>
      <c r="E83" s="437" t="s">
        <v>656</v>
      </c>
      <c r="F83" s="251">
        <v>1</v>
      </c>
      <c r="G83" s="251">
        <v>1</v>
      </c>
      <c r="H83" s="209" t="s">
        <v>3111</v>
      </c>
      <c r="I83" s="206">
        <v>40459</v>
      </c>
      <c r="J83" s="206" t="s">
        <v>3117</v>
      </c>
      <c r="K83" s="208" t="s">
        <v>1059</v>
      </c>
      <c r="L83" s="252">
        <v>1181700000</v>
      </c>
      <c r="M83" s="252">
        <v>1181700000</v>
      </c>
      <c r="N83" s="253"/>
      <c r="O83" s="254"/>
    </row>
    <row r="84" spans="2:15" s="198" customFormat="1" ht="14.1" customHeight="1">
      <c r="B84" s="250">
        <v>75</v>
      </c>
      <c r="C84" s="251"/>
      <c r="D84" s="200" t="s">
        <v>458</v>
      </c>
      <c r="E84" s="437" t="s">
        <v>657</v>
      </c>
      <c r="F84" s="251">
        <v>1</v>
      </c>
      <c r="G84" s="251">
        <v>1</v>
      </c>
      <c r="H84" s="209" t="s">
        <v>3111</v>
      </c>
      <c r="I84" s="206">
        <v>38873</v>
      </c>
      <c r="J84" s="206" t="s">
        <v>3117</v>
      </c>
      <c r="K84" s="208" t="s">
        <v>1059</v>
      </c>
      <c r="L84" s="252">
        <v>660000000</v>
      </c>
      <c r="M84" s="252">
        <v>660000000</v>
      </c>
      <c r="N84" s="253"/>
      <c r="O84" s="254"/>
    </row>
    <row r="85" spans="2:15" s="198" customFormat="1" ht="14.1" customHeight="1">
      <c r="B85" s="250">
        <v>76</v>
      </c>
      <c r="C85" s="251"/>
      <c r="D85" s="200" t="s">
        <v>458</v>
      </c>
      <c r="E85" s="437" t="s">
        <v>657</v>
      </c>
      <c r="F85" s="251">
        <v>1</v>
      </c>
      <c r="G85" s="251">
        <v>2</v>
      </c>
      <c r="H85" s="209" t="s">
        <v>3111</v>
      </c>
      <c r="I85" s="206">
        <v>38873</v>
      </c>
      <c r="J85" s="206" t="s">
        <v>3117</v>
      </c>
      <c r="K85" s="208" t="s">
        <v>1059</v>
      </c>
      <c r="L85" s="252">
        <v>57600000</v>
      </c>
      <c r="M85" s="252">
        <v>57600000</v>
      </c>
      <c r="N85" s="253"/>
      <c r="O85" s="254"/>
    </row>
    <row r="86" spans="2:15" s="198" customFormat="1" ht="14.1" customHeight="1">
      <c r="B86" s="250">
        <v>77</v>
      </c>
      <c r="C86" s="251"/>
      <c r="D86" s="200" t="s">
        <v>458</v>
      </c>
      <c r="E86" s="437" t="s">
        <v>657</v>
      </c>
      <c r="F86" s="251">
        <v>1</v>
      </c>
      <c r="G86" s="251">
        <v>3</v>
      </c>
      <c r="H86" s="209" t="s">
        <v>3111</v>
      </c>
      <c r="I86" s="206">
        <v>39020</v>
      </c>
      <c r="J86" s="206" t="s">
        <v>3117</v>
      </c>
      <c r="K86" s="208" t="s">
        <v>1059</v>
      </c>
      <c r="L86" s="252">
        <v>36000000</v>
      </c>
      <c r="M86" s="252">
        <v>36000000</v>
      </c>
      <c r="N86" s="253"/>
      <c r="O86" s="254"/>
    </row>
    <row r="87" spans="2:15" s="198" customFormat="1" ht="14.1" customHeight="1">
      <c r="B87" s="250">
        <v>78</v>
      </c>
      <c r="C87" s="251"/>
      <c r="D87" s="200" t="s">
        <v>458</v>
      </c>
      <c r="E87" s="437" t="s">
        <v>657</v>
      </c>
      <c r="F87" s="251">
        <v>1</v>
      </c>
      <c r="G87" s="251">
        <v>4</v>
      </c>
      <c r="H87" s="209" t="s">
        <v>3111</v>
      </c>
      <c r="I87" s="206">
        <v>39155</v>
      </c>
      <c r="J87" s="206" t="s">
        <v>3117</v>
      </c>
      <c r="K87" s="208" t="s">
        <v>1059</v>
      </c>
      <c r="L87" s="252">
        <v>24000000</v>
      </c>
      <c r="M87" s="252">
        <v>24000000</v>
      </c>
      <c r="N87" s="253"/>
      <c r="O87" s="254"/>
    </row>
    <row r="88" spans="2:15" s="198" customFormat="1" ht="14.1" customHeight="1">
      <c r="B88" s="250">
        <v>79</v>
      </c>
      <c r="C88" s="251"/>
      <c r="D88" s="200" t="s">
        <v>459</v>
      </c>
      <c r="E88" s="437" t="s">
        <v>239</v>
      </c>
      <c r="F88" s="251">
        <v>1</v>
      </c>
      <c r="G88" s="251">
        <v>1</v>
      </c>
      <c r="H88" s="209" t="s">
        <v>3111</v>
      </c>
      <c r="I88" s="206">
        <v>40521</v>
      </c>
      <c r="J88" s="206" t="s">
        <v>3110</v>
      </c>
      <c r="K88" s="208" t="s">
        <v>1059</v>
      </c>
      <c r="L88" s="252">
        <v>540000000</v>
      </c>
      <c r="M88" s="252">
        <v>540000000</v>
      </c>
      <c r="N88" s="253"/>
      <c r="O88" s="254"/>
    </row>
    <row r="89" spans="2:15" s="198" customFormat="1" ht="14.1" customHeight="1">
      <c r="B89" s="250">
        <v>80</v>
      </c>
      <c r="C89" s="251"/>
      <c r="D89" s="200" t="s">
        <v>459</v>
      </c>
      <c r="E89" s="437" t="s">
        <v>239</v>
      </c>
      <c r="F89" s="251">
        <v>1</v>
      </c>
      <c r="G89" s="251">
        <v>2</v>
      </c>
      <c r="H89" s="209" t="s">
        <v>3111</v>
      </c>
      <c r="I89" s="206">
        <v>40527</v>
      </c>
      <c r="J89" s="206" t="s">
        <v>2979</v>
      </c>
      <c r="K89" s="208" t="s">
        <v>1059</v>
      </c>
      <c r="L89" s="252">
        <v>132000000</v>
      </c>
      <c r="M89" s="252">
        <v>132000000</v>
      </c>
      <c r="N89" s="253"/>
      <c r="O89" s="254"/>
    </row>
    <row r="90" spans="2:15" s="198" customFormat="1" ht="14.1" customHeight="1">
      <c r="B90" s="250">
        <v>81</v>
      </c>
      <c r="C90" s="251"/>
      <c r="D90" s="200" t="s">
        <v>459</v>
      </c>
      <c r="E90" s="437" t="s">
        <v>239</v>
      </c>
      <c r="F90" s="251">
        <v>1</v>
      </c>
      <c r="G90" s="251">
        <v>3</v>
      </c>
      <c r="H90" s="209" t="s">
        <v>3111</v>
      </c>
      <c r="I90" s="206">
        <v>40527</v>
      </c>
      <c r="J90" s="206" t="s">
        <v>2979</v>
      </c>
      <c r="K90" s="208" t="s">
        <v>1059</v>
      </c>
      <c r="L90" s="252">
        <v>120000000</v>
      </c>
      <c r="M90" s="252">
        <v>120000000</v>
      </c>
      <c r="N90" s="253"/>
      <c r="O90" s="254" t="s">
        <v>3144</v>
      </c>
    </row>
    <row r="91" spans="2:15" s="198" customFormat="1" ht="14.1" customHeight="1">
      <c r="B91" s="250">
        <v>82</v>
      </c>
      <c r="C91" s="251"/>
      <c r="D91" s="200" t="s">
        <v>460</v>
      </c>
      <c r="E91" s="437" t="s">
        <v>92</v>
      </c>
      <c r="F91" s="251">
        <v>1</v>
      </c>
      <c r="G91" s="251">
        <v>1</v>
      </c>
      <c r="H91" s="209" t="s">
        <v>3111</v>
      </c>
      <c r="I91" s="206">
        <v>38791</v>
      </c>
      <c r="J91" s="206" t="s">
        <v>3117</v>
      </c>
      <c r="K91" s="208" t="s">
        <v>1059</v>
      </c>
      <c r="L91" s="252">
        <v>195000000</v>
      </c>
      <c r="M91" s="252">
        <v>195000000</v>
      </c>
      <c r="N91" s="253"/>
      <c r="O91" s="254"/>
    </row>
    <row r="92" spans="2:15" s="198" customFormat="1" ht="14.1" customHeight="1">
      <c r="B92" s="250">
        <v>83</v>
      </c>
      <c r="C92" s="251"/>
      <c r="D92" s="200" t="s">
        <v>460</v>
      </c>
      <c r="E92" s="437" t="s">
        <v>92</v>
      </c>
      <c r="F92" s="251">
        <v>1</v>
      </c>
      <c r="G92" s="251">
        <v>2</v>
      </c>
      <c r="H92" s="209" t="s">
        <v>3111</v>
      </c>
      <c r="I92" s="206">
        <v>38967</v>
      </c>
      <c r="J92" s="206" t="s">
        <v>3117</v>
      </c>
      <c r="K92" s="208" t="s">
        <v>1059</v>
      </c>
      <c r="L92" s="252">
        <v>260000000</v>
      </c>
      <c r="M92" s="252">
        <v>260000000</v>
      </c>
      <c r="N92" s="253"/>
      <c r="O92" s="254"/>
    </row>
    <row r="93" spans="2:15" s="198" customFormat="1" ht="14.1" customHeight="1">
      <c r="B93" s="250">
        <v>84</v>
      </c>
      <c r="C93" s="251"/>
      <c r="D93" s="200" t="s">
        <v>460</v>
      </c>
      <c r="E93" s="437" t="s">
        <v>92</v>
      </c>
      <c r="F93" s="251">
        <v>1</v>
      </c>
      <c r="G93" s="251">
        <v>3</v>
      </c>
      <c r="H93" s="209" t="s">
        <v>3145</v>
      </c>
      <c r="I93" s="206">
        <v>39492</v>
      </c>
      <c r="J93" s="465" t="s">
        <v>3114</v>
      </c>
      <c r="K93" s="208" t="s">
        <v>1059</v>
      </c>
      <c r="L93" s="252">
        <v>90000000</v>
      </c>
      <c r="M93" s="252">
        <v>90000000</v>
      </c>
      <c r="N93" s="253"/>
      <c r="O93" s="254"/>
    </row>
    <row r="94" spans="2:15" s="198" customFormat="1" ht="14.1" customHeight="1">
      <c r="B94" s="250">
        <v>85</v>
      </c>
      <c r="C94" s="251"/>
      <c r="D94" s="200" t="s">
        <v>460</v>
      </c>
      <c r="E94" s="437" t="s">
        <v>92</v>
      </c>
      <c r="F94" s="251">
        <v>1</v>
      </c>
      <c r="G94" s="251">
        <v>4</v>
      </c>
      <c r="H94" s="209" t="s">
        <v>3111</v>
      </c>
      <c r="I94" s="206">
        <v>39638</v>
      </c>
      <c r="J94" s="206" t="s">
        <v>3117</v>
      </c>
      <c r="K94" s="208" t="s">
        <v>1059</v>
      </c>
      <c r="L94" s="252">
        <v>130000000</v>
      </c>
      <c r="M94" s="252">
        <v>130000000</v>
      </c>
      <c r="N94" s="253"/>
      <c r="O94" s="254"/>
    </row>
    <row r="95" spans="2:15" s="198" customFormat="1" ht="14.1" customHeight="1">
      <c r="B95" s="250">
        <v>86</v>
      </c>
      <c r="C95" s="251"/>
      <c r="D95" s="200" t="s">
        <v>461</v>
      </c>
      <c r="E95" s="437" t="s">
        <v>658</v>
      </c>
      <c r="F95" s="251">
        <v>1</v>
      </c>
      <c r="G95" s="251">
        <v>1</v>
      </c>
      <c r="H95" s="209" t="s">
        <v>3111</v>
      </c>
      <c r="I95" s="206">
        <v>41885</v>
      </c>
      <c r="J95" s="206" t="s">
        <v>3110</v>
      </c>
      <c r="K95" s="208" t="s">
        <v>1059</v>
      </c>
      <c r="L95" s="252">
        <v>750000000</v>
      </c>
      <c r="M95" s="252">
        <v>750000000</v>
      </c>
      <c r="N95" s="253"/>
      <c r="O95" s="254"/>
    </row>
    <row r="96" spans="2:15" s="198" customFormat="1" ht="14.1" customHeight="1">
      <c r="B96" s="250">
        <v>87</v>
      </c>
      <c r="C96" s="251"/>
      <c r="D96" s="200" t="s">
        <v>461</v>
      </c>
      <c r="E96" s="437" t="s">
        <v>658</v>
      </c>
      <c r="F96" s="251">
        <v>1</v>
      </c>
      <c r="G96" s="251">
        <v>2</v>
      </c>
      <c r="H96" s="209" t="s">
        <v>3111</v>
      </c>
      <c r="I96" s="206">
        <v>42051</v>
      </c>
      <c r="J96" s="206" t="s">
        <v>3110</v>
      </c>
      <c r="K96" s="208" t="s">
        <v>1059</v>
      </c>
      <c r="L96" s="252">
        <v>120000000</v>
      </c>
      <c r="M96" s="252">
        <v>120000000</v>
      </c>
      <c r="N96" s="253"/>
      <c r="O96" s="254"/>
    </row>
    <row r="97" spans="2:15" s="198" customFormat="1" ht="14.1" customHeight="1">
      <c r="B97" s="250">
        <v>88</v>
      </c>
      <c r="C97" s="251"/>
      <c r="D97" s="200" t="s">
        <v>461</v>
      </c>
      <c r="E97" s="437" t="s">
        <v>658</v>
      </c>
      <c r="F97" s="251">
        <v>2</v>
      </c>
      <c r="G97" s="251">
        <v>1</v>
      </c>
      <c r="H97" s="209" t="s">
        <v>3146</v>
      </c>
      <c r="I97" s="206">
        <v>41829</v>
      </c>
      <c r="J97" s="206" t="s">
        <v>3114</v>
      </c>
      <c r="K97" s="208" t="s">
        <v>1059</v>
      </c>
      <c r="L97" s="252">
        <v>130000000</v>
      </c>
      <c r="M97" s="252">
        <v>130000000</v>
      </c>
      <c r="N97" s="253"/>
      <c r="O97" s="254" t="s">
        <v>3147</v>
      </c>
    </row>
    <row r="98" spans="2:15" s="198" customFormat="1" ht="14.1" customHeight="1">
      <c r="B98" s="250">
        <v>89</v>
      </c>
      <c r="C98" s="251"/>
      <c r="D98" s="200" t="s">
        <v>461</v>
      </c>
      <c r="E98" s="437" t="s">
        <v>658</v>
      </c>
      <c r="F98" s="251">
        <v>2</v>
      </c>
      <c r="G98" s="251">
        <v>2</v>
      </c>
      <c r="H98" s="209" t="s">
        <v>3111</v>
      </c>
      <c r="I98" s="206">
        <v>42051</v>
      </c>
      <c r="J98" s="206" t="s">
        <v>3110</v>
      </c>
      <c r="K98" s="208" t="s">
        <v>1059</v>
      </c>
      <c r="L98" s="252">
        <v>120000000</v>
      </c>
      <c r="M98" s="252">
        <v>120000000</v>
      </c>
      <c r="N98" s="253"/>
      <c r="O98" s="254"/>
    </row>
    <row r="99" spans="2:15" s="198" customFormat="1" ht="14.1" customHeight="1">
      <c r="B99" s="250">
        <v>90</v>
      </c>
      <c r="C99" s="251"/>
      <c r="D99" s="200" t="s">
        <v>462</v>
      </c>
      <c r="E99" s="437" t="s">
        <v>659</v>
      </c>
      <c r="F99" s="251">
        <v>1</v>
      </c>
      <c r="G99" s="251">
        <v>1</v>
      </c>
      <c r="H99" s="209" t="s">
        <v>3111</v>
      </c>
      <c r="I99" s="206">
        <v>41775</v>
      </c>
      <c r="J99" s="206" t="s">
        <v>3110</v>
      </c>
      <c r="K99" s="208" t="s">
        <v>1059</v>
      </c>
      <c r="L99" s="252">
        <v>360000000</v>
      </c>
      <c r="M99" s="252">
        <v>360000000</v>
      </c>
      <c r="N99" s="253"/>
      <c r="O99" s="254"/>
    </row>
    <row r="100" spans="2:15" s="198" customFormat="1" ht="14.1" customHeight="1">
      <c r="B100" s="250">
        <v>91</v>
      </c>
      <c r="C100" s="251"/>
      <c r="D100" s="200" t="s">
        <v>462</v>
      </c>
      <c r="E100" s="437" t="s">
        <v>659</v>
      </c>
      <c r="F100" s="251">
        <v>1</v>
      </c>
      <c r="G100" s="251">
        <v>2</v>
      </c>
      <c r="H100" s="209" t="s">
        <v>3111</v>
      </c>
      <c r="I100" s="206">
        <v>42166</v>
      </c>
      <c r="J100" s="206" t="s">
        <v>3110</v>
      </c>
      <c r="K100" s="208" t="s">
        <v>1059</v>
      </c>
      <c r="L100" s="252">
        <v>130800000</v>
      </c>
      <c r="M100" s="252">
        <v>130800000</v>
      </c>
      <c r="N100" s="253"/>
      <c r="O100" s="254"/>
    </row>
    <row r="101" spans="2:15" s="198" customFormat="1" ht="14.1" customHeight="1">
      <c r="B101" s="250">
        <v>92</v>
      </c>
      <c r="C101" s="251"/>
      <c r="D101" s="200" t="s">
        <v>462</v>
      </c>
      <c r="E101" s="437" t="s">
        <v>659</v>
      </c>
      <c r="F101" s="251">
        <v>2</v>
      </c>
      <c r="G101" s="251">
        <v>1</v>
      </c>
      <c r="H101" s="209" t="s">
        <v>3111</v>
      </c>
      <c r="I101" s="206">
        <v>42166</v>
      </c>
      <c r="J101" s="206" t="s">
        <v>3110</v>
      </c>
      <c r="K101" s="208" t="s">
        <v>1059</v>
      </c>
      <c r="L101" s="252">
        <v>120000000</v>
      </c>
      <c r="M101" s="252">
        <v>120000000</v>
      </c>
      <c r="N101" s="253"/>
      <c r="O101" s="254"/>
    </row>
    <row r="102" spans="2:15" s="198" customFormat="1" ht="14.1" customHeight="1">
      <c r="B102" s="250">
        <v>93</v>
      </c>
      <c r="C102" s="251"/>
      <c r="D102" s="200" t="s">
        <v>463</v>
      </c>
      <c r="E102" s="437" t="s">
        <v>152</v>
      </c>
      <c r="F102" s="251">
        <v>1</v>
      </c>
      <c r="G102" s="251">
        <v>1</v>
      </c>
      <c r="H102" s="209" t="s">
        <v>3111</v>
      </c>
      <c r="I102" s="206">
        <v>39889</v>
      </c>
      <c r="J102" s="206" t="s">
        <v>3117</v>
      </c>
      <c r="K102" s="208" t="s">
        <v>1059</v>
      </c>
      <c r="L102" s="252">
        <v>351000000</v>
      </c>
      <c r="M102" s="252">
        <v>351000000</v>
      </c>
      <c r="N102" s="253"/>
      <c r="O102" s="254"/>
    </row>
    <row r="103" spans="2:15" s="198" customFormat="1" ht="14.1" customHeight="1">
      <c r="B103" s="250">
        <v>94</v>
      </c>
      <c r="C103" s="251"/>
      <c r="D103" s="200" t="s">
        <v>463</v>
      </c>
      <c r="E103" s="437" t="s">
        <v>152</v>
      </c>
      <c r="F103" s="251">
        <v>1</v>
      </c>
      <c r="G103" s="251">
        <v>2</v>
      </c>
      <c r="H103" s="209" t="s">
        <v>3111</v>
      </c>
      <c r="I103" s="206">
        <v>40001</v>
      </c>
      <c r="J103" s="206" t="s">
        <v>3110</v>
      </c>
      <c r="K103" s="208" t="s">
        <v>1059</v>
      </c>
      <c r="L103" s="252">
        <v>48000000</v>
      </c>
      <c r="M103" s="252">
        <v>48000000</v>
      </c>
      <c r="N103" s="253"/>
      <c r="O103" s="254"/>
    </row>
    <row r="104" spans="2:15" s="198" customFormat="1" ht="14.1" customHeight="1">
      <c r="B104" s="250">
        <v>95</v>
      </c>
      <c r="C104" s="251"/>
      <c r="D104" s="200" t="s">
        <v>464</v>
      </c>
      <c r="E104" s="437" t="s">
        <v>130</v>
      </c>
      <c r="F104" s="251">
        <v>1</v>
      </c>
      <c r="G104" s="251">
        <v>1</v>
      </c>
      <c r="H104" s="209" t="s">
        <v>3111</v>
      </c>
      <c r="I104" s="206">
        <v>37971</v>
      </c>
      <c r="J104" s="206" t="s">
        <v>3117</v>
      </c>
      <c r="K104" s="208" t="s">
        <v>1059</v>
      </c>
      <c r="L104" s="252">
        <v>396000000</v>
      </c>
      <c r="M104" s="252">
        <v>396000000</v>
      </c>
      <c r="N104" s="253"/>
      <c r="O104" s="254"/>
    </row>
    <row r="105" spans="2:15" s="198" customFormat="1" ht="14.1" customHeight="1">
      <c r="B105" s="250">
        <v>96</v>
      </c>
      <c r="C105" s="251"/>
      <c r="D105" s="200" t="s">
        <v>464</v>
      </c>
      <c r="E105" s="437" t="s">
        <v>130</v>
      </c>
      <c r="F105" s="251">
        <v>1</v>
      </c>
      <c r="G105" s="251">
        <v>2</v>
      </c>
      <c r="H105" s="209" t="s">
        <v>3111</v>
      </c>
      <c r="I105" s="206">
        <v>38469</v>
      </c>
      <c r="J105" s="206" t="s">
        <v>3117</v>
      </c>
      <c r="K105" s="208" t="s">
        <v>1059</v>
      </c>
      <c r="L105" s="252">
        <v>67200000</v>
      </c>
      <c r="M105" s="252">
        <v>67200000</v>
      </c>
      <c r="N105" s="253"/>
      <c r="O105" s="254"/>
    </row>
    <row r="106" spans="2:15" s="198" customFormat="1" ht="14.1" customHeight="1">
      <c r="B106" s="250">
        <v>97</v>
      </c>
      <c r="C106" s="251"/>
      <c r="D106" s="200" t="s">
        <v>464</v>
      </c>
      <c r="E106" s="437" t="s">
        <v>130</v>
      </c>
      <c r="F106" s="251">
        <v>1</v>
      </c>
      <c r="G106" s="251">
        <v>3</v>
      </c>
      <c r="H106" s="209" t="s">
        <v>3111</v>
      </c>
      <c r="I106" s="206">
        <v>38986</v>
      </c>
      <c r="J106" s="206" t="s">
        <v>3117</v>
      </c>
      <c r="K106" s="208" t="s">
        <v>1059</v>
      </c>
      <c r="L106" s="252">
        <v>360000000</v>
      </c>
      <c r="M106" s="252">
        <v>360000000</v>
      </c>
      <c r="N106" s="253"/>
      <c r="O106" s="254"/>
    </row>
    <row r="107" spans="2:15" s="198" customFormat="1" ht="14.1" customHeight="1">
      <c r="B107" s="250">
        <v>98</v>
      </c>
      <c r="C107" s="251"/>
      <c r="D107" s="200" t="s">
        <v>465</v>
      </c>
      <c r="E107" s="437" t="s">
        <v>175</v>
      </c>
      <c r="F107" s="251">
        <v>1</v>
      </c>
      <c r="G107" s="251">
        <v>1</v>
      </c>
      <c r="H107" s="209" t="s">
        <v>3111</v>
      </c>
      <c r="I107" s="206">
        <v>38685</v>
      </c>
      <c r="J107" s="206" t="s">
        <v>3117</v>
      </c>
      <c r="K107" s="208" t="s">
        <v>1059</v>
      </c>
      <c r="L107" s="252">
        <v>624000000</v>
      </c>
      <c r="M107" s="252">
        <v>624000000</v>
      </c>
      <c r="N107" s="253"/>
      <c r="O107" s="254"/>
    </row>
    <row r="108" spans="2:15" s="198" customFormat="1" ht="14.1" customHeight="1">
      <c r="B108" s="250">
        <v>99</v>
      </c>
      <c r="C108" s="251"/>
      <c r="D108" s="200" t="s">
        <v>466</v>
      </c>
      <c r="E108" s="437" t="s">
        <v>152</v>
      </c>
      <c r="F108" s="251">
        <v>1</v>
      </c>
      <c r="G108" s="251">
        <v>1</v>
      </c>
      <c r="H108" s="209" t="s">
        <v>3111</v>
      </c>
      <c r="I108" s="206">
        <v>40945</v>
      </c>
      <c r="J108" s="206" t="s">
        <v>3110</v>
      </c>
      <c r="K108" s="208" t="s">
        <v>1059</v>
      </c>
      <c r="L108" s="252">
        <v>630120000</v>
      </c>
      <c r="M108" s="252">
        <v>630120000</v>
      </c>
      <c r="N108" s="253"/>
      <c r="O108" s="254"/>
    </row>
    <row r="109" spans="2:15" s="198" customFormat="1" ht="14.1" customHeight="1">
      <c r="B109" s="250">
        <v>100</v>
      </c>
      <c r="C109" s="251"/>
      <c r="D109" s="200" t="s">
        <v>467</v>
      </c>
      <c r="E109" s="437" t="s">
        <v>175</v>
      </c>
      <c r="F109" s="251">
        <v>1</v>
      </c>
      <c r="G109" s="251">
        <v>1</v>
      </c>
      <c r="H109" s="209" t="s">
        <v>3111</v>
      </c>
      <c r="I109" s="206">
        <v>40795</v>
      </c>
      <c r="J109" s="206" t="s">
        <v>3110</v>
      </c>
      <c r="K109" s="208" t="s">
        <v>1059</v>
      </c>
      <c r="L109" s="252">
        <v>596520000</v>
      </c>
      <c r="M109" s="252">
        <v>596520000</v>
      </c>
      <c r="N109" s="253"/>
      <c r="O109" s="254"/>
    </row>
    <row r="110" spans="2:15" s="198" customFormat="1" ht="14.1" customHeight="1">
      <c r="B110" s="250">
        <v>101</v>
      </c>
      <c r="C110" s="251"/>
      <c r="D110" s="200" t="s">
        <v>468</v>
      </c>
      <c r="E110" s="437" t="s">
        <v>138</v>
      </c>
      <c r="F110" s="251">
        <v>1</v>
      </c>
      <c r="G110" s="251">
        <v>1</v>
      </c>
      <c r="H110" s="209" t="s">
        <v>3111</v>
      </c>
      <c r="I110" s="206">
        <v>37004</v>
      </c>
      <c r="J110" s="206" t="s">
        <v>3117</v>
      </c>
      <c r="K110" s="208" t="s">
        <v>1059</v>
      </c>
      <c r="L110" s="252">
        <v>58500000</v>
      </c>
      <c r="M110" s="252">
        <v>58500000</v>
      </c>
      <c r="N110" s="253"/>
      <c r="O110" s="254" t="s">
        <v>3148</v>
      </c>
    </row>
    <row r="111" spans="2:15" s="198" customFormat="1" ht="14.1" customHeight="1">
      <c r="B111" s="250">
        <v>102</v>
      </c>
      <c r="C111" s="251"/>
      <c r="D111" s="200" t="s">
        <v>468</v>
      </c>
      <c r="E111" s="437" t="s">
        <v>138</v>
      </c>
      <c r="F111" s="251">
        <v>1</v>
      </c>
      <c r="G111" s="251">
        <v>2</v>
      </c>
      <c r="H111" s="209" t="s">
        <v>3111</v>
      </c>
      <c r="I111" s="206">
        <v>37572</v>
      </c>
      <c r="J111" s="206" t="s">
        <v>3117</v>
      </c>
      <c r="K111" s="208" t="s">
        <v>1059</v>
      </c>
      <c r="L111" s="252">
        <v>300000000</v>
      </c>
      <c r="M111" s="252">
        <v>300000000</v>
      </c>
      <c r="N111" s="253"/>
      <c r="O111" s="254" t="s">
        <v>3148</v>
      </c>
    </row>
    <row r="112" spans="2:15" s="198" customFormat="1" ht="14.1" customHeight="1">
      <c r="B112" s="250">
        <v>103</v>
      </c>
      <c r="C112" s="251"/>
      <c r="D112" s="200" t="s">
        <v>468</v>
      </c>
      <c r="E112" s="437" t="s">
        <v>138</v>
      </c>
      <c r="F112" s="251">
        <v>1</v>
      </c>
      <c r="G112" s="251">
        <v>3</v>
      </c>
      <c r="H112" s="209" t="s">
        <v>3111</v>
      </c>
      <c r="I112" s="206">
        <v>38037</v>
      </c>
      <c r="J112" s="206" t="s">
        <v>3117</v>
      </c>
      <c r="K112" s="208" t="s">
        <v>1059</v>
      </c>
      <c r="L112" s="252">
        <v>84000000</v>
      </c>
      <c r="M112" s="252">
        <v>84000000</v>
      </c>
      <c r="N112" s="253"/>
      <c r="O112" s="254" t="s">
        <v>3148</v>
      </c>
    </row>
    <row r="113" spans="2:15" s="198" customFormat="1" ht="14.1" customHeight="1">
      <c r="B113" s="250">
        <v>104</v>
      </c>
      <c r="C113" s="251"/>
      <c r="D113" s="200" t="s">
        <v>468</v>
      </c>
      <c r="E113" s="437" t="s">
        <v>138</v>
      </c>
      <c r="F113" s="251">
        <v>1</v>
      </c>
      <c r="G113" s="251">
        <v>4</v>
      </c>
      <c r="H113" s="209" t="s">
        <v>3111</v>
      </c>
      <c r="I113" s="206">
        <v>38758</v>
      </c>
      <c r="J113" s="206" t="s">
        <v>3117</v>
      </c>
      <c r="K113" s="208" t="s">
        <v>1059</v>
      </c>
      <c r="L113" s="252">
        <v>67500000</v>
      </c>
      <c r="M113" s="252">
        <v>67500000</v>
      </c>
      <c r="N113" s="253"/>
      <c r="O113" s="254" t="s">
        <v>3148</v>
      </c>
    </row>
    <row r="114" spans="2:15" s="198" customFormat="1" ht="14.1" customHeight="1">
      <c r="B114" s="250">
        <v>105</v>
      </c>
      <c r="C114" s="251"/>
      <c r="D114" s="200" t="s">
        <v>469</v>
      </c>
      <c r="E114" s="437" t="s">
        <v>234</v>
      </c>
      <c r="F114" s="251">
        <v>1</v>
      </c>
      <c r="G114" s="251">
        <v>1</v>
      </c>
      <c r="H114" s="209" t="s">
        <v>3111</v>
      </c>
      <c r="I114" s="206">
        <v>41008</v>
      </c>
      <c r="J114" s="206" t="s">
        <v>3110</v>
      </c>
      <c r="K114" s="208" t="s">
        <v>1059</v>
      </c>
      <c r="L114" s="252">
        <v>600000000</v>
      </c>
      <c r="M114" s="252">
        <v>600000000</v>
      </c>
      <c r="N114" s="253"/>
      <c r="O114" s="254"/>
    </row>
    <row r="115" spans="2:15" s="198" customFormat="1" ht="14.1" customHeight="1">
      <c r="B115" s="250">
        <v>106</v>
      </c>
      <c r="C115" s="251"/>
      <c r="D115" s="200" t="s">
        <v>470</v>
      </c>
      <c r="E115" s="437" t="s">
        <v>168</v>
      </c>
      <c r="F115" s="251">
        <v>1</v>
      </c>
      <c r="G115" s="251">
        <v>1</v>
      </c>
      <c r="H115" s="209" t="s">
        <v>3111</v>
      </c>
      <c r="I115" s="206">
        <v>41163</v>
      </c>
      <c r="J115" s="206" t="s">
        <v>3110</v>
      </c>
      <c r="K115" s="208" t="s">
        <v>1059</v>
      </c>
      <c r="L115" s="252">
        <v>597600000</v>
      </c>
      <c r="M115" s="252">
        <v>597600000</v>
      </c>
      <c r="N115" s="253"/>
      <c r="O115" s="254"/>
    </row>
    <row r="116" spans="2:15" s="198" customFormat="1" ht="14.1" customHeight="1">
      <c r="B116" s="250">
        <v>107</v>
      </c>
      <c r="C116" s="251"/>
      <c r="D116" s="200" t="s">
        <v>471</v>
      </c>
      <c r="E116" s="437" t="s">
        <v>130</v>
      </c>
      <c r="F116" s="251">
        <v>1</v>
      </c>
      <c r="G116" s="251">
        <v>1</v>
      </c>
      <c r="H116" s="209" t="s">
        <v>3111</v>
      </c>
      <c r="I116" s="206">
        <v>41001</v>
      </c>
      <c r="J116" s="206" t="s">
        <v>3110</v>
      </c>
      <c r="K116" s="208" t="s">
        <v>1059</v>
      </c>
      <c r="L116" s="252">
        <v>584400000</v>
      </c>
      <c r="M116" s="252">
        <v>584400000</v>
      </c>
      <c r="N116" s="253"/>
      <c r="O116" s="254"/>
    </row>
    <row r="117" spans="2:15" s="198" customFormat="1" ht="14.1" customHeight="1">
      <c r="B117" s="250">
        <v>108</v>
      </c>
      <c r="C117" s="251"/>
      <c r="D117" s="200" t="s">
        <v>472</v>
      </c>
      <c r="E117" s="437" t="s">
        <v>152</v>
      </c>
      <c r="F117" s="251">
        <v>1</v>
      </c>
      <c r="G117" s="251">
        <v>1</v>
      </c>
      <c r="H117" s="209" t="s">
        <v>3111</v>
      </c>
      <c r="I117" s="206">
        <v>40907</v>
      </c>
      <c r="J117" s="206" t="s">
        <v>3110</v>
      </c>
      <c r="K117" s="208" t="s">
        <v>1059</v>
      </c>
      <c r="L117" s="252">
        <v>495360000</v>
      </c>
      <c r="M117" s="252">
        <v>495360000</v>
      </c>
      <c r="N117" s="253"/>
      <c r="O117" s="254"/>
    </row>
    <row r="118" spans="2:15" s="198" customFormat="1" ht="14.1" customHeight="1">
      <c r="B118" s="250">
        <v>109</v>
      </c>
      <c r="C118" s="251"/>
      <c r="D118" s="200" t="s">
        <v>472</v>
      </c>
      <c r="E118" s="437" t="s">
        <v>152</v>
      </c>
      <c r="F118" s="251">
        <v>1</v>
      </c>
      <c r="G118" s="251">
        <v>2</v>
      </c>
      <c r="H118" s="209" t="s">
        <v>3111</v>
      </c>
      <c r="I118" s="206">
        <v>41565</v>
      </c>
      <c r="J118" s="206" t="s">
        <v>2979</v>
      </c>
      <c r="K118" s="208" t="s">
        <v>1059</v>
      </c>
      <c r="L118" s="252">
        <v>84000000</v>
      </c>
      <c r="M118" s="252">
        <v>84000000</v>
      </c>
      <c r="N118" s="253"/>
      <c r="O118" s="254"/>
    </row>
    <row r="119" spans="2:15" s="198" customFormat="1" ht="14.1" customHeight="1">
      <c r="B119" s="250">
        <v>110</v>
      </c>
      <c r="C119" s="251"/>
      <c r="D119" s="200" t="s">
        <v>473</v>
      </c>
      <c r="E119" s="437" t="s">
        <v>137</v>
      </c>
      <c r="F119" s="251">
        <v>1</v>
      </c>
      <c r="G119" s="251">
        <v>1</v>
      </c>
      <c r="H119" s="209" t="s">
        <v>3111</v>
      </c>
      <c r="I119" s="206">
        <v>40458</v>
      </c>
      <c r="J119" s="206" t="s">
        <v>3110</v>
      </c>
      <c r="K119" s="208" t="s">
        <v>1059</v>
      </c>
      <c r="L119" s="252">
        <v>396000000</v>
      </c>
      <c r="M119" s="252">
        <v>396000000</v>
      </c>
      <c r="N119" s="253"/>
      <c r="O119" s="254"/>
    </row>
    <row r="120" spans="2:15" s="198" customFormat="1" ht="14.1" customHeight="1">
      <c r="B120" s="250">
        <v>111</v>
      </c>
      <c r="C120" s="251"/>
      <c r="D120" s="200" t="s">
        <v>473</v>
      </c>
      <c r="E120" s="437" t="s">
        <v>137</v>
      </c>
      <c r="F120" s="251">
        <v>2</v>
      </c>
      <c r="G120" s="251">
        <v>1</v>
      </c>
      <c r="H120" s="209" t="s">
        <v>3111</v>
      </c>
      <c r="I120" s="206">
        <v>40458</v>
      </c>
      <c r="J120" s="206" t="s">
        <v>3110</v>
      </c>
      <c r="K120" s="208" t="s">
        <v>1059</v>
      </c>
      <c r="L120" s="252">
        <v>180000000</v>
      </c>
      <c r="M120" s="252">
        <v>180000000</v>
      </c>
      <c r="N120" s="253"/>
      <c r="O120" s="254"/>
    </row>
    <row r="121" spans="2:15" s="198" customFormat="1" ht="14.1" customHeight="1">
      <c r="B121" s="250">
        <v>112</v>
      </c>
      <c r="C121" s="251"/>
      <c r="D121" s="200" t="s">
        <v>474</v>
      </c>
      <c r="E121" s="437" t="s">
        <v>175</v>
      </c>
      <c r="F121" s="251">
        <v>1</v>
      </c>
      <c r="G121" s="251">
        <v>1</v>
      </c>
      <c r="H121" s="209" t="s">
        <v>3111</v>
      </c>
      <c r="I121" s="206">
        <v>36796</v>
      </c>
      <c r="J121" s="206" t="s">
        <v>3117</v>
      </c>
      <c r="K121" s="208" t="s">
        <v>1059</v>
      </c>
      <c r="L121" s="252">
        <v>540800000</v>
      </c>
      <c r="M121" s="252">
        <v>540800000</v>
      </c>
      <c r="N121" s="253"/>
      <c r="O121" s="254" t="s">
        <v>3148</v>
      </c>
    </row>
    <row r="122" spans="2:15" s="198" customFormat="1" ht="14.1" customHeight="1">
      <c r="B122" s="250">
        <v>113</v>
      </c>
      <c r="C122" s="251"/>
      <c r="D122" s="200" t="s">
        <v>474</v>
      </c>
      <c r="E122" s="437" t="s">
        <v>175</v>
      </c>
      <c r="F122" s="251">
        <v>1</v>
      </c>
      <c r="G122" s="251">
        <v>2</v>
      </c>
      <c r="H122" s="209" t="s">
        <v>3111</v>
      </c>
      <c r="I122" s="206">
        <v>37140</v>
      </c>
      <c r="J122" s="206" t="s">
        <v>3117</v>
      </c>
      <c r="K122" s="208" t="s">
        <v>1059</v>
      </c>
      <c r="L122" s="252">
        <v>240000000</v>
      </c>
      <c r="M122" s="252">
        <v>240000000</v>
      </c>
      <c r="N122" s="253"/>
      <c r="O122" s="254" t="s">
        <v>3148</v>
      </c>
    </row>
    <row r="123" spans="2:15" s="198" customFormat="1" ht="14.1" customHeight="1">
      <c r="B123" s="250">
        <v>114</v>
      </c>
      <c r="C123" s="251"/>
      <c r="D123" s="200" t="s">
        <v>475</v>
      </c>
      <c r="E123" s="437" t="s">
        <v>175</v>
      </c>
      <c r="F123" s="251">
        <v>1</v>
      </c>
      <c r="G123" s="251">
        <v>1</v>
      </c>
      <c r="H123" s="209" t="s">
        <v>3111</v>
      </c>
      <c r="I123" s="206">
        <v>40738</v>
      </c>
      <c r="J123" s="206" t="s">
        <v>3110</v>
      </c>
      <c r="K123" s="208" t="s">
        <v>1059</v>
      </c>
      <c r="L123" s="252">
        <v>533760000</v>
      </c>
      <c r="M123" s="252">
        <v>533760000</v>
      </c>
      <c r="N123" s="253"/>
      <c r="O123" s="254"/>
    </row>
    <row r="124" spans="2:15" s="198" customFormat="1" ht="14.1" customHeight="1">
      <c r="B124" s="250">
        <v>115</v>
      </c>
      <c r="C124" s="251"/>
      <c r="D124" s="200" t="s">
        <v>476</v>
      </c>
      <c r="E124" s="437" t="s">
        <v>168</v>
      </c>
      <c r="F124" s="251">
        <v>1</v>
      </c>
      <c r="G124" s="251">
        <v>1</v>
      </c>
      <c r="H124" s="209" t="s">
        <v>3111</v>
      </c>
      <c r="I124" s="206">
        <v>37394</v>
      </c>
      <c r="J124" s="206" t="s">
        <v>3117</v>
      </c>
      <c r="K124" s="208" t="s">
        <v>1059</v>
      </c>
      <c r="L124" s="252">
        <v>480000000</v>
      </c>
      <c r="M124" s="252">
        <v>480000000</v>
      </c>
      <c r="N124" s="253" t="s">
        <v>3112</v>
      </c>
      <c r="O124" s="254"/>
    </row>
    <row r="125" spans="2:15" s="198" customFormat="1" ht="14.1" customHeight="1">
      <c r="B125" s="250">
        <v>116</v>
      </c>
      <c r="C125" s="251"/>
      <c r="D125" s="200" t="s">
        <v>476</v>
      </c>
      <c r="E125" s="437" t="s">
        <v>168</v>
      </c>
      <c r="F125" s="251">
        <v>1</v>
      </c>
      <c r="G125" s="251">
        <v>2</v>
      </c>
      <c r="H125" s="209" t="s">
        <v>3111</v>
      </c>
      <c r="I125" s="206">
        <v>38639</v>
      </c>
      <c r="J125" s="206" t="s">
        <v>3117</v>
      </c>
      <c r="K125" s="208" t="s">
        <v>1059</v>
      </c>
      <c r="L125" s="252">
        <v>72000000</v>
      </c>
      <c r="M125" s="252">
        <v>72000000</v>
      </c>
      <c r="N125" s="253" t="s">
        <v>3115</v>
      </c>
      <c r="O125" s="254"/>
    </row>
    <row r="126" spans="2:15" s="198" customFormat="1" ht="14.1" customHeight="1">
      <c r="B126" s="250">
        <v>117</v>
      </c>
      <c r="C126" s="251"/>
      <c r="D126" s="200" t="s">
        <v>476</v>
      </c>
      <c r="E126" s="437" t="s">
        <v>168</v>
      </c>
      <c r="F126" s="251">
        <v>2</v>
      </c>
      <c r="G126" s="251">
        <v>1</v>
      </c>
      <c r="H126" s="209" t="s">
        <v>3111</v>
      </c>
      <c r="I126" s="206">
        <v>37394</v>
      </c>
      <c r="J126" s="206" t="s">
        <v>3117</v>
      </c>
      <c r="K126" s="208" t="s">
        <v>1059</v>
      </c>
      <c r="L126" s="252">
        <v>480000000</v>
      </c>
      <c r="M126" s="252">
        <v>480000000</v>
      </c>
      <c r="N126" s="253" t="s">
        <v>3112</v>
      </c>
      <c r="O126" s="254"/>
    </row>
    <row r="127" spans="2:15" s="198" customFormat="1" ht="14.1" customHeight="1">
      <c r="B127" s="250">
        <v>118</v>
      </c>
      <c r="C127" s="251"/>
      <c r="D127" s="200" t="s">
        <v>476</v>
      </c>
      <c r="E127" s="437" t="s">
        <v>168</v>
      </c>
      <c r="F127" s="251">
        <v>2</v>
      </c>
      <c r="G127" s="251">
        <v>2</v>
      </c>
      <c r="H127" s="209" t="s">
        <v>3111</v>
      </c>
      <c r="I127" s="206">
        <v>38639</v>
      </c>
      <c r="J127" s="206" t="s">
        <v>3117</v>
      </c>
      <c r="K127" s="208" t="s">
        <v>1059</v>
      </c>
      <c r="L127" s="252">
        <v>72000000</v>
      </c>
      <c r="M127" s="252">
        <v>72000000</v>
      </c>
      <c r="N127" s="253" t="s">
        <v>3115</v>
      </c>
      <c r="O127" s="254"/>
    </row>
    <row r="128" spans="2:15" s="198" customFormat="1" ht="14.1" customHeight="1">
      <c r="B128" s="250">
        <v>119</v>
      </c>
      <c r="C128" s="251"/>
      <c r="D128" s="200" t="s">
        <v>476</v>
      </c>
      <c r="E128" s="437" t="s">
        <v>168</v>
      </c>
      <c r="F128" s="251">
        <v>3</v>
      </c>
      <c r="G128" s="251">
        <v>1</v>
      </c>
      <c r="H128" s="209" t="s">
        <v>3111</v>
      </c>
      <c r="I128" s="206">
        <v>37394</v>
      </c>
      <c r="J128" s="206" t="s">
        <v>3117</v>
      </c>
      <c r="K128" s="208" t="s">
        <v>1059</v>
      </c>
      <c r="L128" s="252">
        <v>480000000</v>
      </c>
      <c r="M128" s="252">
        <v>480000000</v>
      </c>
      <c r="N128" s="253" t="s">
        <v>3112</v>
      </c>
      <c r="O128" s="254"/>
    </row>
    <row r="129" spans="2:15" s="198" customFormat="1" ht="14.1" customHeight="1">
      <c r="B129" s="250">
        <v>120</v>
      </c>
      <c r="C129" s="251"/>
      <c r="D129" s="200" t="s">
        <v>476</v>
      </c>
      <c r="E129" s="437" t="s">
        <v>168</v>
      </c>
      <c r="F129" s="251">
        <v>3</v>
      </c>
      <c r="G129" s="251">
        <v>2</v>
      </c>
      <c r="H129" s="209" t="s">
        <v>3111</v>
      </c>
      <c r="I129" s="206">
        <v>38639</v>
      </c>
      <c r="J129" s="206" t="s">
        <v>3117</v>
      </c>
      <c r="K129" s="208" t="s">
        <v>1059</v>
      </c>
      <c r="L129" s="252">
        <v>72000000</v>
      </c>
      <c r="M129" s="252">
        <v>72000000</v>
      </c>
      <c r="N129" s="253" t="s">
        <v>3115</v>
      </c>
      <c r="O129" s="254"/>
    </row>
    <row r="130" spans="2:15" s="198" customFormat="1" ht="14.1" customHeight="1">
      <c r="B130" s="250">
        <v>121</v>
      </c>
      <c r="C130" s="251"/>
      <c r="D130" s="200" t="s">
        <v>477</v>
      </c>
      <c r="E130" s="437" t="s">
        <v>148</v>
      </c>
      <c r="F130" s="251">
        <v>1</v>
      </c>
      <c r="G130" s="251">
        <v>1</v>
      </c>
      <c r="H130" s="209" t="s">
        <v>3111</v>
      </c>
      <c r="I130" s="206">
        <v>40359</v>
      </c>
      <c r="J130" s="206" t="s">
        <v>3110</v>
      </c>
      <c r="K130" s="208" t="s">
        <v>1059</v>
      </c>
      <c r="L130" s="252">
        <v>519600000</v>
      </c>
      <c r="M130" s="252">
        <v>519600000</v>
      </c>
      <c r="N130" s="253"/>
      <c r="O130" s="254"/>
    </row>
    <row r="131" spans="2:15" s="198" customFormat="1" ht="14.1" customHeight="1">
      <c r="B131" s="250">
        <v>122</v>
      </c>
      <c r="C131" s="251"/>
      <c r="D131" s="200" t="s">
        <v>477</v>
      </c>
      <c r="E131" s="437" t="s">
        <v>148</v>
      </c>
      <c r="F131" s="251">
        <v>1</v>
      </c>
      <c r="G131" s="251">
        <v>2</v>
      </c>
      <c r="H131" s="209" t="s">
        <v>3111</v>
      </c>
      <c r="I131" s="206">
        <v>41109</v>
      </c>
      <c r="J131" s="206" t="s">
        <v>3110</v>
      </c>
      <c r="K131" s="208" t="s">
        <v>1059</v>
      </c>
      <c r="L131" s="252">
        <v>36000000</v>
      </c>
      <c r="M131" s="252">
        <v>36000000</v>
      </c>
      <c r="N131" s="253"/>
      <c r="O131" s="254"/>
    </row>
    <row r="132" spans="2:15" s="198" customFormat="1" ht="14.1" customHeight="1">
      <c r="B132" s="250">
        <v>123</v>
      </c>
      <c r="C132" s="251"/>
      <c r="D132" s="200" t="s">
        <v>478</v>
      </c>
      <c r="E132" s="437" t="s">
        <v>109</v>
      </c>
      <c r="F132" s="251">
        <v>1</v>
      </c>
      <c r="G132" s="251">
        <v>1</v>
      </c>
      <c r="H132" s="209" t="s">
        <v>3111</v>
      </c>
      <c r="I132" s="206">
        <v>39051</v>
      </c>
      <c r="J132" s="206" t="s">
        <v>3117</v>
      </c>
      <c r="K132" s="208" t="s">
        <v>1059</v>
      </c>
      <c r="L132" s="252">
        <v>384000000</v>
      </c>
      <c r="M132" s="252">
        <v>384000000</v>
      </c>
      <c r="N132" s="253"/>
      <c r="O132" s="254"/>
    </row>
    <row r="133" spans="2:15" s="198" customFormat="1" ht="14.1" customHeight="1">
      <c r="B133" s="250">
        <v>124</v>
      </c>
      <c r="C133" s="251"/>
      <c r="D133" s="200" t="s">
        <v>478</v>
      </c>
      <c r="E133" s="437" t="s">
        <v>109</v>
      </c>
      <c r="F133" s="251">
        <v>1</v>
      </c>
      <c r="G133" s="251">
        <v>2</v>
      </c>
      <c r="H133" s="209" t="s">
        <v>3111</v>
      </c>
      <c r="I133" s="206">
        <v>39965</v>
      </c>
      <c r="J133" s="206" t="s">
        <v>3110</v>
      </c>
      <c r="K133" s="208" t="s">
        <v>1059</v>
      </c>
      <c r="L133" s="252">
        <v>84000000</v>
      </c>
      <c r="M133" s="252">
        <v>84000000</v>
      </c>
      <c r="N133" s="253"/>
      <c r="O133" s="254"/>
    </row>
    <row r="134" spans="2:15" s="198" customFormat="1" ht="14.1" customHeight="1">
      <c r="B134" s="250">
        <v>125</v>
      </c>
      <c r="C134" s="251"/>
      <c r="D134" s="200" t="s">
        <v>478</v>
      </c>
      <c r="E134" s="437" t="s">
        <v>109</v>
      </c>
      <c r="F134" s="251">
        <v>1</v>
      </c>
      <c r="G134" s="251">
        <v>3</v>
      </c>
      <c r="H134" s="209" t="s">
        <v>3111</v>
      </c>
      <c r="I134" s="206">
        <v>40849</v>
      </c>
      <c r="J134" s="206" t="s">
        <v>3110</v>
      </c>
      <c r="K134" s="208" t="s">
        <v>1059</v>
      </c>
      <c r="L134" s="252">
        <v>72000000</v>
      </c>
      <c r="M134" s="252">
        <v>72000000</v>
      </c>
      <c r="N134" s="253"/>
      <c r="O134" s="254"/>
    </row>
    <row r="135" spans="2:15" s="198" customFormat="1" ht="14.1" customHeight="1">
      <c r="B135" s="250">
        <v>126</v>
      </c>
      <c r="C135" s="251"/>
      <c r="D135" s="200" t="s">
        <v>479</v>
      </c>
      <c r="E135" s="437" t="s">
        <v>109</v>
      </c>
      <c r="F135" s="251">
        <v>1</v>
      </c>
      <c r="G135" s="251">
        <v>1</v>
      </c>
      <c r="H135" s="209" t="s">
        <v>3111</v>
      </c>
      <c r="I135" s="206">
        <v>40925</v>
      </c>
      <c r="J135" s="206" t="s">
        <v>3110</v>
      </c>
      <c r="K135" s="208" t="s">
        <v>1059</v>
      </c>
      <c r="L135" s="252">
        <v>533640000</v>
      </c>
      <c r="M135" s="252">
        <v>533640000</v>
      </c>
      <c r="N135" s="253"/>
      <c r="O135" s="254"/>
    </row>
    <row r="136" spans="2:15" s="198" customFormat="1" ht="14.1" customHeight="1">
      <c r="B136" s="250">
        <v>127</v>
      </c>
      <c r="C136" s="251"/>
      <c r="D136" s="200" t="s">
        <v>480</v>
      </c>
      <c r="E136" s="437" t="s">
        <v>660</v>
      </c>
      <c r="F136" s="251">
        <v>1</v>
      </c>
      <c r="G136" s="251">
        <v>1</v>
      </c>
      <c r="H136" s="209" t="s">
        <v>3111</v>
      </c>
      <c r="I136" s="206">
        <v>39575</v>
      </c>
      <c r="J136" s="206" t="s">
        <v>3117</v>
      </c>
      <c r="K136" s="208" t="s">
        <v>1059</v>
      </c>
      <c r="L136" s="252">
        <v>780000000</v>
      </c>
      <c r="M136" s="252">
        <v>780000000</v>
      </c>
      <c r="N136" s="253"/>
      <c r="O136" s="254"/>
    </row>
    <row r="137" spans="2:15" s="198" customFormat="1" ht="14.1" customHeight="1">
      <c r="B137" s="250">
        <v>128</v>
      </c>
      <c r="C137" s="251"/>
      <c r="D137" s="200" t="s">
        <v>481</v>
      </c>
      <c r="E137" s="437" t="s">
        <v>109</v>
      </c>
      <c r="F137" s="251">
        <v>1</v>
      </c>
      <c r="G137" s="251">
        <v>1</v>
      </c>
      <c r="H137" s="209" t="s">
        <v>3111</v>
      </c>
      <c r="I137" s="206">
        <v>40850</v>
      </c>
      <c r="J137" s="206" t="s">
        <v>3110</v>
      </c>
      <c r="K137" s="208" t="s">
        <v>1059</v>
      </c>
      <c r="L137" s="252">
        <v>534000000</v>
      </c>
      <c r="M137" s="252">
        <v>534000000</v>
      </c>
      <c r="N137" s="253"/>
      <c r="O137" s="254"/>
    </row>
    <row r="138" spans="2:15" s="198" customFormat="1" ht="14.1" customHeight="1">
      <c r="B138" s="250">
        <v>129</v>
      </c>
      <c r="C138" s="251"/>
      <c r="D138" s="200" t="s">
        <v>482</v>
      </c>
      <c r="E138" s="437" t="s">
        <v>109</v>
      </c>
      <c r="F138" s="251">
        <v>1</v>
      </c>
      <c r="G138" s="251">
        <v>1</v>
      </c>
      <c r="H138" s="209" t="s">
        <v>3111</v>
      </c>
      <c r="I138" s="206">
        <v>40834</v>
      </c>
      <c r="J138" s="206" t="s">
        <v>3110</v>
      </c>
      <c r="K138" s="208" t="s">
        <v>1059</v>
      </c>
      <c r="L138" s="252">
        <v>526680000</v>
      </c>
      <c r="M138" s="252">
        <v>526680000</v>
      </c>
      <c r="N138" s="253"/>
      <c r="O138" s="254"/>
    </row>
    <row r="139" spans="2:15" s="198" customFormat="1" ht="14.1" customHeight="1">
      <c r="B139" s="250">
        <v>130</v>
      </c>
      <c r="C139" s="251"/>
      <c r="D139" s="200" t="s">
        <v>483</v>
      </c>
      <c r="E139" s="437" t="s">
        <v>661</v>
      </c>
      <c r="F139" s="251">
        <v>1</v>
      </c>
      <c r="G139" s="251">
        <v>1</v>
      </c>
      <c r="H139" s="209" t="s">
        <v>3111</v>
      </c>
      <c r="I139" s="206">
        <v>40276</v>
      </c>
      <c r="J139" s="206" t="s">
        <v>3110</v>
      </c>
      <c r="K139" s="208" t="s">
        <v>1059</v>
      </c>
      <c r="L139" s="252">
        <v>518400000</v>
      </c>
      <c r="M139" s="252">
        <v>518400000</v>
      </c>
      <c r="N139" s="253"/>
      <c r="O139" s="254"/>
    </row>
    <row r="140" spans="2:15" s="198" customFormat="1" ht="14.1" customHeight="1">
      <c r="B140" s="250">
        <v>131</v>
      </c>
      <c r="C140" s="251"/>
      <c r="D140" s="200" t="s">
        <v>484</v>
      </c>
      <c r="E140" s="437" t="s">
        <v>152</v>
      </c>
      <c r="F140" s="251">
        <v>1</v>
      </c>
      <c r="G140" s="251">
        <v>1</v>
      </c>
      <c r="H140" s="209" t="s">
        <v>3111</v>
      </c>
      <c r="I140" s="206">
        <v>41358</v>
      </c>
      <c r="J140" s="206" t="s">
        <v>3110</v>
      </c>
      <c r="K140" s="208" t="s">
        <v>1059</v>
      </c>
      <c r="L140" s="252">
        <v>336000000</v>
      </c>
      <c r="M140" s="252">
        <v>336000000</v>
      </c>
      <c r="N140" s="253"/>
      <c r="O140" s="254"/>
    </row>
    <row r="141" spans="2:15" s="198" customFormat="1" ht="14.1" customHeight="1">
      <c r="B141" s="250">
        <v>132</v>
      </c>
      <c r="C141" s="251"/>
      <c r="D141" s="200" t="s">
        <v>484</v>
      </c>
      <c r="E141" s="437" t="s">
        <v>152</v>
      </c>
      <c r="F141" s="251">
        <v>1</v>
      </c>
      <c r="G141" s="251">
        <v>2</v>
      </c>
      <c r="H141" s="209" t="s">
        <v>3111</v>
      </c>
      <c r="I141" s="206">
        <v>41358</v>
      </c>
      <c r="J141" s="206" t="s">
        <v>3110</v>
      </c>
      <c r="K141" s="208" t="s">
        <v>1059</v>
      </c>
      <c r="L141" s="252">
        <v>180000000</v>
      </c>
      <c r="M141" s="252">
        <v>180000000</v>
      </c>
      <c r="N141" s="253"/>
      <c r="O141" s="254"/>
    </row>
    <row r="142" spans="2:15" s="198" customFormat="1" ht="14.1" customHeight="1">
      <c r="B142" s="250">
        <v>133</v>
      </c>
      <c r="C142" s="251"/>
      <c r="D142" s="200" t="s">
        <v>485</v>
      </c>
      <c r="E142" s="437" t="s">
        <v>202</v>
      </c>
      <c r="F142" s="251">
        <v>1</v>
      </c>
      <c r="G142" s="251">
        <v>1</v>
      </c>
      <c r="H142" s="209" t="s">
        <v>3111</v>
      </c>
      <c r="I142" s="206">
        <v>41192</v>
      </c>
      <c r="J142" s="206" t="s">
        <v>3110</v>
      </c>
      <c r="K142" s="208" t="s">
        <v>1059</v>
      </c>
      <c r="L142" s="252">
        <v>91000000</v>
      </c>
      <c r="M142" s="252">
        <v>91000000</v>
      </c>
      <c r="N142" s="253"/>
      <c r="O142" s="254"/>
    </row>
    <row r="143" spans="2:15" s="198" customFormat="1" ht="14.1" customHeight="1">
      <c r="B143" s="250">
        <v>134</v>
      </c>
      <c r="C143" s="251"/>
      <c r="D143" s="200" t="s">
        <v>485</v>
      </c>
      <c r="E143" s="437" t="s">
        <v>202</v>
      </c>
      <c r="F143" s="251">
        <v>1</v>
      </c>
      <c r="G143" s="251">
        <v>2</v>
      </c>
      <c r="H143" s="209" t="s">
        <v>3111</v>
      </c>
      <c r="I143" s="206">
        <v>41386</v>
      </c>
      <c r="J143" s="206" t="s">
        <v>3110</v>
      </c>
      <c r="K143" s="208" t="s">
        <v>1059</v>
      </c>
      <c r="L143" s="252">
        <v>156000000</v>
      </c>
      <c r="M143" s="252">
        <v>156000000</v>
      </c>
      <c r="N143" s="253"/>
      <c r="O143" s="254"/>
    </row>
    <row r="144" spans="2:15" s="198" customFormat="1" ht="14.1" customHeight="1">
      <c r="B144" s="250">
        <v>135</v>
      </c>
      <c r="C144" s="251"/>
      <c r="D144" s="200" t="s">
        <v>485</v>
      </c>
      <c r="E144" s="437" t="s">
        <v>202</v>
      </c>
      <c r="F144" s="251">
        <v>1</v>
      </c>
      <c r="G144" s="251">
        <v>3</v>
      </c>
      <c r="H144" s="209" t="s">
        <v>3111</v>
      </c>
      <c r="I144" s="206">
        <v>41386</v>
      </c>
      <c r="J144" s="206" t="s">
        <v>3110</v>
      </c>
      <c r="K144" s="208" t="s">
        <v>1059</v>
      </c>
      <c r="L144" s="252">
        <v>170600000</v>
      </c>
      <c r="M144" s="252">
        <v>170600000</v>
      </c>
      <c r="N144" s="253"/>
      <c r="O144" s="254"/>
    </row>
    <row r="145" spans="2:15" s="198" customFormat="1" ht="14.1" customHeight="1">
      <c r="B145" s="250">
        <v>136</v>
      </c>
      <c r="C145" s="251"/>
      <c r="D145" s="200" t="s">
        <v>486</v>
      </c>
      <c r="E145" s="437" t="s">
        <v>183</v>
      </c>
      <c r="F145" s="251">
        <v>1</v>
      </c>
      <c r="G145" s="251">
        <v>1</v>
      </c>
      <c r="H145" s="209" t="s">
        <v>3111</v>
      </c>
      <c r="I145" s="206">
        <v>39314</v>
      </c>
      <c r="J145" s="206" t="s">
        <v>3117</v>
      </c>
      <c r="K145" s="208" t="s">
        <v>1059</v>
      </c>
      <c r="L145" s="252">
        <v>546000000</v>
      </c>
      <c r="M145" s="252">
        <v>546000000</v>
      </c>
      <c r="N145" s="253"/>
      <c r="O145" s="254"/>
    </row>
    <row r="146" spans="2:15" s="198" customFormat="1" ht="14.1" customHeight="1">
      <c r="B146" s="250">
        <v>137</v>
      </c>
      <c r="C146" s="251"/>
      <c r="D146" s="200" t="s">
        <v>487</v>
      </c>
      <c r="E146" s="437" t="s">
        <v>208</v>
      </c>
      <c r="F146" s="251">
        <v>1</v>
      </c>
      <c r="G146" s="251">
        <v>1</v>
      </c>
      <c r="H146" s="209" t="s">
        <v>3111</v>
      </c>
      <c r="I146" s="206">
        <v>37637</v>
      </c>
      <c r="J146" s="206" t="s">
        <v>3117</v>
      </c>
      <c r="K146" s="208" t="s">
        <v>1059</v>
      </c>
      <c r="L146" s="252">
        <v>715000000</v>
      </c>
      <c r="M146" s="252">
        <v>715000000</v>
      </c>
      <c r="N146" s="253"/>
      <c r="O146" s="254"/>
    </row>
    <row r="147" spans="2:15" s="198" customFormat="1" ht="14.1" customHeight="1">
      <c r="B147" s="250">
        <v>138</v>
      </c>
      <c r="C147" s="251"/>
      <c r="D147" s="200" t="s">
        <v>487</v>
      </c>
      <c r="E147" s="437" t="s">
        <v>208</v>
      </c>
      <c r="F147" s="251">
        <v>1</v>
      </c>
      <c r="G147" s="251">
        <v>2</v>
      </c>
      <c r="H147" s="209" t="s">
        <v>3111</v>
      </c>
      <c r="I147" s="206">
        <v>37736</v>
      </c>
      <c r="J147" s="206" t="s">
        <v>3117</v>
      </c>
      <c r="K147" s="208" t="s">
        <v>1059</v>
      </c>
      <c r="L147" s="252">
        <v>130000000</v>
      </c>
      <c r="M147" s="252">
        <v>130000000</v>
      </c>
      <c r="N147" s="253"/>
      <c r="O147" s="254"/>
    </row>
    <row r="148" spans="2:15" s="198" customFormat="1" ht="14.1" customHeight="1">
      <c r="B148" s="250">
        <v>139</v>
      </c>
      <c r="C148" s="251"/>
      <c r="D148" s="200" t="s">
        <v>488</v>
      </c>
      <c r="E148" s="437" t="s">
        <v>662</v>
      </c>
      <c r="F148" s="251">
        <v>1</v>
      </c>
      <c r="G148" s="251">
        <v>1</v>
      </c>
      <c r="H148" s="209" t="s">
        <v>3111</v>
      </c>
      <c r="I148" s="206">
        <v>41899</v>
      </c>
      <c r="J148" s="206" t="s">
        <v>3110</v>
      </c>
      <c r="K148" s="208" t="s">
        <v>1059</v>
      </c>
      <c r="L148" s="252">
        <v>420000000</v>
      </c>
      <c r="M148" s="252">
        <v>420000000</v>
      </c>
      <c r="N148" s="253"/>
      <c r="O148" s="254"/>
    </row>
    <row r="149" spans="2:15" s="198" customFormat="1" ht="14.1" customHeight="1">
      <c r="B149" s="250">
        <v>140</v>
      </c>
      <c r="C149" s="251"/>
      <c r="D149" s="200" t="s">
        <v>489</v>
      </c>
      <c r="E149" s="437" t="s">
        <v>130</v>
      </c>
      <c r="F149" s="251">
        <v>1</v>
      </c>
      <c r="G149" s="251">
        <v>1</v>
      </c>
      <c r="H149" s="209" t="s">
        <v>3111</v>
      </c>
      <c r="I149" s="206">
        <v>40410</v>
      </c>
      <c r="J149" s="206" t="s">
        <v>3110</v>
      </c>
      <c r="K149" s="208" t="s">
        <v>1059</v>
      </c>
      <c r="L149" s="252">
        <v>280080000</v>
      </c>
      <c r="M149" s="252">
        <v>280080000</v>
      </c>
      <c r="N149" s="253"/>
      <c r="O149" s="254"/>
    </row>
    <row r="150" spans="2:15" s="198" customFormat="1" ht="14.1" customHeight="1">
      <c r="B150" s="250">
        <v>141</v>
      </c>
      <c r="C150" s="251"/>
      <c r="D150" s="200" t="s">
        <v>490</v>
      </c>
      <c r="E150" s="437" t="s">
        <v>152</v>
      </c>
      <c r="F150" s="251">
        <v>1</v>
      </c>
      <c r="G150" s="251">
        <v>1</v>
      </c>
      <c r="H150" s="209" t="s">
        <v>3111</v>
      </c>
      <c r="I150" s="206">
        <v>39625</v>
      </c>
      <c r="J150" s="206" t="s">
        <v>3117</v>
      </c>
      <c r="K150" s="208" t="s">
        <v>1059</v>
      </c>
      <c r="L150" s="252">
        <v>522000000</v>
      </c>
      <c r="M150" s="252">
        <v>522000000</v>
      </c>
      <c r="N150" s="253"/>
      <c r="O150" s="254"/>
    </row>
    <row r="151" spans="2:15" s="198" customFormat="1" ht="14.1" customHeight="1">
      <c r="B151" s="250">
        <v>142</v>
      </c>
      <c r="C151" s="251"/>
      <c r="D151" s="200" t="s">
        <v>491</v>
      </c>
      <c r="E151" s="437" t="s">
        <v>152</v>
      </c>
      <c r="F151" s="251">
        <v>1</v>
      </c>
      <c r="G151" s="251">
        <v>1</v>
      </c>
      <c r="H151" s="209" t="s">
        <v>3111</v>
      </c>
      <c r="I151" s="206">
        <v>41240</v>
      </c>
      <c r="J151" s="206" t="s">
        <v>3110</v>
      </c>
      <c r="K151" s="208" t="s">
        <v>1059</v>
      </c>
      <c r="L151" s="252">
        <v>428400000</v>
      </c>
      <c r="M151" s="252">
        <v>428400000</v>
      </c>
      <c r="N151" s="253"/>
      <c r="O151" s="254"/>
    </row>
    <row r="152" spans="2:15" s="198" customFormat="1" ht="14.1" customHeight="1">
      <c r="B152" s="250">
        <v>143</v>
      </c>
      <c r="C152" s="251"/>
      <c r="D152" s="200" t="s">
        <v>492</v>
      </c>
      <c r="E152" s="437" t="s">
        <v>663</v>
      </c>
      <c r="F152" s="251">
        <v>1</v>
      </c>
      <c r="G152" s="251">
        <v>1</v>
      </c>
      <c r="H152" s="209" t="s">
        <v>3111</v>
      </c>
      <c r="I152" s="206">
        <v>39020</v>
      </c>
      <c r="J152" s="206" t="s">
        <v>3117</v>
      </c>
      <c r="K152" s="208" t="s">
        <v>1059</v>
      </c>
      <c r="L152" s="252">
        <v>384000000</v>
      </c>
      <c r="M152" s="252">
        <v>384000000</v>
      </c>
      <c r="N152" s="253"/>
      <c r="O152" s="254"/>
    </row>
    <row r="153" spans="2:15" s="198" customFormat="1" ht="14.1" customHeight="1">
      <c r="B153" s="250">
        <v>144</v>
      </c>
      <c r="C153" s="251"/>
      <c r="D153" s="200" t="s">
        <v>492</v>
      </c>
      <c r="E153" s="437" t="s">
        <v>663</v>
      </c>
      <c r="F153" s="251">
        <v>1</v>
      </c>
      <c r="G153" s="251">
        <v>2</v>
      </c>
      <c r="H153" s="209" t="s">
        <v>3111</v>
      </c>
      <c r="I153" s="206">
        <v>41215</v>
      </c>
      <c r="J153" s="206" t="s">
        <v>3110</v>
      </c>
      <c r="K153" s="208" t="s">
        <v>1059</v>
      </c>
      <c r="L153" s="252">
        <v>12000000</v>
      </c>
      <c r="M153" s="252">
        <v>12000000</v>
      </c>
      <c r="N153" s="253"/>
      <c r="O153" s="254"/>
    </row>
    <row r="154" spans="2:15" s="198" customFormat="1" ht="14.1" customHeight="1">
      <c r="B154" s="250">
        <v>145</v>
      </c>
      <c r="C154" s="251"/>
      <c r="D154" s="200" t="s">
        <v>493</v>
      </c>
      <c r="E154" s="437" t="s">
        <v>214</v>
      </c>
      <c r="F154" s="251">
        <v>1</v>
      </c>
      <c r="G154" s="251">
        <v>1</v>
      </c>
      <c r="H154" s="209" t="s">
        <v>3111</v>
      </c>
      <c r="I154" s="206">
        <v>40071</v>
      </c>
      <c r="J154" s="206" t="s">
        <v>3117</v>
      </c>
      <c r="K154" s="208" t="s">
        <v>1059</v>
      </c>
      <c r="L154" s="252">
        <v>260000000</v>
      </c>
      <c r="M154" s="252">
        <v>260000000</v>
      </c>
      <c r="N154" s="253"/>
      <c r="O154" s="254"/>
    </row>
    <row r="155" spans="2:15" s="198" customFormat="1" ht="14.1" customHeight="1">
      <c r="B155" s="250">
        <v>146</v>
      </c>
      <c r="C155" s="251"/>
      <c r="D155" s="200" t="s">
        <v>493</v>
      </c>
      <c r="E155" s="437" t="s">
        <v>214</v>
      </c>
      <c r="F155" s="251">
        <v>1</v>
      </c>
      <c r="G155" s="251">
        <v>2</v>
      </c>
      <c r="H155" s="209" t="s">
        <v>3111</v>
      </c>
      <c r="I155" s="206">
        <v>40134</v>
      </c>
      <c r="J155" s="206" t="s">
        <v>3117</v>
      </c>
      <c r="K155" s="208" t="s">
        <v>1059</v>
      </c>
      <c r="L155" s="252">
        <v>195000000</v>
      </c>
      <c r="M155" s="252">
        <v>195000000</v>
      </c>
      <c r="N155" s="253"/>
      <c r="O155" s="254"/>
    </row>
    <row r="156" spans="2:15" s="198" customFormat="1" ht="14.1" customHeight="1">
      <c r="B156" s="250">
        <v>147</v>
      </c>
      <c r="C156" s="251"/>
      <c r="D156" s="200" t="s">
        <v>494</v>
      </c>
      <c r="E156" s="437" t="s">
        <v>109</v>
      </c>
      <c r="F156" s="251">
        <v>1</v>
      </c>
      <c r="G156" s="251">
        <v>1</v>
      </c>
      <c r="H156" s="209" t="s">
        <v>3111</v>
      </c>
      <c r="I156" s="206">
        <v>41330</v>
      </c>
      <c r="J156" s="206" t="s">
        <v>3110</v>
      </c>
      <c r="K156" s="208" t="s">
        <v>1059</v>
      </c>
      <c r="L156" s="252">
        <v>417600000</v>
      </c>
      <c r="M156" s="252">
        <v>417600000</v>
      </c>
      <c r="N156" s="253"/>
      <c r="O156" s="254"/>
    </row>
    <row r="157" spans="2:15" s="198" customFormat="1" ht="14.1" customHeight="1">
      <c r="B157" s="250">
        <v>148</v>
      </c>
      <c r="C157" s="251"/>
      <c r="D157" s="200" t="s">
        <v>495</v>
      </c>
      <c r="E157" s="437" t="s">
        <v>109</v>
      </c>
      <c r="F157" s="251">
        <v>1</v>
      </c>
      <c r="G157" s="251">
        <v>1</v>
      </c>
      <c r="H157" s="209" t="s">
        <v>3111</v>
      </c>
      <c r="I157" s="206">
        <v>37823</v>
      </c>
      <c r="J157" s="206" t="s">
        <v>3117</v>
      </c>
      <c r="K157" s="208" t="s">
        <v>1059</v>
      </c>
      <c r="L157" s="252">
        <v>109200000</v>
      </c>
      <c r="M157" s="252">
        <v>109200000</v>
      </c>
      <c r="N157" s="253"/>
      <c r="O157" s="254"/>
    </row>
    <row r="158" spans="2:15" s="198" customFormat="1" ht="14.1" customHeight="1">
      <c r="B158" s="250">
        <v>149</v>
      </c>
      <c r="C158" s="251"/>
      <c r="D158" s="200" t="s">
        <v>495</v>
      </c>
      <c r="E158" s="437" t="s">
        <v>109</v>
      </c>
      <c r="F158" s="251">
        <v>1</v>
      </c>
      <c r="G158" s="251">
        <v>2</v>
      </c>
      <c r="H158" s="209" t="s">
        <v>3111</v>
      </c>
      <c r="I158" s="206">
        <v>38859</v>
      </c>
      <c r="J158" s="206" t="s">
        <v>3117</v>
      </c>
      <c r="K158" s="208" t="s">
        <v>1059</v>
      </c>
      <c r="L158" s="252">
        <v>94800000</v>
      </c>
      <c r="M158" s="252">
        <v>94800000</v>
      </c>
      <c r="N158" s="253"/>
      <c r="O158" s="254"/>
    </row>
    <row r="159" spans="2:15" s="198" customFormat="1" ht="14.1" customHeight="1">
      <c r="B159" s="250">
        <v>150</v>
      </c>
      <c r="C159" s="251"/>
      <c r="D159" s="200" t="s">
        <v>495</v>
      </c>
      <c r="E159" s="437" t="s">
        <v>109</v>
      </c>
      <c r="F159" s="251">
        <v>1</v>
      </c>
      <c r="G159" s="251">
        <v>3</v>
      </c>
      <c r="H159" s="209" t="s">
        <v>3111</v>
      </c>
      <c r="I159" s="206">
        <v>39870</v>
      </c>
      <c r="J159" s="206" t="s">
        <v>3110</v>
      </c>
      <c r="K159" s="208" t="s">
        <v>1059</v>
      </c>
      <c r="L159" s="252">
        <v>69600000</v>
      </c>
      <c r="M159" s="252">
        <v>69600000</v>
      </c>
      <c r="N159" s="253"/>
      <c r="O159" s="254"/>
    </row>
    <row r="160" spans="2:15" s="198" customFormat="1" ht="14.1" customHeight="1">
      <c r="B160" s="250">
        <v>151</v>
      </c>
      <c r="C160" s="251"/>
      <c r="D160" s="200" t="s">
        <v>495</v>
      </c>
      <c r="E160" s="437" t="s">
        <v>109</v>
      </c>
      <c r="F160" s="251">
        <v>1</v>
      </c>
      <c r="G160" s="251">
        <v>4</v>
      </c>
      <c r="H160" s="209" t="s">
        <v>3111</v>
      </c>
      <c r="I160" s="206">
        <v>40317</v>
      </c>
      <c r="J160" s="206" t="s">
        <v>3110</v>
      </c>
      <c r="K160" s="208" t="s">
        <v>1059</v>
      </c>
      <c r="L160" s="252">
        <v>24000000</v>
      </c>
      <c r="M160" s="252">
        <v>24000000</v>
      </c>
      <c r="N160" s="253"/>
      <c r="O160" s="254"/>
    </row>
    <row r="161" spans="2:15" s="198" customFormat="1" ht="14.1" customHeight="1">
      <c r="B161" s="250">
        <v>152</v>
      </c>
      <c r="C161" s="251"/>
      <c r="D161" s="200" t="s">
        <v>495</v>
      </c>
      <c r="E161" s="437" t="s">
        <v>109</v>
      </c>
      <c r="F161" s="251">
        <v>1</v>
      </c>
      <c r="G161" s="251">
        <v>5</v>
      </c>
      <c r="H161" s="209" t="s">
        <v>3111</v>
      </c>
      <c r="I161" s="206">
        <v>41059</v>
      </c>
      <c r="J161" s="206" t="s">
        <v>3110</v>
      </c>
      <c r="K161" s="208" t="s">
        <v>1059</v>
      </c>
      <c r="L161" s="252">
        <v>48000000</v>
      </c>
      <c r="M161" s="252">
        <v>48000000</v>
      </c>
      <c r="N161" s="253"/>
      <c r="O161" s="254"/>
    </row>
    <row r="162" spans="2:15" s="198" customFormat="1" ht="14.1" customHeight="1">
      <c r="B162" s="250">
        <v>153</v>
      </c>
      <c r="C162" s="251"/>
      <c r="D162" s="200" t="s">
        <v>495</v>
      </c>
      <c r="E162" s="437" t="s">
        <v>109</v>
      </c>
      <c r="F162" s="251">
        <v>1</v>
      </c>
      <c r="G162" s="251">
        <v>6</v>
      </c>
      <c r="H162" s="209" t="s">
        <v>3111</v>
      </c>
      <c r="I162" s="206">
        <v>41246</v>
      </c>
      <c r="J162" s="206" t="s">
        <v>3110</v>
      </c>
      <c r="K162" s="208" t="s">
        <v>1059</v>
      </c>
      <c r="L162" s="252">
        <v>48000000</v>
      </c>
      <c r="M162" s="252">
        <v>48000000</v>
      </c>
      <c r="N162" s="253"/>
      <c r="O162" s="254"/>
    </row>
    <row r="163" spans="2:15" s="198" customFormat="1" ht="14.1" customHeight="1">
      <c r="B163" s="250">
        <v>154</v>
      </c>
      <c r="C163" s="251"/>
      <c r="D163" s="200" t="s">
        <v>496</v>
      </c>
      <c r="E163" s="437" t="s">
        <v>194</v>
      </c>
      <c r="F163" s="251">
        <v>1</v>
      </c>
      <c r="G163" s="251">
        <v>1</v>
      </c>
      <c r="H163" s="209" t="s">
        <v>3111</v>
      </c>
      <c r="I163" s="206">
        <v>41908</v>
      </c>
      <c r="J163" s="206" t="s">
        <v>3110</v>
      </c>
      <c r="K163" s="208" t="s">
        <v>1059</v>
      </c>
      <c r="L163" s="252">
        <v>379200000</v>
      </c>
      <c r="M163" s="252">
        <v>379200000</v>
      </c>
      <c r="N163" s="253"/>
      <c r="O163" s="254"/>
    </row>
    <row r="164" spans="2:15" s="198" customFormat="1" ht="14.1" customHeight="1">
      <c r="B164" s="250">
        <v>155</v>
      </c>
      <c r="C164" s="251"/>
      <c r="D164" s="200" t="s">
        <v>497</v>
      </c>
      <c r="E164" s="437" t="s">
        <v>175</v>
      </c>
      <c r="F164" s="251">
        <v>1</v>
      </c>
      <c r="G164" s="251">
        <v>1</v>
      </c>
      <c r="H164" s="209" t="s">
        <v>3133</v>
      </c>
      <c r="I164" s="206">
        <v>37992</v>
      </c>
      <c r="J164" s="206" t="s">
        <v>3114</v>
      </c>
      <c r="K164" s="208" t="s">
        <v>1059</v>
      </c>
      <c r="L164" s="252">
        <v>240000000</v>
      </c>
      <c r="M164" s="252">
        <v>240000000</v>
      </c>
      <c r="N164" s="253"/>
      <c r="O164" s="254" t="s">
        <v>3149</v>
      </c>
    </row>
    <row r="165" spans="2:15" s="198" customFormat="1" ht="14.1" customHeight="1">
      <c r="B165" s="250">
        <v>156</v>
      </c>
      <c r="C165" s="251"/>
      <c r="D165" s="200" t="s">
        <v>497</v>
      </c>
      <c r="E165" s="437" t="s">
        <v>175</v>
      </c>
      <c r="F165" s="251">
        <v>1</v>
      </c>
      <c r="G165" s="251">
        <v>2</v>
      </c>
      <c r="H165" s="209" t="s">
        <v>3111</v>
      </c>
      <c r="I165" s="206">
        <v>38722</v>
      </c>
      <c r="J165" s="206" t="s">
        <v>3110</v>
      </c>
      <c r="K165" s="208" t="s">
        <v>1059</v>
      </c>
      <c r="L165" s="252">
        <v>91000000</v>
      </c>
      <c r="M165" s="252">
        <v>91000000</v>
      </c>
      <c r="N165" s="253"/>
      <c r="O165" s="254" t="s">
        <v>3148</v>
      </c>
    </row>
    <row r="166" spans="2:15" s="198" customFormat="1" ht="14.1" customHeight="1">
      <c r="B166" s="250">
        <v>157</v>
      </c>
      <c r="C166" s="251"/>
      <c r="D166" s="200" t="s">
        <v>497</v>
      </c>
      <c r="E166" s="437" t="s">
        <v>175</v>
      </c>
      <c r="F166" s="251">
        <v>1</v>
      </c>
      <c r="G166" s="251">
        <v>3</v>
      </c>
      <c r="H166" s="209" t="s">
        <v>3111</v>
      </c>
      <c r="I166" s="206">
        <v>39342</v>
      </c>
      <c r="J166" s="206" t="s">
        <v>3150</v>
      </c>
      <c r="K166" s="208" t="s">
        <v>1059</v>
      </c>
      <c r="L166" s="252">
        <v>130000000</v>
      </c>
      <c r="M166" s="252">
        <v>130000000</v>
      </c>
      <c r="N166" s="253"/>
      <c r="O166" s="254" t="s">
        <v>3151</v>
      </c>
    </row>
    <row r="167" spans="2:15" s="198" customFormat="1" ht="14.1" customHeight="1">
      <c r="B167" s="250">
        <v>158</v>
      </c>
      <c r="C167" s="251"/>
      <c r="D167" s="200" t="s">
        <v>497</v>
      </c>
      <c r="E167" s="437" t="s">
        <v>175</v>
      </c>
      <c r="F167" s="251">
        <v>1</v>
      </c>
      <c r="G167" s="251">
        <v>4</v>
      </c>
      <c r="H167" s="209" t="s">
        <v>3111</v>
      </c>
      <c r="I167" s="206">
        <v>39373</v>
      </c>
      <c r="J167" s="206" t="s">
        <v>3117</v>
      </c>
      <c r="K167" s="208" t="s">
        <v>1059</v>
      </c>
      <c r="L167" s="252">
        <v>130000000</v>
      </c>
      <c r="M167" s="252">
        <v>130000000</v>
      </c>
      <c r="N167" s="253"/>
      <c r="O167" s="254"/>
    </row>
    <row r="168" spans="2:15" s="198" customFormat="1" ht="14.1" customHeight="1">
      <c r="B168" s="250">
        <v>159</v>
      </c>
      <c r="C168" s="251"/>
      <c r="D168" s="200" t="s">
        <v>497</v>
      </c>
      <c r="E168" s="437" t="s">
        <v>175</v>
      </c>
      <c r="F168" s="251">
        <v>2</v>
      </c>
      <c r="G168" s="251">
        <v>1</v>
      </c>
      <c r="H168" s="209" t="s">
        <v>3111</v>
      </c>
      <c r="I168" s="206">
        <v>39519</v>
      </c>
      <c r="J168" s="206" t="s">
        <v>3110</v>
      </c>
      <c r="K168" s="208" t="s">
        <v>1059</v>
      </c>
      <c r="L168" s="252">
        <v>144000000</v>
      </c>
      <c r="M168" s="252">
        <v>144000000</v>
      </c>
      <c r="N168" s="253"/>
      <c r="O168" s="254"/>
    </row>
    <row r="169" spans="2:15" s="198" customFormat="1" ht="14.1" customHeight="1">
      <c r="B169" s="250">
        <v>160</v>
      </c>
      <c r="C169" s="251"/>
      <c r="D169" s="200" t="s">
        <v>498</v>
      </c>
      <c r="E169" s="437" t="s">
        <v>183</v>
      </c>
      <c r="F169" s="251">
        <v>1</v>
      </c>
      <c r="G169" s="251">
        <v>1</v>
      </c>
      <c r="H169" s="209" t="s">
        <v>3111</v>
      </c>
      <c r="I169" s="206">
        <v>41604</v>
      </c>
      <c r="J169" s="206" t="s">
        <v>3110</v>
      </c>
      <c r="K169" s="208" t="s">
        <v>1059</v>
      </c>
      <c r="L169" s="252">
        <v>97500000</v>
      </c>
      <c r="M169" s="252">
        <v>97500000</v>
      </c>
      <c r="N169" s="253" t="s">
        <v>3127</v>
      </c>
      <c r="O169" s="254"/>
    </row>
    <row r="170" spans="2:15" s="198" customFormat="1" ht="14.1" customHeight="1">
      <c r="B170" s="250">
        <v>161</v>
      </c>
      <c r="C170" s="251"/>
      <c r="D170" s="200" t="s">
        <v>498</v>
      </c>
      <c r="E170" s="437" t="s">
        <v>183</v>
      </c>
      <c r="F170" s="251">
        <v>2</v>
      </c>
      <c r="G170" s="251">
        <v>1</v>
      </c>
      <c r="H170" s="209" t="s">
        <v>3111</v>
      </c>
      <c r="I170" s="206">
        <v>41604</v>
      </c>
      <c r="J170" s="206" t="s">
        <v>3110</v>
      </c>
      <c r="K170" s="208" t="s">
        <v>1059</v>
      </c>
      <c r="L170" s="252">
        <v>97500000</v>
      </c>
      <c r="M170" s="252">
        <v>97500000</v>
      </c>
      <c r="N170" s="253" t="s">
        <v>3127</v>
      </c>
      <c r="O170" s="254"/>
    </row>
    <row r="171" spans="2:15" s="198" customFormat="1" ht="14.1" customHeight="1">
      <c r="B171" s="250">
        <v>162</v>
      </c>
      <c r="C171" s="251"/>
      <c r="D171" s="200" t="s">
        <v>498</v>
      </c>
      <c r="E171" s="437" t="s">
        <v>183</v>
      </c>
      <c r="F171" s="251">
        <v>3</v>
      </c>
      <c r="G171" s="251">
        <v>1</v>
      </c>
      <c r="H171" s="209" t="s">
        <v>3111</v>
      </c>
      <c r="I171" s="206">
        <v>41604</v>
      </c>
      <c r="J171" s="206" t="s">
        <v>3110</v>
      </c>
      <c r="K171" s="208" t="s">
        <v>1059</v>
      </c>
      <c r="L171" s="252">
        <v>97500000</v>
      </c>
      <c r="M171" s="252">
        <v>97500000</v>
      </c>
      <c r="N171" s="253" t="s">
        <v>3127</v>
      </c>
      <c r="O171" s="254"/>
    </row>
    <row r="172" spans="2:15" s="198" customFormat="1" ht="14.1" customHeight="1">
      <c r="B172" s="250">
        <v>163</v>
      </c>
      <c r="C172" s="251"/>
      <c r="D172" s="200" t="s">
        <v>498</v>
      </c>
      <c r="E172" s="437" t="s">
        <v>183</v>
      </c>
      <c r="F172" s="251">
        <v>4</v>
      </c>
      <c r="G172" s="251">
        <v>1</v>
      </c>
      <c r="H172" s="209" t="s">
        <v>3111</v>
      </c>
      <c r="I172" s="206">
        <v>41604</v>
      </c>
      <c r="J172" s="206" t="s">
        <v>3110</v>
      </c>
      <c r="K172" s="208" t="s">
        <v>1059</v>
      </c>
      <c r="L172" s="252">
        <v>97500000</v>
      </c>
      <c r="M172" s="252">
        <v>97500000</v>
      </c>
      <c r="N172" s="253" t="s">
        <v>3127</v>
      </c>
      <c r="O172" s="254"/>
    </row>
    <row r="173" spans="2:15" s="198" customFormat="1" ht="14.1" customHeight="1">
      <c r="B173" s="250">
        <v>164</v>
      </c>
      <c r="C173" s="251"/>
      <c r="D173" s="200" t="s">
        <v>499</v>
      </c>
      <c r="E173" s="437" t="s">
        <v>109</v>
      </c>
      <c r="F173" s="251">
        <v>1</v>
      </c>
      <c r="G173" s="251">
        <v>1</v>
      </c>
      <c r="H173" s="209" t="s">
        <v>3111</v>
      </c>
      <c r="I173" s="206">
        <v>41960</v>
      </c>
      <c r="J173" s="206" t="s">
        <v>3110</v>
      </c>
      <c r="K173" s="208" t="s">
        <v>1059</v>
      </c>
      <c r="L173" s="252">
        <v>320000000</v>
      </c>
      <c r="M173" s="252">
        <v>320000000</v>
      </c>
      <c r="N173" s="253"/>
      <c r="O173" s="254"/>
    </row>
    <row r="174" spans="2:15" s="198" customFormat="1" ht="14.1" customHeight="1">
      <c r="B174" s="250">
        <v>165</v>
      </c>
      <c r="C174" s="251"/>
      <c r="D174" s="200" t="s">
        <v>499</v>
      </c>
      <c r="E174" s="437" t="s">
        <v>109</v>
      </c>
      <c r="F174" s="251">
        <v>1</v>
      </c>
      <c r="G174" s="251">
        <v>2</v>
      </c>
      <c r="H174" s="209" t="s">
        <v>3111</v>
      </c>
      <c r="I174" s="206">
        <v>41969</v>
      </c>
      <c r="J174" s="206" t="s">
        <v>3110</v>
      </c>
      <c r="K174" s="208" t="s">
        <v>1059</v>
      </c>
      <c r="L174" s="252">
        <v>64000000</v>
      </c>
      <c r="M174" s="252">
        <v>64000000</v>
      </c>
      <c r="N174" s="253"/>
      <c r="O174" s="254"/>
    </row>
    <row r="175" spans="2:15" s="198" customFormat="1" ht="14.1" customHeight="1">
      <c r="B175" s="250">
        <v>166</v>
      </c>
      <c r="C175" s="251"/>
      <c r="D175" s="200" t="s">
        <v>500</v>
      </c>
      <c r="E175" s="437" t="s">
        <v>130</v>
      </c>
      <c r="F175" s="251">
        <v>1</v>
      </c>
      <c r="G175" s="251">
        <v>1</v>
      </c>
      <c r="H175" s="209" t="s">
        <v>3111</v>
      </c>
      <c r="I175" s="206">
        <v>38464</v>
      </c>
      <c r="J175" s="206" t="s">
        <v>3117</v>
      </c>
      <c r="K175" s="208" t="s">
        <v>1059</v>
      </c>
      <c r="L175" s="252">
        <v>240000000</v>
      </c>
      <c r="M175" s="252">
        <v>240000000</v>
      </c>
      <c r="N175" s="253"/>
      <c r="O175" s="254"/>
    </row>
    <row r="176" spans="2:15" s="198" customFormat="1" ht="14.1" customHeight="1">
      <c r="B176" s="250">
        <v>167</v>
      </c>
      <c r="C176" s="251"/>
      <c r="D176" s="200" t="s">
        <v>500</v>
      </c>
      <c r="E176" s="437" t="s">
        <v>130</v>
      </c>
      <c r="F176" s="251">
        <v>1</v>
      </c>
      <c r="G176" s="251">
        <v>2</v>
      </c>
      <c r="H176" s="209" t="s">
        <v>3111</v>
      </c>
      <c r="I176" s="206">
        <v>38524</v>
      </c>
      <c r="J176" s="206" t="s">
        <v>3117</v>
      </c>
      <c r="K176" s="208" t="s">
        <v>1059</v>
      </c>
      <c r="L176" s="252">
        <v>24000000</v>
      </c>
      <c r="M176" s="252">
        <v>24000000</v>
      </c>
      <c r="N176" s="253"/>
      <c r="O176" s="254"/>
    </row>
    <row r="177" spans="2:15" s="198" customFormat="1" ht="14.1" customHeight="1">
      <c r="B177" s="250">
        <v>168</v>
      </c>
      <c r="C177" s="251"/>
      <c r="D177" s="200" t="s">
        <v>500</v>
      </c>
      <c r="E177" s="437" t="s">
        <v>130</v>
      </c>
      <c r="F177" s="251">
        <v>1</v>
      </c>
      <c r="G177" s="251">
        <v>3</v>
      </c>
      <c r="H177" s="209" t="s">
        <v>3111</v>
      </c>
      <c r="I177" s="206">
        <v>38651</v>
      </c>
      <c r="J177" s="206" t="s">
        <v>3117</v>
      </c>
      <c r="K177" s="208" t="s">
        <v>1059</v>
      </c>
      <c r="L177" s="252">
        <v>103200000</v>
      </c>
      <c r="M177" s="252">
        <v>103200000</v>
      </c>
      <c r="N177" s="253"/>
      <c r="O177" s="254"/>
    </row>
    <row r="178" spans="2:15" s="198" customFormat="1" ht="14.1" customHeight="1">
      <c r="B178" s="250">
        <v>169</v>
      </c>
      <c r="C178" s="251"/>
      <c r="D178" s="200" t="s">
        <v>500</v>
      </c>
      <c r="E178" s="437" t="s">
        <v>130</v>
      </c>
      <c r="F178" s="251">
        <v>1</v>
      </c>
      <c r="G178" s="251">
        <v>4</v>
      </c>
      <c r="H178" s="209" t="s">
        <v>3111</v>
      </c>
      <c r="I178" s="206">
        <v>38799</v>
      </c>
      <c r="J178" s="206" t="s">
        <v>3117</v>
      </c>
      <c r="K178" s="208" t="s">
        <v>1059</v>
      </c>
      <c r="L178" s="252">
        <v>46800000</v>
      </c>
      <c r="M178" s="252">
        <v>46800000</v>
      </c>
      <c r="N178" s="253"/>
      <c r="O178" s="254"/>
    </row>
    <row r="179" spans="2:15" s="198" customFormat="1" ht="14.1" customHeight="1">
      <c r="B179" s="250">
        <v>170</v>
      </c>
      <c r="C179" s="251"/>
      <c r="D179" s="200" t="s">
        <v>501</v>
      </c>
      <c r="E179" s="437" t="s">
        <v>664</v>
      </c>
      <c r="F179" s="251">
        <v>1</v>
      </c>
      <c r="G179" s="251">
        <v>1</v>
      </c>
      <c r="H179" s="209" t="s">
        <v>3111</v>
      </c>
      <c r="I179" s="206">
        <v>39385</v>
      </c>
      <c r="J179" s="206" t="s">
        <v>3117</v>
      </c>
      <c r="K179" s="208" t="s">
        <v>1059</v>
      </c>
      <c r="L179" s="252">
        <v>384000000</v>
      </c>
      <c r="M179" s="252">
        <v>384000000</v>
      </c>
      <c r="N179" s="253"/>
      <c r="O179" s="254"/>
    </row>
    <row r="180" spans="2:15" s="198" customFormat="1" ht="14.1" customHeight="1">
      <c r="B180" s="250">
        <v>171</v>
      </c>
      <c r="C180" s="251"/>
      <c r="D180" s="200" t="s">
        <v>502</v>
      </c>
      <c r="E180" s="437" t="s">
        <v>109</v>
      </c>
      <c r="F180" s="251">
        <v>1</v>
      </c>
      <c r="G180" s="251">
        <v>1</v>
      </c>
      <c r="H180" s="209" t="s">
        <v>3111</v>
      </c>
      <c r="I180" s="206">
        <v>40436</v>
      </c>
      <c r="J180" s="206" t="s">
        <v>3110</v>
      </c>
      <c r="K180" s="208" t="s">
        <v>1059</v>
      </c>
      <c r="L180" s="252">
        <v>360000000</v>
      </c>
      <c r="M180" s="252">
        <v>360000000</v>
      </c>
      <c r="N180" s="253"/>
      <c r="O180" s="254"/>
    </row>
    <row r="181" spans="2:15" s="198" customFormat="1" ht="14.1" customHeight="1">
      <c r="B181" s="250">
        <v>172</v>
      </c>
      <c r="C181" s="251"/>
      <c r="D181" s="200" t="s">
        <v>503</v>
      </c>
      <c r="E181" s="437" t="s">
        <v>661</v>
      </c>
      <c r="F181" s="251">
        <v>1</v>
      </c>
      <c r="G181" s="251">
        <v>1</v>
      </c>
      <c r="H181" s="209" t="s">
        <v>3111</v>
      </c>
      <c r="I181" s="206">
        <v>40099</v>
      </c>
      <c r="J181" s="206" t="s">
        <v>3110</v>
      </c>
      <c r="K181" s="208" t="s">
        <v>1059</v>
      </c>
      <c r="L181" s="252">
        <v>360000000</v>
      </c>
      <c r="M181" s="252">
        <v>360000000</v>
      </c>
      <c r="N181" s="253"/>
      <c r="O181" s="254"/>
    </row>
    <row r="182" spans="2:15" s="198" customFormat="1" ht="14.1" customHeight="1">
      <c r="B182" s="250">
        <v>173</v>
      </c>
      <c r="C182" s="251"/>
      <c r="D182" s="200" t="s">
        <v>504</v>
      </c>
      <c r="E182" s="437" t="s">
        <v>152</v>
      </c>
      <c r="F182" s="251">
        <v>1</v>
      </c>
      <c r="G182" s="251">
        <v>1</v>
      </c>
      <c r="H182" s="209" t="s">
        <v>3111</v>
      </c>
      <c r="I182" s="206">
        <v>40455</v>
      </c>
      <c r="J182" s="206" t="s">
        <v>3110</v>
      </c>
      <c r="K182" s="208" t="s">
        <v>1059</v>
      </c>
      <c r="L182" s="252">
        <v>358800000</v>
      </c>
      <c r="M182" s="252">
        <v>358800000</v>
      </c>
      <c r="N182" s="253"/>
      <c r="O182" s="254"/>
    </row>
    <row r="183" spans="2:15" s="198" customFormat="1" ht="14.1" customHeight="1">
      <c r="B183" s="250">
        <v>174</v>
      </c>
      <c r="C183" s="251"/>
      <c r="D183" s="200" t="s">
        <v>505</v>
      </c>
      <c r="E183" s="437" t="s">
        <v>152</v>
      </c>
      <c r="F183" s="251">
        <v>1</v>
      </c>
      <c r="G183" s="251">
        <v>1</v>
      </c>
      <c r="H183" s="209" t="s">
        <v>3111</v>
      </c>
      <c r="I183" s="206">
        <v>38817</v>
      </c>
      <c r="J183" s="206" t="s">
        <v>3117</v>
      </c>
      <c r="K183" s="208" t="s">
        <v>1059</v>
      </c>
      <c r="L183" s="252">
        <v>352800000</v>
      </c>
      <c r="M183" s="252">
        <v>352800000</v>
      </c>
      <c r="N183" s="253"/>
      <c r="O183" s="254"/>
    </row>
    <row r="184" spans="2:15" s="198" customFormat="1" ht="14.1" customHeight="1">
      <c r="B184" s="250">
        <v>175</v>
      </c>
      <c r="C184" s="251"/>
      <c r="D184" s="200" t="s">
        <v>506</v>
      </c>
      <c r="E184" s="437" t="s">
        <v>157</v>
      </c>
      <c r="F184" s="251">
        <v>1</v>
      </c>
      <c r="G184" s="251">
        <v>1</v>
      </c>
      <c r="H184" s="209" t="s">
        <v>3111</v>
      </c>
      <c r="I184" s="206">
        <v>41390</v>
      </c>
      <c r="J184" s="206" t="s">
        <v>3110</v>
      </c>
      <c r="K184" s="208" t="s">
        <v>1059</v>
      </c>
      <c r="L184" s="252">
        <v>333000000</v>
      </c>
      <c r="M184" s="252">
        <v>333000000</v>
      </c>
      <c r="N184" s="253"/>
      <c r="O184" s="254"/>
    </row>
    <row r="185" spans="2:15" s="198" customFormat="1" ht="14.1" customHeight="1">
      <c r="B185" s="250">
        <v>176</v>
      </c>
      <c r="C185" s="251"/>
      <c r="D185" s="200" t="s">
        <v>507</v>
      </c>
      <c r="E185" s="437" t="s">
        <v>168</v>
      </c>
      <c r="F185" s="251">
        <v>1</v>
      </c>
      <c r="G185" s="251">
        <v>1</v>
      </c>
      <c r="H185" s="209" t="s">
        <v>3111</v>
      </c>
      <c r="I185" s="206">
        <v>41453</v>
      </c>
      <c r="J185" s="206" t="s">
        <v>3110</v>
      </c>
      <c r="K185" s="208" t="s">
        <v>1059</v>
      </c>
      <c r="L185" s="252">
        <v>332400000</v>
      </c>
      <c r="M185" s="252">
        <v>332400000</v>
      </c>
      <c r="N185" s="253"/>
      <c r="O185" s="254"/>
    </row>
    <row r="186" spans="2:15" s="198" customFormat="1" ht="14.1" customHeight="1">
      <c r="B186" s="250">
        <v>177</v>
      </c>
      <c r="C186" s="251"/>
      <c r="D186" s="200" t="s">
        <v>508</v>
      </c>
      <c r="E186" s="437" t="s">
        <v>211</v>
      </c>
      <c r="F186" s="251">
        <v>1</v>
      </c>
      <c r="G186" s="251">
        <v>1</v>
      </c>
      <c r="H186" s="209" t="s">
        <v>3111</v>
      </c>
      <c r="I186" s="206">
        <v>40659</v>
      </c>
      <c r="J186" s="206" t="s">
        <v>3110</v>
      </c>
      <c r="K186" s="208" t="s">
        <v>1059</v>
      </c>
      <c r="L186" s="252">
        <v>330000000</v>
      </c>
      <c r="M186" s="252">
        <v>330000000</v>
      </c>
      <c r="N186" s="253"/>
      <c r="O186" s="254"/>
    </row>
    <row r="187" spans="2:15" s="198" customFormat="1" ht="14.1" customHeight="1">
      <c r="B187" s="250">
        <v>178</v>
      </c>
      <c r="C187" s="251"/>
      <c r="D187" s="200" t="s">
        <v>509</v>
      </c>
      <c r="E187" s="437" t="s">
        <v>130</v>
      </c>
      <c r="F187" s="251">
        <v>1</v>
      </c>
      <c r="G187" s="251">
        <v>1</v>
      </c>
      <c r="H187" s="209" t="s">
        <v>3111</v>
      </c>
      <c r="I187" s="206">
        <v>40066</v>
      </c>
      <c r="J187" s="206" t="s">
        <v>3110</v>
      </c>
      <c r="K187" s="208" t="s">
        <v>1059</v>
      </c>
      <c r="L187" s="252">
        <v>310800000</v>
      </c>
      <c r="M187" s="252">
        <v>310800000</v>
      </c>
      <c r="N187" s="253"/>
      <c r="O187" s="254"/>
    </row>
    <row r="188" spans="2:15" s="198" customFormat="1" ht="14.1" customHeight="1">
      <c r="B188" s="250">
        <v>179</v>
      </c>
      <c r="C188" s="251"/>
      <c r="D188" s="200" t="s">
        <v>510</v>
      </c>
      <c r="E188" s="437" t="s">
        <v>130</v>
      </c>
      <c r="F188" s="251">
        <v>1</v>
      </c>
      <c r="G188" s="251">
        <v>1</v>
      </c>
      <c r="H188" s="209" t="s">
        <v>3111</v>
      </c>
      <c r="I188" s="206">
        <v>41948</v>
      </c>
      <c r="J188" s="206" t="s">
        <v>3110</v>
      </c>
      <c r="K188" s="208" t="s">
        <v>1059</v>
      </c>
      <c r="L188" s="252">
        <v>298200000</v>
      </c>
      <c r="M188" s="252">
        <v>298200000</v>
      </c>
      <c r="N188" s="253"/>
      <c r="O188" s="254"/>
    </row>
    <row r="189" spans="2:15" s="198" customFormat="1" ht="14.1" customHeight="1">
      <c r="B189" s="250">
        <v>180</v>
      </c>
      <c r="C189" s="251"/>
      <c r="D189" s="200" t="s">
        <v>511</v>
      </c>
      <c r="E189" s="437" t="s">
        <v>665</v>
      </c>
      <c r="F189" s="251">
        <v>1</v>
      </c>
      <c r="G189" s="251">
        <v>1</v>
      </c>
      <c r="H189" s="209" t="s">
        <v>3111</v>
      </c>
      <c r="I189" s="206">
        <v>40878</v>
      </c>
      <c r="J189" s="206" t="s">
        <v>3110</v>
      </c>
      <c r="K189" s="208" t="s">
        <v>1059</v>
      </c>
      <c r="L189" s="252">
        <v>298920000</v>
      </c>
      <c r="M189" s="252">
        <v>298920000</v>
      </c>
      <c r="N189" s="253"/>
      <c r="O189" s="254"/>
    </row>
    <row r="190" spans="2:15" s="198" customFormat="1" ht="14.1" customHeight="1">
      <c r="B190" s="250">
        <v>181</v>
      </c>
      <c r="C190" s="251"/>
      <c r="D190" s="200" t="s">
        <v>512</v>
      </c>
      <c r="E190" s="437" t="s">
        <v>152</v>
      </c>
      <c r="F190" s="251">
        <v>1</v>
      </c>
      <c r="G190" s="251">
        <v>1</v>
      </c>
      <c r="H190" s="209" t="s">
        <v>3111</v>
      </c>
      <c r="I190" s="206">
        <v>41926</v>
      </c>
      <c r="J190" s="206" t="s">
        <v>3110</v>
      </c>
      <c r="K190" s="208" t="s">
        <v>1059</v>
      </c>
      <c r="L190" s="252">
        <v>300000000</v>
      </c>
      <c r="M190" s="252">
        <v>300000000</v>
      </c>
      <c r="N190" s="253"/>
      <c r="O190" s="254"/>
    </row>
    <row r="191" spans="2:15" s="198" customFormat="1" ht="14.1" customHeight="1">
      <c r="B191" s="250">
        <v>182</v>
      </c>
      <c r="C191" s="251"/>
      <c r="D191" s="200" t="s">
        <v>513</v>
      </c>
      <c r="E191" s="437" t="s">
        <v>152</v>
      </c>
      <c r="F191" s="251">
        <v>1</v>
      </c>
      <c r="G191" s="251">
        <v>1</v>
      </c>
      <c r="H191" s="209" t="s">
        <v>3111</v>
      </c>
      <c r="I191" s="206">
        <v>36613</v>
      </c>
      <c r="J191" s="206" t="s">
        <v>3117</v>
      </c>
      <c r="K191" s="208" t="s">
        <v>1059</v>
      </c>
      <c r="L191" s="252">
        <v>132600000</v>
      </c>
      <c r="M191" s="252">
        <v>132600000</v>
      </c>
      <c r="N191" s="253"/>
      <c r="O191" s="254"/>
    </row>
    <row r="192" spans="2:15" s="198" customFormat="1" ht="14.1" customHeight="1">
      <c r="B192" s="250">
        <v>183</v>
      </c>
      <c r="C192" s="251"/>
      <c r="D192" s="200" t="s">
        <v>513</v>
      </c>
      <c r="E192" s="437" t="s">
        <v>152</v>
      </c>
      <c r="F192" s="251">
        <v>1</v>
      </c>
      <c r="G192" s="251">
        <v>2</v>
      </c>
      <c r="H192" s="209" t="s">
        <v>3111</v>
      </c>
      <c r="I192" s="206">
        <v>38026</v>
      </c>
      <c r="J192" s="206" t="s">
        <v>3117</v>
      </c>
      <c r="K192" s="208" t="s">
        <v>1059</v>
      </c>
      <c r="L192" s="252">
        <v>60000000</v>
      </c>
      <c r="M192" s="252">
        <v>60000000</v>
      </c>
      <c r="N192" s="253"/>
      <c r="O192" s="254"/>
    </row>
    <row r="193" spans="2:15" s="198" customFormat="1" ht="14.1" customHeight="1">
      <c r="B193" s="250">
        <v>184</v>
      </c>
      <c r="C193" s="251"/>
      <c r="D193" s="200" t="s">
        <v>514</v>
      </c>
      <c r="E193" s="437" t="s">
        <v>666</v>
      </c>
      <c r="F193" s="251">
        <v>1</v>
      </c>
      <c r="G193" s="251">
        <v>1</v>
      </c>
      <c r="H193" s="209" t="s">
        <v>3111</v>
      </c>
      <c r="I193" s="206">
        <v>41935</v>
      </c>
      <c r="J193" s="206" t="s">
        <v>3110</v>
      </c>
      <c r="K193" s="208" t="s">
        <v>1059</v>
      </c>
      <c r="L193" s="252">
        <v>336000000</v>
      </c>
      <c r="M193" s="252">
        <v>336000000</v>
      </c>
      <c r="N193" s="253"/>
      <c r="O193" s="254"/>
    </row>
    <row r="194" spans="2:15" s="198" customFormat="1" ht="14.1" customHeight="1">
      <c r="B194" s="250">
        <v>185</v>
      </c>
      <c r="C194" s="251"/>
      <c r="D194" s="200" t="s">
        <v>515</v>
      </c>
      <c r="E194" s="437" t="s">
        <v>148</v>
      </c>
      <c r="F194" s="251">
        <v>1</v>
      </c>
      <c r="G194" s="251">
        <v>1</v>
      </c>
      <c r="H194" s="209" t="s">
        <v>3111</v>
      </c>
      <c r="I194" s="206">
        <v>40696</v>
      </c>
      <c r="J194" s="206" t="s">
        <v>3110</v>
      </c>
      <c r="K194" s="208" t="s">
        <v>1059</v>
      </c>
      <c r="L194" s="252">
        <v>272400000</v>
      </c>
      <c r="M194" s="252">
        <v>272400000</v>
      </c>
      <c r="N194" s="253"/>
      <c r="O194" s="254"/>
    </row>
    <row r="195" spans="2:15" s="198" customFormat="1" ht="14.1" customHeight="1">
      <c r="B195" s="250">
        <v>186</v>
      </c>
      <c r="C195" s="251"/>
      <c r="D195" s="200" t="s">
        <v>516</v>
      </c>
      <c r="E195" s="437" t="s">
        <v>152</v>
      </c>
      <c r="F195" s="251">
        <v>1</v>
      </c>
      <c r="G195" s="251">
        <v>1</v>
      </c>
      <c r="H195" s="209" t="s">
        <v>3111</v>
      </c>
      <c r="I195" s="206">
        <v>41922</v>
      </c>
      <c r="J195" s="206" t="s">
        <v>3110</v>
      </c>
      <c r="K195" s="208" t="s">
        <v>1059</v>
      </c>
      <c r="L195" s="252">
        <v>268800000</v>
      </c>
      <c r="M195" s="252">
        <v>268800000</v>
      </c>
      <c r="N195" s="253"/>
      <c r="O195" s="254"/>
    </row>
    <row r="196" spans="2:15" s="198" customFormat="1" ht="14.1" customHeight="1">
      <c r="B196" s="250">
        <v>187</v>
      </c>
      <c r="C196" s="251"/>
      <c r="D196" s="200" t="s">
        <v>517</v>
      </c>
      <c r="E196" s="437" t="s">
        <v>205</v>
      </c>
      <c r="F196" s="251">
        <v>1</v>
      </c>
      <c r="G196" s="251">
        <v>1</v>
      </c>
      <c r="H196" s="209" t="s">
        <v>3111</v>
      </c>
      <c r="I196" s="206">
        <v>36419</v>
      </c>
      <c r="J196" s="206" t="s">
        <v>2979</v>
      </c>
      <c r="K196" s="208" t="s">
        <v>1059</v>
      </c>
      <c r="L196" s="252">
        <v>91000000</v>
      </c>
      <c r="M196" s="252">
        <v>91000000</v>
      </c>
      <c r="N196" s="253"/>
      <c r="O196" s="254"/>
    </row>
    <row r="197" spans="2:15" s="198" customFormat="1" ht="14.1" customHeight="1">
      <c r="B197" s="250">
        <v>188</v>
      </c>
      <c r="C197" s="251"/>
      <c r="D197" s="200" t="s">
        <v>517</v>
      </c>
      <c r="E197" s="437" t="s">
        <v>205</v>
      </c>
      <c r="F197" s="251">
        <v>1</v>
      </c>
      <c r="G197" s="251">
        <v>2</v>
      </c>
      <c r="H197" s="209" t="s">
        <v>3111</v>
      </c>
      <c r="I197" s="206">
        <v>40900</v>
      </c>
      <c r="J197" s="206" t="s">
        <v>3110</v>
      </c>
      <c r="K197" s="208" t="s">
        <v>1059</v>
      </c>
      <c r="L197" s="252">
        <v>150000000</v>
      </c>
      <c r="M197" s="252">
        <v>150000000</v>
      </c>
      <c r="N197" s="253"/>
      <c r="O197" s="254"/>
    </row>
    <row r="198" spans="2:15" s="198" customFormat="1" ht="14.1" customHeight="1">
      <c r="B198" s="250">
        <v>189</v>
      </c>
      <c r="C198" s="251"/>
      <c r="D198" s="200" t="s">
        <v>518</v>
      </c>
      <c r="E198" s="437" t="s">
        <v>194</v>
      </c>
      <c r="F198" s="251">
        <v>1</v>
      </c>
      <c r="G198" s="251">
        <v>1</v>
      </c>
      <c r="H198" s="209" t="s">
        <v>3111</v>
      </c>
      <c r="I198" s="206">
        <v>40905</v>
      </c>
      <c r="J198" s="206" t="s">
        <v>3110</v>
      </c>
      <c r="K198" s="208" t="s">
        <v>1059</v>
      </c>
      <c r="L198" s="252">
        <v>252000000</v>
      </c>
      <c r="M198" s="252">
        <v>252000000</v>
      </c>
      <c r="N198" s="253"/>
      <c r="O198" s="254"/>
    </row>
    <row r="199" spans="2:15" s="198" customFormat="1" ht="14.1" customHeight="1">
      <c r="B199" s="250">
        <v>190</v>
      </c>
      <c r="C199" s="251"/>
      <c r="D199" s="200" t="s">
        <v>519</v>
      </c>
      <c r="E199" s="437" t="s">
        <v>148</v>
      </c>
      <c r="F199" s="251">
        <v>1</v>
      </c>
      <c r="G199" s="251">
        <v>1</v>
      </c>
      <c r="H199" s="209" t="s">
        <v>3111</v>
      </c>
      <c r="I199" s="206">
        <v>40891</v>
      </c>
      <c r="J199" s="206" t="s">
        <v>3110</v>
      </c>
      <c r="K199" s="208" t="s">
        <v>1059</v>
      </c>
      <c r="L199" s="252">
        <v>138000000</v>
      </c>
      <c r="M199" s="252">
        <v>138000000</v>
      </c>
      <c r="N199" s="253"/>
      <c r="O199" s="254"/>
    </row>
    <row r="200" spans="2:15" s="198" customFormat="1" ht="14.1" customHeight="1">
      <c r="B200" s="250">
        <v>191</v>
      </c>
      <c r="C200" s="251"/>
      <c r="D200" s="200" t="s">
        <v>519</v>
      </c>
      <c r="E200" s="437" t="s">
        <v>148</v>
      </c>
      <c r="F200" s="251">
        <v>1</v>
      </c>
      <c r="G200" s="251">
        <v>2</v>
      </c>
      <c r="H200" s="209" t="s">
        <v>3111</v>
      </c>
      <c r="I200" s="206">
        <v>40939</v>
      </c>
      <c r="J200" s="206" t="s">
        <v>3110</v>
      </c>
      <c r="K200" s="208" t="s">
        <v>1059</v>
      </c>
      <c r="L200" s="252">
        <v>60000000</v>
      </c>
      <c r="M200" s="252">
        <v>60000000</v>
      </c>
      <c r="N200" s="253"/>
      <c r="O200" s="254"/>
    </row>
    <row r="201" spans="2:15" s="198" customFormat="1" ht="14.1" customHeight="1">
      <c r="B201" s="250">
        <v>192</v>
      </c>
      <c r="C201" s="251"/>
      <c r="D201" s="200" t="s">
        <v>519</v>
      </c>
      <c r="E201" s="437" t="s">
        <v>148</v>
      </c>
      <c r="F201" s="251">
        <v>1</v>
      </c>
      <c r="G201" s="251">
        <v>3</v>
      </c>
      <c r="H201" s="209" t="s">
        <v>3111</v>
      </c>
      <c r="I201" s="206">
        <v>41085</v>
      </c>
      <c r="J201" s="206" t="s">
        <v>3110</v>
      </c>
      <c r="K201" s="208" t="s">
        <v>1059</v>
      </c>
      <c r="L201" s="252">
        <v>54000000</v>
      </c>
      <c r="M201" s="252">
        <v>54000000</v>
      </c>
      <c r="N201" s="253"/>
      <c r="O201" s="254"/>
    </row>
    <row r="202" spans="2:15" s="198" customFormat="1" ht="14.1" customHeight="1">
      <c r="B202" s="250">
        <v>193</v>
      </c>
      <c r="C202" s="251"/>
      <c r="D202" s="200" t="s">
        <v>520</v>
      </c>
      <c r="E202" s="437" t="s">
        <v>152</v>
      </c>
      <c r="F202" s="251">
        <v>1</v>
      </c>
      <c r="G202" s="251">
        <v>1</v>
      </c>
      <c r="H202" s="209" t="s">
        <v>3111</v>
      </c>
      <c r="I202" s="206">
        <v>37019</v>
      </c>
      <c r="J202" s="206" t="s">
        <v>3117</v>
      </c>
      <c r="K202" s="208" t="s">
        <v>1059</v>
      </c>
      <c r="L202" s="252">
        <v>168000000</v>
      </c>
      <c r="M202" s="252">
        <v>168000000</v>
      </c>
      <c r="N202" s="253"/>
      <c r="O202" s="254"/>
    </row>
    <row r="203" spans="2:15" s="198" customFormat="1" ht="14.1" customHeight="1">
      <c r="B203" s="250">
        <v>194</v>
      </c>
      <c r="C203" s="251"/>
      <c r="D203" s="200" t="s">
        <v>520</v>
      </c>
      <c r="E203" s="437" t="s">
        <v>152</v>
      </c>
      <c r="F203" s="251">
        <v>1</v>
      </c>
      <c r="G203" s="251">
        <v>2</v>
      </c>
      <c r="H203" s="209" t="s">
        <v>3111</v>
      </c>
      <c r="I203" s="206">
        <v>37371</v>
      </c>
      <c r="J203" s="206" t="s">
        <v>3117</v>
      </c>
      <c r="K203" s="208" t="s">
        <v>1059</v>
      </c>
      <c r="L203" s="252">
        <v>24000000</v>
      </c>
      <c r="M203" s="252">
        <v>24000000</v>
      </c>
      <c r="N203" s="253"/>
      <c r="O203" s="254"/>
    </row>
    <row r="204" spans="2:15" s="198" customFormat="1" ht="14.1" customHeight="1">
      <c r="B204" s="250">
        <v>195</v>
      </c>
      <c r="C204" s="251"/>
      <c r="D204" s="200" t="s">
        <v>520</v>
      </c>
      <c r="E204" s="437" t="s">
        <v>152</v>
      </c>
      <c r="F204" s="251">
        <v>1</v>
      </c>
      <c r="G204" s="251">
        <v>3</v>
      </c>
      <c r="H204" s="209" t="s">
        <v>3111</v>
      </c>
      <c r="I204" s="206">
        <v>37538</v>
      </c>
      <c r="J204" s="206" t="s">
        <v>3117</v>
      </c>
      <c r="K204" s="208" t="s">
        <v>1059</v>
      </c>
      <c r="L204" s="252">
        <v>38400000</v>
      </c>
      <c r="M204" s="252">
        <v>38400000</v>
      </c>
      <c r="N204" s="253"/>
      <c r="O204" s="254"/>
    </row>
    <row r="205" spans="2:15" s="198" customFormat="1" ht="14.1" customHeight="1">
      <c r="B205" s="250">
        <v>196</v>
      </c>
      <c r="C205" s="251"/>
      <c r="D205" s="200" t="s">
        <v>521</v>
      </c>
      <c r="E205" s="437" t="s">
        <v>152</v>
      </c>
      <c r="F205" s="251">
        <v>1</v>
      </c>
      <c r="G205" s="251">
        <v>1</v>
      </c>
      <c r="H205" s="209" t="s">
        <v>3111</v>
      </c>
      <c r="I205" s="206">
        <v>42208</v>
      </c>
      <c r="J205" s="206" t="s">
        <v>3110</v>
      </c>
      <c r="K205" s="208" t="s">
        <v>1059</v>
      </c>
      <c r="L205" s="252">
        <v>252000000</v>
      </c>
      <c r="M205" s="252">
        <v>252000000</v>
      </c>
      <c r="N205" s="253"/>
      <c r="O205" s="254"/>
    </row>
    <row r="206" spans="2:15" s="198" customFormat="1" ht="14.1" customHeight="1">
      <c r="B206" s="250">
        <v>197</v>
      </c>
      <c r="C206" s="251"/>
      <c r="D206" s="200" t="s">
        <v>522</v>
      </c>
      <c r="E206" s="437" t="s">
        <v>92</v>
      </c>
      <c r="F206" s="251">
        <v>1</v>
      </c>
      <c r="G206" s="251">
        <v>1</v>
      </c>
      <c r="H206" s="209" t="s">
        <v>3111</v>
      </c>
      <c r="I206" s="206">
        <v>40086</v>
      </c>
      <c r="J206" s="206" t="s">
        <v>3110</v>
      </c>
      <c r="K206" s="208" t="s">
        <v>1059</v>
      </c>
      <c r="L206" s="252">
        <v>250800000</v>
      </c>
      <c r="M206" s="252">
        <v>250800000</v>
      </c>
      <c r="N206" s="253"/>
      <c r="O206" s="254"/>
    </row>
    <row r="207" spans="2:15" s="198" customFormat="1" ht="14.1" customHeight="1">
      <c r="B207" s="250">
        <v>198</v>
      </c>
      <c r="C207" s="251"/>
      <c r="D207" s="200" t="s">
        <v>523</v>
      </c>
      <c r="E207" s="437" t="s">
        <v>205</v>
      </c>
      <c r="F207" s="251">
        <v>1</v>
      </c>
      <c r="G207" s="251">
        <v>1</v>
      </c>
      <c r="H207" s="209" t="s">
        <v>3111</v>
      </c>
      <c r="I207" s="206">
        <v>38356</v>
      </c>
      <c r="J207" s="206" t="s">
        <v>3117</v>
      </c>
      <c r="K207" s="208" t="s">
        <v>1059</v>
      </c>
      <c r="L207" s="252">
        <v>260000000</v>
      </c>
      <c r="M207" s="252">
        <v>260000000</v>
      </c>
      <c r="N207" s="253"/>
      <c r="O207" s="254" t="s">
        <v>3148</v>
      </c>
    </row>
    <row r="208" spans="2:15" s="198" customFormat="1" ht="14.1" customHeight="1">
      <c r="B208" s="250">
        <v>199</v>
      </c>
      <c r="C208" s="251"/>
      <c r="D208" s="200" t="s">
        <v>524</v>
      </c>
      <c r="E208" s="437" t="s">
        <v>109</v>
      </c>
      <c r="F208" s="251">
        <v>1</v>
      </c>
      <c r="G208" s="251">
        <v>1</v>
      </c>
      <c r="H208" s="209" t="s">
        <v>3111</v>
      </c>
      <c r="I208" s="206">
        <v>40927</v>
      </c>
      <c r="J208" s="206" t="s">
        <v>3110</v>
      </c>
      <c r="K208" s="208" t="s">
        <v>1059</v>
      </c>
      <c r="L208" s="252">
        <v>180000000</v>
      </c>
      <c r="M208" s="252">
        <v>180000000</v>
      </c>
      <c r="N208" s="253"/>
      <c r="O208" s="254"/>
    </row>
    <row r="209" spans="2:15" s="198" customFormat="1" ht="14.1" customHeight="1">
      <c r="B209" s="250">
        <v>200</v>
      </c>
      <c r="C209" s="251"/>
      <c r="D209" s="200" t="s">
        <v>524</v>
      </c>
      <c r="E209" s="437" t="s">
        <v>109</v>
      </c>
      <c r="F209" s="251">
        <v>1</v>
      </c>
      <c r="G209" s="251">
        <v>2</v>
      </c>
      <c r="H209" s="209" t="s">
        <v>3111</v>
      </c>
      <c r="I209" s="206">
        <v>41393</v>
      </c>
      <c r="J209" s="206" t="s">
        <v>3110</v>
      </c>
      <c r="K209" s="208" t="s">
        <v>1059</v>
      </c>
      <c r="L209" s="252">
        <v>60000000</v>
      </c>
      <c r="M209" s="252">
        <v>60000000</v>
      </c>
      <c r="N209" s="253"/>
      <c r="O209" s="254"/>
    </row>
    <row r="210" spans="2:15" s="198" customFormat="1" ht="14.1" customHeight="1">
      <c r="B210" s="250">
        <v>201</v>
      </c>
      <c r="C210" s="251"/>
      <c r="D210" s="200" t="s">
        <v>525</v>
      </c>
      <c r="E210" s="437" t="s">
        <v>214</v>
      </c>
      <c r="F210" s="251">
        <v>1</v>
      </c>
      <c r="G210" s="251">
        <v>1</v>
      </c>
      <c r="H210" s="209" t="s">
        <v>3111</v>
      </c>
      <c r="I210" s="206">
        <v>39416</v>
      </c>
      <c r="J210" s="206" t="s">
        <v>2979</v>
      </c>
      <c r="K210" s="208" t="s">
        <v>1059</v>
      </c>
      <c r="L210" s="252">
        <v>228000000</v>
      </c>
      <c r="M210" s="252">
        <v>228000000</v>
      </c>
      <c r="N210" s="253"/>
      <c r="O210" s="254"/>
    </row>
    <row r="211" spans="2:15" s="198" customFormat="1" ht="14.1" customHeight="1">
      <c r="B211" s="250">
        <v>202</v>
      </c>
      <c r="C211" s="251"/>
      <c r="D211" s="200" t="s">
        <v>526</v>
      </c>
      <c r="E211" s="437" t="s">
        <v>157</v>
      </c>
      <c r="F211" s="251">
        <v>1</v>
      </c>
      <c r="G211" s="251">
        <v>1</v>
      </c>
      <c r="H211" s="209" t="s">
        <v>3111</v>
      </c>
      <c r="I211" s="206">
        <v>39954</v>
      </c>
      <c r="J211" s="206" t="s">
        <v>3110</v>
      </c>
      <c r="K211" s="208" t="s">
        <v>1059</v>
      </c>
      <c r="L211" s="252">
        <v>223200000</v>
      </c>
      <c r="M211" s="252">
        <v>223200000</v>
      </c>
      <c r="N211" s="253"/>
      <c r="O211" s="254"/>
    </row>
    <row r="212" spans="2:15" s="198" customFormat="1" ht="14.1" customHeight="1">
      <c r="B212" s="250">
        <v>203</v>
      </c>
      <c r="C212" s="251"/>
      <c r="D212" s="200" t="s">
        <v>527</v>
      </c>
      <c r="E212" s="437" t="s">
        <v>135</v>
      </c>
      <c r="F212" s="251">
        <v>1</v>
      </c>
      <c r="G212" s="251">
        <v>1</v>
      </c>
      <c r="H212" s="209" t="s">
        <v>3111</v>
      </c>
      <c r="I212" s="206">
        <v>39196</v>
      </c>
      <c r="J212" s="206" t="s">
        <v>3117</v>
      </c>
      <c r="K212" s="208" t="s">
        <v>1059</v>
      </c>
      <c r="L212" s="252">
        <v>108000000</v>
      </c>
      <c r="M212" s="252">
        <v>108000000</v>
      </c>
      <c r="N212" s="253"/>
      <c r="O212" s="254"/>
    </row>
    <row r="213" spans="2:15" s="198" customFormat="1" ht="14.1" customHeight="1">
      <c r="B213" s="250">
        <v>204</v>
      </c>
      <c r="C213" s="251"/>
      <c r="D213" s="200" t="s">
        <v>527</v>
      </c>
      <c r="E213" s="437" t="s">
        <v>135</v>
      </c>
      <c r="F213" s="251">
        <v>1</v>
      </c>
      <c r="G213" s="251">
        <v>2</v>
      </c>
      <c r="H213" s="209" t="s">
        <v>3111</v>
      </c>
      <c r="I213" s="206">
        <v>40350</v>
      </c>
      <c r="J213" s="206" t="s">
        <v>3110</v>
      </c>
      <c r="K213" s="208" t="s">
        <v>1059</v>
      </c>
      <c r="L213" s="252">
        <v>48000000</v>
      </c>
      <c r="M213" s="252">
        <v>48000000</v>
      </c>
      <c r="N213" s="253"/>
      <c r="O213" s="254"/>
    </row>
    <row r="214" spans="2:15" s="198" customFormat="1" ht="14.1" customHeight="1">
      <c r="B214" s="250">
        <v>205</v>
      </c>
      <c r="C214" s="251"/>
      <c r="D214" s="200" t="s">
        <v>528</v>
      </c>
      <c r="E214" s="437" t="s">
        <v>152</v>
      </c>
      <c r="F214" s="251">
        <v>1</v>
      </c>
      <c r="G214" s="251">
        <v>1</v>
      </c>
      <c r="H214" s="209" t="s">
        <v>3111</v>
      </c>
      <c r="I214" s="206">
        <v>40539</v>
      </c>
      <c r="J214" s="206" t="s">
        <v>3110</v>
      </c>
      <c r="K214" s="208" t="s">
        <v>1059</v>
      </c>
      <c r="L214" s="252">
        <v>192000000</v>
      </c>
      <c r="M214" s="252">
        <v>192000000</v>
      </c>
      <c r="N214" s="253"/>
      <c r="O214" s="254"/>
    </row>
    <row r="215" spans="2:15" s="198" customFormat="1" ht="14.1" customHeight="1">
      <c r="B215" s="250">
        <v>206</v>
      </c>
      <c r="C215" s="251"/>
      <c r="D215" s="200" t="s">
        <v>529</v>
      </c>
      <c r="E215" s="437" t="s">
        <v>194</v>
      </c>
      <c r="F215" s="251">
        <v>1</v>
      </c>
      <c r="G215" s="251">
        <v>1</v>
      </c>
      <c r="H215" s="209" t="s">
        <v>3111</v>
      </c>
      <c r="I215" s="206">
        <v>41676</v>
      </c>
      <c r="J215" s="206" t="s">
        <v>3110</v>
      </c>
      <c r="K215" s="208" t="s">
        <v>1059</v>
      </c>
      <c r="L215" s="252">
        <v>206640000</v>
      </c>
      <c r="M215" s="252">
        <v>206640000</v>
      </c>
      <c r="N215" s="253"/>
      <c r="O215" s="254"/>
    </row>
    <row r="216" spans="2:15" s="198" customFormat="1" ht="14.1" customHeight="1">
      <c r="B216" s="250">
        <v>207</v>
      </c>
      <c r="C216" s="251"/>
      <c r="D216" s="200" t="s">
        <v>530</v>
      </c>
      <c r="E216" s="437" t="s">
        <v>152</v>
      </c>
      <c r="F216" s="251">
        <v>1</v>
      </c>
      <c r="G216" s="251">
        <v>1</v>
      </c>
      <c r="H216" s="209" t="s">
        <v>3111</v>
      </c>
      <c r="I216" s="206">
        <v>42052</v>
      </c>
      <c r="J216" s="206" t="s">
        <v>3110</v>
      </c>
      <c r="K216" s="208" t="s">
        <v>1059</v>
      </c>
      <c r="L216" s="252">
        <v>210000000</v>
      </c>
      <c r="M216" s="252">
        <v>210000000</v>
      </c>
      <c r="N216" s="253"/>
      <c r="O216" s="254"/>
    </row>
    <row r="217" spans="2:15" s="198" customFormat="1" ht="14.1" customHeight="1">
      <c r="B217" s="250">
        <v>208</v>
      </c>
      <c r="C217" s="251"/>
      <c r="D217" s="200" t="s">
        <v>531</v>
      </c>
      <c r="E217" s="437" t="s">
        <v>284</v>
      </c>
      <c r="F217" s="251">
        <v>1</v>
      </c>
      <c r="G217" s="251">
        <v>1</v>
      </c>
      <c r="H217" s="209" t="s">
        <v>3111</v>
      </c>
      <c r="I217" s="206">
        <v>40550</v>
      </c>
      <c r="J217" s="206" t="s">
        <v>3110</v>
      </c>
      <c r="K217" s="208" t="s">
        <v>1059</v>
      </c>
      <c r="L217" s="252">
        <v>204000000</v>
      </c>
      <c r="M217" s="252">
        <v>204000000</v>
      </c>
      <c r="N217" s="253"/>
      <c r="O217" s="254"/>
    </row>
    <row r="218" spans="2:15" s="198" customFormat="1" ht="14.1" customHeight="1">
      <c r="B218" s="250">
        <v>209</v>
      </c>
      <c r="C218" s="251"/>
      <c r="D218" s="200" t="s">
        <v>532</v>
      </c>
      <c r="E218" s="437" t="s">
        <v>152</v>
      </c>
      <c r="F218" s="251">
        <v>1</v>
      </c>
      <c r="G218" s="251">
        <v>1</v>
      </c>
      <c r="H218" s="209" t="s">
        <v>3111</v>
      </c>
      <c r="I218" s="206">
        <v>41800</v>
      </c>
      <c r="J218" s="206" t="s">
        <v>3110</v>
      </c>
      <c r="K218" s="208" t="s">
        <v>1059</v>
      </c>
      <c r="L218" s="252">
        <v>216000000</v>
      </c>
      <c r="M218" s="252">
        <v>216000000</v>
      </c>
      <c r="N218" s="253"/>
      <c r="O218" s="254"/>
    </row>
    <row r="219" spans="2:15" s="198" customFormat="1" ht="14.1" customHeight="1">
      <c r="B219" s="250">
        <v>210</v>
      </c>
      <c r="C219" s="251"/>
      <c r="D219" s="200" t="s">
        <v>533</v>
      </c>
      <c r="E219" s="437" t="s">
        <v>221</v>
      </c>
      <c r="F219" s="251">
        <v>1</v>
      </c>
      <c r="G219" s="251">
        <v>1</v>
      </c>
      <c r="H219" s="209" t="s">
        <v>3111</v>
      </c>
      <c r="I219" s="206">
        <v>41829</v>
      </c>
      <c r="J219" s="206" t="s">
        <v>3110</v>
      </c>
      <c r="K219" s="208" t="s">
        <v>1059</v>
      </c>
      <c r="L219" s="252">
        <v>204000000</v>
      </c>
      <c r="M219" s="252">
        <v>204000000</v>
      </c>
      <c r="N219" s="253"/>
      <c r="O219" s="254"/>
    </row>
    <row r="220" spans="2:15" s="198" customFormat="1" ht="14.1" customHeight="1">
      <c r="B220" s="250">
        <v>211</v>
      </c>
      <c r="C220" s="251"/>
      <c r="D220" s="200" t="s">
        <v>534</v>
      </c>
      <c r="E220" s="437" t="s">
        <v>667</v>
      </c>
      <c r="F220" s="251">
        <v>1</v>
      </c>
      <c r="G220" s="251">
        <v>1</v>
      </c>
      <c r="H220" s="209" t="s">
        <v>3152</v>
      </c>
      <c r="I220" s="206">
        <v>40735</v>
      </c>
      <c r="J220" s="206" t="s">
        <v>3114</v>
      </c>
      <c r="K220" s="208" t="s">
        <v>1059</v>
      </c>
      <c r="L220" s="252">
        <v>60000000</v>
      </c>
      <c r="M220" s="252">
        <v>60000000</v>
      </c>
      <c r="N220" s="253"/>
      <c r="O220" s="254"/>
    </row>
    <row r="221" spans="2:15" s="198" customFormat="1" ht="14.1" customHeight="1">
      <c r="B221" s="250">
        <v>212</v>
      </c>
      <c r="C221" s="251"/>
      <c r="D221" s="200" t="s">
        <v>534</v>
      </c>
      <c r="E221" s="437" t="s">
        <v>667</v>
      </c>
      <c r="F221" s="251">
        <v>1</v>
      </c>
      <c r="G221" s="251">
        <v>2</v>
      </c>
      <c r="H221" s="209" t="s">
        <v>3152</v>
      </c>
      <c r="I221" s="206">
        <v>40735</v>
      </c>
      <c r="J221" s="206" t="s">
        <v>3114</v>
      </c>
      <c r="K221" s="208" t="s">
        <v>1059</v>
      </c>
      <c r="L221" s="252">
        <v>60000000</v>
      </c>
      <c r="M221" s="252">
        <v>60000000</v>
      </c>
      <c r="N221" s="253"/>
      <c r="O221" s="254"/>
    </row>
    <row r="222" spans="2:15" s="198" customFormat="1" ht="14.1" customHeight="1">
      <c r="B222" s="250">
        <v>213</v>
      </c>
      <c r="C222" s="251"/>
      <c r="D222" s="200" t="s">
        <v>534</v>
      </c>
      <c r="E222" s="437" t="s">
        <v>667</v>
      </c>
      <c r="F222" s="251">
        <v>1</v>
      </c>
      <c r="G222" s="251">
        <v>3</v>
      </c>
      <c r="H222" s="209" t="s">
        <v>3153</v>
      </c>
      <c r="I222" s="206">
        <v>41705</v>
      </c>
      <c r="J222" s="206" t="s">
        <v>3114</v>
      </c>
      <c r="K222" s="208" t="s">
        <v>1059</v>
      </c>
      <c r="L222" s="252">
        <v>110000000</v>
      </c>
      <c r="M222" s="252">
        <v>110000000</v>
      </c>
      <c r="N222" s="253"/>
      <c r="O222" s="254"/>
    </row>
    <row r="223" spans="2:15" s="198" customFormat="1" ht="14.1" customHeight="1">
      <c r="B223" s="250">
        <v>214</v>
      </c>
      <c r="C223" s="251"/>
      <c r="D223" s="200" t="s">
        <v>534</v>
      </c>
      <c r="E223" s="437" t="s">
        <v>667</v>
      </c>
      <c r="F223" s="251">
        <v>1</v>
      </c>
      <c r="G223" s="251">
        <v>4</v>
      </c>
      <c r="H223" s="209" t="s">
        <v>3111</v>
      </c>
      <c r="I223" s="206">
        <v>41799</v>
      </c>
      <c r="J223" s="206" t="s">
        <v>3110</v>
      </c>
      <c r="K223" s="208" t="s">
        <v>1059</v>
      </c>
      <c r="L223" s="252">
        <v>240000000</v>
      </c>
      <c r="M223" s="252">
        <v>240000000</v>
      </c>
      <c r="N223" s="253"/>
      <c r="O223" s="254"/>
    </row>
    <row r="224" spans="2:15" s="198" customFormat="1" ht="14.1" customHeight="1">
      <c r="B224" s="250">
        <v>215</v>
      </c>
      <c r="C224" s="251"/>
      <c r="D224" s="200" t="s">
        <v>535</v>
      </c>
      <c r="E224" s="437" t="s">
        <v>109</v>
      </c>
      <c r="F224" s="251">
        <v>1</v>
      </c>
      <c r="G224" s="251">
        <v>1</v>
      </c>
      <c r="H224" s="209" t="s">
        <v>3111</v>
      </c>
      <c r="I224" s="206">
        <v>38220</v>
      </c>
      <c r="J224" s="206" t="s">
        <v>3117</v>
      </c>
      <c r="K224" s="208" t="s">
        <v>1059</v>
      </c>
      <c r="L224" s="252">
        <v>48240000</v>
      </c>
      <c r="M224" s="252">
        <v>48240000</v>
      </c>
      <c r="N224" s="253"/>
      <c r="O224" s="254"/>
    </row>
    <row r="225" spans="2:15" s="198" customFormat="1" ht="14.1" customHeight="1">
      <c r="B225" s="250">
        <v>216</v>
      </c>
      <c r="C225" s="251"/>
      <c r="D225" s="200" t="s">
        <v>535</v>
      </c>
      <c r="E225" s="437" t="s">
        <v>109</v>
      </c>
      <c r="F225" s="251">
        <v>1</v>
      </c>
      <c r="G225" s="251">
        <v>2</v>
      </c>
      <c r="H225" s="209" t="s">
        <v>3111</v>
      </c>
      <c r="I225" s="206">
        <v>39336</v>
      </c>
      <c r="J225" s="206" t="s">
        <v>3117</v>
      </c>
      <c r="K225" s="208" t="s">
        <v>1059</v>
      </c>
      <c r="L225" s="252">
        <v>177000000</v>
      </c>
      <c r="M225" s="252">
        <v>177000000</v>
      </c>
      <c r="N225" s="253"/>
      <c r="O225" s="254"/>
    </row>
    <row r="226" spans="2:15" s="198" customFormat="1" ht="14.1" customHeight="1">
      <c r="B226" s="250">
        <v>217</v>
      </c>
      <c r="C226" s="251"/>
      <c r="D226" s="200" t="s">
        <v>536</v>
      </c>
      <c r="E226" s="437" t="s">
        <v>92</v>
      </c>
      <c r="F226" s="251">
        <v>1</v>
      </c>
      <c r="G226" s="251">
        <v>1</v>
      </c>
      <c r="H226" s="209" t="s">
        <v>3111</v>
      </c>
      <c r="I226" s="206">
        <v>41410</v>
      </c>
      <c r="J226" s="206" t="s">
        <v>3110</v>
      </c>
      <c r="K226" s="208" t="s">
        <v>1059</v>
      </c>
      <c r="L226" s="252">
        <v>26400000</v>
      </c>
      <c r="M226" s="252">
        <v>26400000</v>
      </c>
      <c r="N226" s="253"/>
      <c r="O226" s="254"/>
    </row>
    <row r="227" spans="2:15" s="198" customFormat="1" ht="14.1" customHeight="1">
      <c r="B227" s="250">
        <v>218</v>
      </c>
      <c r="C227" s="251"/>
      <c r="D227" s="200" t="s">
        <v>536</v>
      </c>
      <c r="E227" s="437" t="s">
        <v>92</v>
      </c>
      <c r="F227" s="251">
        <v>1</v>
      </c>
      <c r="G227" s="251">
        <v>2</v>
      </c>
      <c r="H227" s="209" t="s">
        <v>3111</v>
      </c>
      <c r="I227" s="206">
        <v>41506</v>
      </c>
      <c r="J227" s="206" t="s">
        <v>3110</v>
      </c>
      <c r="K227" s="208" t="s">
        <v>1059</v>
      </c>
      <c r="L227" s="252">
        <v>24000000</v>
      </c>
      <c r="M227" s="252">
        <v>24000000</v>
      </c>
      <c r="N227" s="253"/>
      <c r="O227" s="254"/>
    </row>
    <row r="228" spans="2:15" s="198" customFormat="1" ht="14.1" customHeight="1">
      <c r="B228" s="250">
        <v>219</v>
      </c>
      <c r="C228" s="251"/>
      <c r="D228" s="200" t="s">
        <v>536</v>
      </c>
      <c r="E228" s="437" t="s">
        <v>92</v>
      </c>
      <c r="F228" s="251">
        <v>1</v>
      </c>
      <c r="G228" s="251">
        <v>3</v>
      </c>
      <c r="H228" s="209" t="s">
        <v>3111</v>
      </c>
      <c r="I228" s="206">
        <v>42083</v>
      </c>
      <c r="J228" s="206" t="s">
        <v>3110</v>
      </c>
      <c r="K228" s="208" t="s">
        <v>1059</v>
      </c>
      <c r="L228" s="252">
        <v>144000000</v>
      </c>
      <c r="M228" s="252">
        <v>144000000</v>
      </c>
      <c r="N228" s="253"/>
      <c r="O228" s="254"/>
    </row>
    <row r="229" spans="2:15" s="198" customFormat="1" ht="14.1" customHeight="1">
      <c r="B229" s="250">
        <v>220</v>
      </c>
      <c r="C229" s="251"/>
      <c r="D229" s="200" t="s">
        <v>537</v>
      </c>
      <c r="E229" s="437" t="s">
        <v>221</v>
      </c>
      <c r="F229" s="251">
        <v>1</v>
      </c>
      <c r="G229" s="251">
        <v>1</v>
      </c>
      <c r="H229" s="209" t="s">
        <v>3111</v>
      </c>
      <c r="I229" s="206">
        <v>38708</v>
      </c>
      <c r="J229" s="206" t="s">
        <v>3117</v>
      </c>
      <c r="K229" s="208" t="s">
        <v>1059</v>
      </c>
      <c r="L229" s="252">
        <v>198000000</v>
      </c>
      <c r="M229" s="252">
        <v>198000000</v>
      </c>
      <c r="N229" s="253"/>
      <c r="O229" s="254"/>
    </row>
    <row r="230" spans="2:15" s="198" customFormat="1" ht="14.1" customHeight="1">
      <c r="B230" s="250">
        <v>221</v>
      </c>
      <c r="C230" s="251"/>
      <c r="D230" s="200" t="s">
        <v>538</v>
      </c>
      <c r="E230" s="437" t="s">
        <v>173</v>
      </c>
      <c r="F230" s="251">
        <v>1</v>
      </c>
      <c r="G230" s="251">
        <v>1</v>
      </c>
      <c r="H230" s="209" t="s">
        <v>3111</v>
      </c>
      <c r="I230" s="206">
        <v>41236</v>
      </c>
      <c r="J230" s="206" t="s">
        <v>3110</v>
      </c>
      <c r="K230" s="208" t="s">
        <v>1059</v>
      </c>
      <c r="L230" s="252">
        <v>187200000</v>
      </c>
      <c r="M230" s="252">
        <v>187200000</v>
      </c>
      <c r="N230" s="253"/>
      <c r="O230" s="254"/>
    </row>
    <row r="231" spans="2:15" s="198" customFormat="1" ht="14.1" customHeight="1">
      <c r="B231" s="250">
        <v>222</v>
      </c>
      <c r="C231" s="251"/>
      <c r="D231" s="200" t="s">
        <v>539</v>
      </c>
      <c r="E231" s="437" t="s">
        <v>152</v>
      </c>
      <c r="F231" s="251">
        <v>1</v>
      </c>
      <c r="G231" s="251">
        <v>1</v>
      </c>
      <c r="H231" s="209" t="s">
        <v>3111</v>
      </c>
      <c r="I231" s="206">
        <v>38877</v>
      </c>
      <c r="J231" s="206" t="s">
        <v>3117</v>
      </c>
      <c r="K231" s="208" t="s">
        <v>1059</v>
      </c>
      <c r="L231" s="252">
        <v>168000000</v>
      </c>
      <c r="M231" s="252">
        <v>168000000</v>
      </c>
      <c r="N231" s="253"/>
      <c r="O231" s="254"/>
    </row>
    <row r="232" spans="2:15" s="198" customFormat="1" ht="14.1" customHeight="1">
      <c r="B232" s="250">
        <v>223</v>
      </c>
      <c r="C232" s="251"/>
      <c r="D232" s="200" t="s">
        <v>540</v>
      </c>
      <c r="E232" s="437" t="s">
        <v>175</v>
      </c>
      <c r="F232" s="251">
        <v>1</v>
      </c>
      <c r="G232" s="251">
        <v>1</v>
      </c>
      <c r="H232" s="209" t="s">
        <v>3111</v>
      </c>
      <c r="I232" s="206">
        <v>41648</v>
      </c>
      <c r="J232" s="206" t="s">
        <v>3110</v>
      </c>
      <c r="K232" s="208" t="s">
        <v>1059</v>
      </c>
      <c r="L232" s="252">
        <v>183600000</v>
      </c>
      <c r="M232" s="252">
        <v>183600000</v>
      </c>
      <c r="N232" s="253"/>
      <c r="O232" s="254"/>
    </row>
    <row r="233" spans="2:15" s="198" customFormat="1" ht="14.1" customHeight="1">
      <c r="B233" s="250">
        <v>224</v>
      </c>
      <c r="C233" s="251"/>
      <c r="D233" s="200" t="s">
        <v>541</v>
      </c>
      <c r="E233" s="437" t="s">
        <v>168</v>
      </c>
      <c r="F233" s="251">
        <v>1</v>
      </c>
      <c r="G233" s="251">
        <v>1</v>
      </c>
      <c r="H233" s="209" t="s">
        <v>3111</v>
      </c>
      <c r="I233" s="206">
        <v>41750</v>
      </c>
      <c r="J233" s="206" t="s">
        <v>3110</v>
      </c>
      <c r="K233" s="208" t="s">
        <v>1059</v>
      </c>
      <c r="L233" s="252">
        <v>180000000</v>
      </c>
      <c r="M233" s="252">
        <v>180000000</v>
      </c>
      <c r="N233" s="253"/>
      <c r="O233" s="254"/>
    </row>
    <row r="234" spans="2:15" s="198" customFormat="1" ht="14.1" customHeight="1">
      <c r="B234" s="250">
        <v>225</v>
      </c>
      <c r="C234" s="251"/>
      <c r="D234" s="200" t="s">
        <v>542</v>
      </c>
      <c r="E234" s="437" t="s">
        <v>130</v>
      </c>
      <c r="F234" s="251">
        <v>1</v>
      </c>
      <c r="G234" s="251">
        <v>1</v>
      </c>
      <c r="H234" s="209" t="s">
        <v>3111</v>
      </c>
      <c r="I234" s="206">
        <v>41465</v>
      </c>
      <c r="J234" s="206" t="s">
        <v>3110</v>
      </c>
      <c r="K234" s="208" t="s">
        <v>1059</v>
      </c>
      <c r="L234" s="252">
        <v>168000000</v>
      </c>
      <c r="M234" s="252">
        <v>168000000</v>
      </c>
      <c r="N234" s="253"/>
      <c r="O234" s="254"/>
    </row>
    <row r="235" spans="2:15" s="198" customFormat="1" ht="14.1" customHeight="1">
      <c r="B235" s="250">
        <v>226</v>
      </c>
      <c r="C235" s="251"/>
      <c r="D235" s="200" t="s">
        <v>543</v>
      </c>
      <c r="E235" s="437" t="s">
        <v>109</v>
      </c>
      <c r="F235" s="251">
        <v>1</v>
      </c>
      <c r="G235" s="251">
        <v>1</v>
      </c>
      <c r="H235" s="209" t="s">
        <v>3111</v>
      </c>
      <c r="I235" s="206">
        <v>41446</v>
      </c>
      <c r="J235" s="206" t="s">
        <v>3110</v>
      </c>
      <c r="K235" s="208" t="s">
        <v>1059</v>
      </c>
      <c r="L235" s="252">
        <v>126000000</v>
      </c>
      <c r="M235" s="252">
        <v>126000000</v>
      </c>
      <c r="N235" s="253"/>
      <c r="O235" s="254"/>
    </row>
    <row r="236" spans="2:15" s="198" customFormat="1" ht="14.1" customHeight="1">
      <c r="B236" s="250">
        <v>227</v>
      </c>
      <c r="C236" s="251"/>
      <c r="D236" s="200" t="s">
        <v>543</v>
      </c>
      <c r="E236" s="437" t="s">
        <v>109</v>
      </c>
      <c r="F236" s="251">
        <v>1</v>
      </c>
      <c r="G236" s="251">
        <v>2</v>
      </c>
      <c r="H236" s="209" t="s">
        <v>3111</v>
      </c>
      <c r="I236" s="206">
        <v>42139</v>
      </c>
      <c r="J236" s="206" t="s">
        <v>3110</v>
      </c>
      <c r="K236" s="208" t="s">
        <v>1059</v>
      </c>
      <c r="L236" s="252">
        <v>63000000</v>
      </c>
      <c r="M236" s="252">
        <v>63000000</v>
      </c>
      <c r="N236" s="253"/>
      <c r="O236" s="254"/>
    </row>
    <row r="237" spans="2:15" s="198" customFormat="1" ht="14.1" customHeight="1">
      <c r="B237" s="250">
        <v>228</v>
      </c>
      <c r="C237" s="251"/>
      <c r="D237" s="200" t="s">
        <v>544</v>
      </c>
      <c r="E237" s="437" t="s">
        <v>151</v>
      </c>
      <c r="F237" s="251">
        <v>1</v>
      </c>
      <c r="G237" s="251">
        <v>1</v>
      </c>
      <c r="H237" s="209" t="s">
        <v>3111</v>
      </c>
      <c r="I237" s="206">
        <v>40549</v>
      </c>
      <c r="J237" s="206" t="s">
        <v>3110</v>
      </c>
      <c r="K237" s="208" t="s">
        <v>1059</v>
      </c>
      <c r="L237" s="252">
        <v>166800000</v>
      </c>
      <c r="M237" s="252">
        <v>166800000</v>
      </c>
      <c r="N237" s="253"/>
      <c r="O237" s="254"/>
    </row>
    <row r="238" spans="2:15" s="198" customFormat="1" ht="14.1" customHeight="1">
      <c r="B238" s="250">
        <v>229</v>
      </c>
      <c r="C238" s="251"/>
      <c r="D238" s="200" t="s">
        <v>545</v>
      </c>
      <c r="E238" s="437" t="s">
        <v>148</v>
      </c>
      <c r="F238" s="251">
        <v>1</v>
      </c>
      <c r="G238" s="251">
        <v>1</v>
      </c>
      <c r="H238" s="209" t="s">
        <v>3111</v>
      </c>
      <c r="I238" s="206">
        <v>42114</v>
      </c>
      <c r="J238" s="206" t="s">
        <v>3110</v>
      </c>
      <c r="K238" s="208" t="s">
        <v>1059</v>
      </c>
      <c r="L238" s="252">
        <v>170400000</v>
      </c>
      <c r="M238" s="252">
        <v>170400000</v>
      </c>
      <c r="N238" s="253"/>
      <c r="O238" s="254"/>
    </row>
    <row r="239" spans="2:15" s="198" customFormat="1" ht="14.1" customHeight="1">
      <c r="B239" s="250">
        <v>230</v>
      </c>
      <c r="C239" s="251"/>
      <c r="D239" s="200" t="s">
        <v>546</v>
      </c>
      <c r="E239" s="437" t="s">
        <v>208</v>
      </c>
      <c r="F239" s="251">
        <v>1</v>
      </c>
      <c r="G239" s="251">
        <v>1</v>
      </c>
      <c r="H239" s="209" t="s">
        <v>3111</v>
      </c>
      <c r="I239" s="206">
        <v>40595</v>
      </c>
      <c r="J239" s="206" t="s">
        <v>3110</v>
      </c>
      <c r="K239" s="208" t="s">
        <v>1059</v>
      </c>
      <c r="L239" s="252">
        <v>129600000</v>
      </c>
      <c r="M239" s="252">
        <v>129600000</v>
      </c>
      <c r="N239" s="253"/>
      <c r="O239" s="254"/>
    </row>
    <row r="240" spans="2:15" s="198" customFormat="1" ht="14.1" customHeight="1">
      <c r="B240" s="250">
        <v>231</v>
      </c>
      <c r="C240" s="251"/>
      <c r="D240" s="200" t="s">
        <v>546</v>
      </c>
      <c r="E240" s="437" t="s">
        <v>208</v>
      </c>
      <c r="F240" s="251">
        <v>1</v>
      </c>
      <c r="G240" s="251">
        <v>2</v>
      </c>
      <c r="H240" s="209" t="s">
        <v>3111</v>
      </c>
      <c r="I240" s="206">
        <v>41059</v>
      </c>
      <c r="J240" s="206" t="s">
        <v>3110</v>
      </c>
      <c r="K240" s="208" t="s">
        <v>1059</v>
      </c>
      <c r="L240" s="252">
        <v>36000000</v>
      </c>
      <c r="M240" s="252">
        <v>36000000</v>
      </c>
      <c r="N240" s="253"/>
      <c r="O240" s="254"/>
    </row>
    <row r="241" spans="2:15" s="198" customFormat="1" ht="14.1" customHeight="1">
      <c r="B241" s="250">
        <v>232</v>
      </c>
      <c r="C241" s="251"/>
      <c r="D241" s="200" t="s">
        <v>547</v>
      </c>
      <c r="E241" s="437" t="s">
        <v>109</v>
      </c>
      <c r="F241" s="251">
        <v>1</v>
      </c>
      <c r="G241" s="251">
        <v>1</v>
      </c>
      <c r="H241" s="209" t="s">
        <v>3111</v>
      </c>
      <c r="I241" s="206">
        <v>39210</v>
      </c>
      <c r="J241" s="206" t="s">
        <v>3117</v>
      </c>
      <c r="K241" s="208" t="s">
        <v>1059</v>
      </c>
      <c r="L241" s="252">
        <v>208800000</v>
      </c>
      <c r="M241" s="252">
        <v>208800000</v>
      </c>
      <c r="N241" s="253"/>
      <c r="O241" s="254"/>
    </row>
    <row r="242" spans="2:15" s="198" customFormat="1" ht="14.1" customHeight="1">
      <c r="B242" s="250">
        <v>233</v>
      </c>
      <c r="C242" s="251"/>
      <c r="D242" s="200" t="s">
        <v>548</v>
      </c>
      <c r="E242" s="437" t="s">
        <v>151</v>
      </c>
      <c r="F242" s="251">
        <v>1</v>
      </c>
      <c r="G242" s="251">
        <v>1</v>
      </c>
      <c r="H242" s="209" t="s">
        <v>3111</v>
      </c>
      <c r="I242" s="206">
        <v>40596</v>
      </c>
      <c r="J242" s="206" t="s">
        <v>3110</v>
      </c>
      <c r="K242" s="208" t="s">
        <v>1059</v>
      </c>
      <c r="L242" s="252">
        <v>174000000</v>
      </c>
      <c r="M242" s="252">
        <v>174000000</v>
      </c>
      <c r="N242" s="253"/>
      <c r="O242" s="254"/>
    </row>
    <row r="243" spans="2:15" s="198" customFormat="1" ht="14.1" customHeight="1">
      <c r="B243" s="250">
        <v>234</v>
      </c>
      <c r="C243" s="251"/>
      <c r="D243" s="200" t="s">
        <v>549</v>
      </c>
      <c r="E243" s="437" t="s">
        <v>236</v>
      </c>
      <c r="F243" s="251">
        <v>1</v>
      </c>
      <c r="G243" s="251">
        <v>1</v>
      </c>
      <c r="H243" s="209" t="s">
        <v>3111</v>
      </c>
      <c r="I243" s="206">
        <v>42195</v>
      </c>
      <c r="J243" s="206" t="s">
        <v>3110</v>
      </c>
      <c r="K243" s="208" t="s">
        <v>1059</v>
      </c>
      <c r="L243" s="252">
        <v>159600000</v>
      </c>
      <c r="M243" s="252">
        <v>159600000</v>
      </c>
      <c r="N243" s="253"/>
      <c r="O243" s="254"/>
    </row>
    <row r="244" spans="2:15" s="198" customFormat="1" ht="14.1" customHeight="1">
      <c r="B244" s="250">
        <v>235</v>
      </c>
      <c r="C244" s="251"/>
      <c r="D244" s="200" t="s">
        <v>550</v>
      </c>
      <c r="E244" s="437" t="s">
        <v>668</v>
      </c>
      <c r="F244" s="251">
        <v>1</v>
      </c>
      <c r="G244" s="251">
        <v>1</v>
      </c>
      <c r="H244" s="209" t="s">
        <v>3111</v>
      </c>
      <c r="I244" s="206">
        <v>40724</v>
      </c>
      <c r="J244" s="206" t="s">
        <v>3110</v>
      </c>
      <c r="K244" s="208" t="s">
        <v>1059</v>
      </c>
      <c r="L244" s="252">
        <v>158400000</v>
      </c>
      <c r="M244" s="252">
        <v>158400000</v>
      </c>
      <c r="N244" s="253"/>
      <c r="O244" s="254"/>
    </row>
    <row r="245" spans="2:15" s="198" customFormat="1" ht="14.1" customHeight="1">
      <c r="B245" s="250">
        <v>236</v>
      </c>
      <c r="C245" s="251"/>
      <c r="D245" s="200" t="s">
        <v>551</v>
      </c>
      <c r="E245" s="437" t="s">
        <v>669</v>
      </c>
      <c r="F245" s="251">
        <v>1</v>
      </c>
      <c r="G245" s="251">
        <v>1</v>
      </c>
      <c r="H245" s="209" t="s">
        <v>3111</v>
      </c>
      <c r="I245" s="206">
        <v>42298</v>
      </c>
      <c r="J245" s="206" t="s">
        <v>3110</v>
      </c>
      <c r="K245" s="208" t="s">
        <v>1059</v>
      </c>
      <c r="L245" s="252">
        <v>157200000</v>
      </c>
      <c r="M245" s="252">
        <v>157200000</v>
      </c>
      <c r="N245" s="253"/>
      <c r="O245" s="254"/>
    </row>
    <row r="246" spans="2:15" s="198" customFormat="1" ht="14.1" customHeight="1">
      <c r="B246" s="250">
        <v>237</v>
      </c>
      <c r="C246" s="251"/>
      <c r="D246" s="200" t="s">
        <v>552</v>
      </c>
      <c r="E246" s="437" t="s">
        <v>109</v>
      </c>
      <c r="F246" s="251">
        <v>1</v>
      </c>
      <c r="G246" s="251">
        <v>1</v>
      </c>
      <c r="H246" s="209" t="s">
        <v>3111</v>
      </c>
      <c r="I246" s="206">
        <v>41243</v>
      </c>
      <c r="J246" s="206" t="s">
        <v>3110</v>
      </c>
      <c r="K246" s="208" t="s">
        <v>1059</v>
      </c>
      <c r="L246" s="252">
        <v>120000000</v>
      </c>
      <c r="M246" s="252">
        <v>120000000</v>
      </c>
      <c r="N246" s="253"/>
      <c r="O246" s="254"/>
    </row>
    <row r="247" spans="2:15" s="198" customFormat="1" ht="14.1" customHeight="1">
      <c r="B247" s="250">
        <v>238</v>
      </c>
      <c r="C247" s="251"/>
      <c r="D247" s="200" t="s">
        <v>553</v>
      </c>
      <c r="E247" s="437" t="s">
        <v>226</v>
      </c>
      <c r="F247" s="251">
        <v>1</v>
      </c>
      <c r="G247" s="251">
        <v>1</v>
      </c>
      <c r="H247" s="209" t="s">
        <v>3111</v>
      </c>
      <c r="I247" s="206">
        <v>41358</v>
      </c>
      <c r="J247" s="206" t="s">
        <v>3110</v>
      </c>
      <c r="K247" s="208" t="s">
        <v>1059</v>
      </c>
      <c r="L247" s="252">
        <v>204000000</v>
      </c>
      <c r="M247" s="252">
        <v>204000000</v>
      </c>
      <c r="N247" s="253"/>
      <c r="O247" s="254"/>
    </row>
    <row r="248" spans="2:15" s="198" customFormat="1" ht="14.1" customHeight="1">
      <c r="B248" s="250">
        <v>239</v>
      </c>
      <c r="C248" s="251"/>
      <c r="D248" s="200" t="s">
        <v>554</v>
      </c>
      <c r="E248" s="437" t="s">
        <v>141</v>
      </c>
      <c r="F248" s="251">
        <v>1</v>
      </c>
      <c r="G248" s="251">
        <v>1</v>
      </c>
      <c r="H248" s="209" t="s">
        <v>3111</v>
      </c>
      <c r="I248" s="206">
        <v>37614</v>
      </c>
      <c r="J248" s="206" t="s">
        <v>3117</v>
      </c>
      <c r="K248" s="208" t="s">
        <v>1059</v>
      </c>
      <c r="L248" s="252">
        <v>150000000</v>
      </c>
      <c r="M248" s="252">
        <v>150000000</v>
      </c>
      <c r="N248" s="253"/>
      <c r="O248" s="254" t="s">
        <v>3148</v>
      </c>
    </row>
    <row r="249" spans="2:15" s="198" customFormat="1" ht="14.1" customHeight="1">
      <c r="B249" s="250">
        <v>240</v>
      </c>
      <c r="C249" s="251"/>
      <c r="D249" s="200" t="s">
        <v>555</v>
      </c>
      <c r="E249" s="437" t="s">
        <v>152</v>
      </c>
      <c r="F249" s="251">
        <v>1</v>
      </c>
      <c r="G249" s="251">
        <v>1</v>
      </c>
      <c r="H249" s="209" t="s">
        <v>3111</v>
      </c>
      <c r="I249" s="206">
        <v>41870</v>
      </c>
      <c r="J249" s="206" t="s">
        <v>3110</v>
      </c>
      <c r="K249" s="208" t="s">
        <v>1059</v>
      </c>
      <c r="L249" s="252">
        <v>132000000</v>
      </c>
      <c r="M249" s="252">
        <v>132000000</v>
      </c>
      <c r="N249" s="253"/>
      <c r="O249" s="254"/>
    </row>
    <row r="250" spans="2:15" s="198" customFormat="1" ht="14.1" customHeight="1">
      <c r="B250" s="250">
        <v>241</v>
      </c>
      <c r="C250" s="251"/>
      <c r="D250" s="200" t="s">
        <v>556</v>
      </c>
      <c r="E250" s="437" t="s">
        <v>284</v>
      </c>
      <c r="F250" s="251">
        <v>1</v>
      </c>
      <c r="G250" s="251">
        <v>1</v>
      </c>
      <c r="H250" s="209" t="s">
        <v>3111</v>
      </c>
      <c r="I250" s="206">
        <v>38541</v>
      </c>
      <c r="J250" s="206" t="s">
        <v>3117</v>
      </c>
      <c r="K250" s="208" t="s">
        <v>1059</v>
      </c>
      <c r="L250" s="252">
        <v>45600000</v>
      </c>
      <c r="M250" s="252">
        <v>45600000</v>
      </c>
      <c r="N250" s="253"/>
      <c r="O250" s="254" t="s">
        <v>3148</v>
      </c>
    </row>
    <row r="251" spans="2:15" s="198" customFormat="1" ht="14.1" customHeight="1">
      <c r="B251" s="250">
        <v>242</v>
      </c>
      <c r="C251" s="251"/>
      <c r="D251" s="200" t="s">
        <v>556</v>
      </c>
      <c r="E251" s="437" t="s">
        <v>284</v>
      </c>
      <c r="F251" s="251">
        <v>1</v>
      </c>
      <c r="G251" s="251">
        <v>2</v>
      </c>
      <c r="H251" s="209" t="s">
        <v>3111</v>
      </c>
      <c r="I251" s="206">
        <v>39826</v>
      </c>
      <c r="J251" s="206" t="s">
        <v>3110</v>
      </c>
      <c r="K251" s="208" t="s">
        <v>1059</v>
      </c>
      <c r="L251" s="252">
        <v>63600000</v>
      </c>
      <c r="M251" s="252">
        <v>63600000</v>
      </c>
      <c r="N251" s="253"/>
      <c r="O251" s="254"/>
    </row>
    <row r="252" spans="2:15" s="198" customFormat="1" ht="14.1" customHeight="1">
      <c r="B252" s="250">
        <v>243</v>
      </c>
      <c r="C252" s="251"/>
      <c r="D252" s="200" t="s">
        <v>557</v>
      </c>
      <c r="E252" s="437" t="s">
        <v>152</v>
      </c>
      <c r="F252" s="251">
        <v>1</v>
      </c>
      <c r="G252" s="251">
        <v>1</v>
      </c>
      <c r="H252" s="209" t="s">
        <v>3111</v>
      </c>
      <c r="I252" s="206">
        <v>40526</v>
      </c>
      <c r="J252" s="206" t="s">
        <v>3110</v>
      </c>
      <c r="K252" s="208" t="s">
        <v>1059</v>
      </c>
      <c r="L252" s="252">
        <v>72000000</v>
      </c>
      <c r="M252" s="252">
        <v>72000000</v>
      </c>
      <c r="N252" s="253"/>
      <c r="O252" s="254"/>
    </row>
    <row r="253" spans="2:15" s="198" customFormat="1" ht="14.1" customHeight="1">
      <c r="B253" s="250">
        <v>244</v>
      </c>
      <c r="C253" s="251"/>
      <c r="D253" s="200" t="s">
        <v>557</v>
      </c>
      <c r="E253" s="437" t="s">
        <v>152</v>
      </c>
      <c r="F253" s="251">
        <v>1</v>
      </c>
      <c r="G253" s="251">
        <v>2</v>
      </c>
      <c r="H253" s="209" t="s">
        <v>3111</v>
      </c>
      <c r="I253" s="206">
        <v>41696</v>
      </c>
      <c r="J253" s="206" t="s">
        <v>3110</v>
      </c>
      <c r="K253" s="208" t="s">
        <v>1059</v>
      </c>
      <c r="L253" s="252">
        <v>38285664</v>
      </c>
      <c r="M253" s="252">
        <v>38285664</v>
      </c>
      <c r="N253" s="253"/>
      <c r="O253" s="254"/>
    </row>
    <row r="254" spans="2:15" s="198" customFormat="1" ht="14.1" customHeight="1">
      <c r="B254" s="250">
        <v>245</v>
      </c>
      <c r="C254" s="251"/>
      <c r="D254" s="200" t="s">
        <v>558</v>
      </c>
      <c r="E254" s="437" t="s">
        <v>202</v>
      </c>
      <c r="F254" s="251">
        <v>1</v>
      </c>
      <c r="G254" s="251">
        <v>1</v>
      </c>
      <c r="H254" s="209" t="s">
        <v>3111</v>
      </c>
      <c r="I254" s="206">
        <v>39489</v>
      </c>
      <c r="J254" s="206" t="s">
        <v>3117</v>
      </c>
      <c r="K254" s="208" t="s">
        <v>1059</v>
      </c>
      <c r="L254" s="252">
        <v>141600000</v>
      </c>
      <c r="M254" s="252">
        <v>141600000</v>
      </c>
      <c r="N254" s="253"/>
      <c r="O254" s="254"/>
    </row>
    <row r="255" spans="2:15" s="198" customFormat="1" ht="14.1" customHeight="1">
      <c r="B255" s="250">
        <v>246</v>
      </c>
      <c r="C255" s="251"/>
      <c r="D255" s="200" t="s">
        <v>559</v>
      </c>
      <c r="E255" s="437" t="s">
        <v>168</v>
      </c>
      <c r="F255" s="251">
        <v>1</v>
      </c>
      <c r="G255" s="251">
        <v>1</v>
      </c>
      <c r="H255" s="209" t="s">
        <v>3111</v>
      </c>
      <c r="I255" s="206">
        <v>40466</v>
      </c>
      <c r="J255" s="206" t="s">
        <v>3110</v>
      </c>
      <c r="K255" s="208" t="s">
        <v>1059</v>
      </c>
      <c r="L255" s="252">
        <v>120000000</v>
      </c>
      <c r="M255" s="252">
        <v>120000000</v>
      </c>
      <c r="N255" s="253"/>
      <c r="O255" s="254"/>
    </row>
    <row r="256" spans="2:15" s="198" customFormat="1" ht="14.1" customHeight="1">
      <c r="B256" s="250">
        <v>247</v>
      </c>
      <c r="C256" s="251"/>
      <c r="D256" s="200" t="s">
        <v>559</v>
      </c>
      <c r="E256" s="437" t="s">
        <v>168</v>
      </c>
      <c r="F256" s="251">
        <v>1</v>
      </c>
      <c r="G256" s="251">
        <v>2</v>
      </c>
      <c r="H256" s="209" t="s">
        <v>3111</v>
      </c>
      <c r="I256" s="206">
        <v>40697</v>
      </c>
      <c r="J256" s="206" t="s">
        <v>3110</v>
      </c>
      <c r="K256" s="208" t="s">
        <v>1059</v>
      </c>
      <c r="L256" s="252">
        <v>24000000</v>
      </c>
      <c r="M256" s="252">
        <v>24000000</v>
      </c>
      <c r="N256" s="253"/>
      <c r="O256" s="254"/>
    </row>
    <row r="257" spans="2:15" s="198" customFormat="1" ht="14.1" customHeight="1">
      <c r="B257" s="250">
        <v>248</v>
      </c>
      <c r="C257" s="251"/>
      <c r="D257" s="200" t="s">
        <v>560</v>
      </c>
      <c r="E257" s="437" t="s">
        <v>670</v>
      </c>
      <c r="F257" s="251">
        <v>1</v>
      </c>
      <c r="G257" s="251">
        <v>1</v>
      </c>
      <c r="H257" s="209" t="s">
        <v>3133</v>
      </c>
      <c r="I257" s="206">
        <v>39210</v>
      </c>
      <c r="J257" s="206" t="s">
        <v>3114</v>
      </c>
      <c r="K257" s="208" t="s">
        <v>1059</v>
      </c>
      <c r="L257" s="252">
        <v>208800000</v>
      </c>
      <c r="M257" s="252">
        <v>208800000</v>
      </c>
      <c r="N257" s="253"/>
      <c r="O257" s="254" t="s">
        <v>3154</v>
      </c>
    </row>
    <row r="258" spans="2:15" s="198" customFormat="1" ht="14.1" customHeight="1">
      <c r="B258" s="250">
        <v>249</v>
      </c>
      <c r="C258" s="251"/>
      <c r="D258" s="200" t="s">
        <v>560</v>
      </c>
      <c r="E258" s="437" t="s">
        <v>670</v>
      </c>
      <c r="F258" s="251">
        <v>1</v>
      </c>
      <c r="G258" s="251">
        <v>2</v>
      </c>
      <c r="H258" s="209" t="s">
        <v>3111</v>
      </c>
      <c r="I258" s="206">
        <v>39367</v>
      </c>
      <c r="J258" s="206" t="s">
        <v>3117</v>
      </c>
      <c r="K258" s="208" t="s">
        <v>1059</v>
      </c>
      <c r="L258" s="252">
        <v>200000000</v>
      </c>
      <c r="M258" s="252">
        <v>200000000</v>
      </c>
      <c r="N258" s="253"/>
      <c r="O258" s="254"/>
    </row>
    <row r="259" spans="2:15" s="198" customFormat="1" ht="14.1" customHeight="1">
      <c r="B259" s="250">
        <v>250</v>
      </c>
      <c r="C259" s="251"/>
      <c r="D259" s="200" t="s">
        <v>561</v>
      </c>
      <c r="E259" s="437" t="s">
        <v>168</v>
      </c>
      <c r="F259" s="251">
        <v>1</v>
      </c>
      <c r="G259" s="251">
        <v>1</v>
      </c>
      <c r="H259" s="209" t="s">
        <v>3133</v>
      </c>
      <c r="I259" s="206">
        <v>38793</v>
      </c>
      <c r="J259" s="206" t="s">
        <v>3114</v>
      </c>
      <c r="K259" s="208" t="s">
        <v>1059</v>
      </c>
      <c r="L259" s="252">
        <v>240000000</v>
      </c>
      <c r="M259" s="252">
        <v>240000000</v>
      </c>
      <c r="N259" s="253"/>
      <c r="O259" s="254" t="s">
        <v>3148</v>
      </c>
    </row>
    <row r="260" spans="2:15" s="198" customFormat="1" ht="14.1" customHeight="1">
      <c r="B260" s="250">
        <v>251</v>
      </c>
      <c r="C260" s="251"/>
      <c r="D260" s="200" t="s">
        <v>561</v>
      </c>
      <c r="E260" s="437" t="s">
        <v>168</v>
      </c>
      <c r="F260" s="251">
        <v>1</v>
      </c>
      <c r="G260" s="251">
        <v>2</v>
      </c>
      <c r="H260" s="209" t="s">
        <v>3111</v>
      </c>
      <c r="I260" s="206">
        <v>39630</v>
      </c>
      <c r="J260" s="206" t="s">
        <v>3117</v>
      </c>
      <c r="K260" s="208" t="s">
        <v>1059</v>
      </c>
      <c r="L260" s="252">
        <v>96000000</v>
      </c>
      <c r="M260" s="252">
        <v>96000000</v>
      </c>
      <c r="N260" s="253"/>
      <c r="O260" s="254"/>
    </row>
    <row r="261" spans="2:15" s="198" customFormat="1" ht="14.1" customHeight="1">
      <c r="B261" s="250">
        <v>252</v>
      </c>
      <c r="C261" s="251"/>
      <c r="D261" s="200" t="s">
        <v>561</v>
      </c>
      <c r="E261" s="437" t="s">
        <v>168</v>
      </c>
      <c r="F261" s="251">
        <v>1</v>
      </c>
      <c r="G261" s="251">
        <v>3</v>
      </c>
      <c r="H261" s="209" t="s">
        <v>3155</v>
      </c>
      <c r="I261" s="206">
        <v>41849</v>
      </c>
      <c r="J261" s="206" t="s">
        <v>3114</v>
      </c>
      <c r="K261" s="208" t="s">
        <v>1059</v>
      </c>
      <c r="L261" s="252">
        <v>39000000</v>
      </c>
      <c r="M261" s="252">
        <v>39000000</v>
      </c>
      <c r="N261" s="253"/>
      <c r="O261" s="254"/>
    </row>
    <row r="262" spans="2:15" s="198" customFormat="1" ht="14.1" customHeight="1">
      <c r="B262" s="250">
        <v>253</v>
      </c>
      <c r="C262" s="251"/>
      <c r="D262" s="200" t="s">
        <v>561</v>
      </c>
      <c r="E262" s="437" t="s">
        <v>168</v>
      </c>
      <c r="F262" s="251">
        <v>1</v>
      </c>
      <c r="G262" s="251">
        <v>4</v>
      </c>
      <c r="H262" s="209" t="s">
        <v>3111</v>
      </c>
      <c r="I262" s="206">
        <v>42086</v>
      </c>
      <c r="J262" s="206" t="s">
        <v>3110</v>
      </c>
      <c r="K262" s="208" t="s">
        <v>1059</v>
      </c>
      <c r="L262" s="252">
        <v>40800000</v>
      </c>
      <c r="M262" s="252">
        <v>40800000</v>
      </c>
      <c r="N262" s="253"/>
      <c r="O262" s="254"/>
    </row>
    <row r="263" spans="2:15" s="198" customFormat="1" ht="14.1" customHeight="1">
      <c r="B263" s="250">
        <v>254</v>
      </c>
      <c r="C263" s="251"/>
      <c r="D263" s="200" t="s">
        <v>562</v>
      </c>
      <c r="E263" s="437" t="s">
        <v>109</v>
      </c>
      <c r="F263" s="251">
        <v>1</v>
      </c>
      <c r="G263" s="251">
        <v>1</v>
      </c>
      <c r="H263" s="209" t="s">
        <v>3111</v>
      </c>
      <c r="I263" s="206">
        <v>42041</v>
      </c>
      <c r="J263" s="206" t="s">
        <v>3110</v>
      </c>
      <c r="K263" s="208" t="s">
        <v>1059</v>
      </c>
      <c r="L263" s="252">
        <v>134400000</v>
      </c>
      <c r="M263" s="252">
        <v>134400000</v>
      </c>
      <c r="N263" s="253"/>
      <c r="O263" s="254"/>
    </row>
    <row r="264" spans="2:15" s="198" customFormat="1" ht="14.1" customHeight="1">
      <c r="B264" s="250">
        <v>255</v>
      </c>
      <c r="C264" s="251"/>
      <c r="D264" s="200" t="s">
        <v>563</v>
      </c>
      <c r="E264" s="437" t="s">
        <v>109</v>
      </c>
      <c r="F264" s="251">
        <v>1</v>
      </c>
      <c r="G264" s="251">
        <v>1</v>
      </c>
      <c r="H264" s="209" t="s">
        <v>3111</v>
      </c>
      <c r="I264" s="206">
        <v>41149</v>
      </c>
      <c r="J264" s="206" t="s">
        <v>3110</v>
      </c>
      <c r="K264" s="208" t="s">
        <v>1059</v>
      </c>
      <c r="L264" s="252">
        <v>166400000</v>
      </c>
      <c r="M264" s="252">
        <v>166400000</v>
      </c>
      <c r="N264" s="253"/>
      <c r="O264" s="254"/>
    </row>
    <row r="265" spans="2:15" s="198" customFormat="1" ht="14.1" customHeight="1">
      <c r="B265" s="250">
        <v>256</v>
      </c>
      <c r="C265" s="251"/>
      <c r="D265" s="200" t="s">
        <v>564</v>
      </c>
      <c r="E265" s="437" t="s">
        <v>138</v>
      </c>
      <c r="F265" s="251">
        <v>1</v>
      </c>
      <c r="G265" s="251">
        <v>1</v>
      </c>
      <c r="H265" s="209" t="s">
        <v>3111</v>
      </c>
      <c r="I265" s="206">
        <v>41110</v>
      </c>
      <c r="J265" s="206" t="s">
        <v>3110</v>
      </c>
      <c r="K265" s="208" t="s">
        <v>1059</v>
      </c>
      <c r="L265" s="252">
        <v>60000000</v>
      </c>
      <c r="M265" s="252">
        <v>60000000</v>
      </c>
      <c r="N265" s="253"/>
      <c r="O265" s="254"/>
    </row>
    <row r="266" spans="2:15" s="198" customFormat="1" ht="14.1" customHeight="1">
      <c r="B266" s="250">
        <v>257</v>
      </c>
      <c r="C266" s="251"/>
      <c r="D266" s="200" t="s">
        <v>564</v>
      </c>
      <c r="E266" s="437" t="s">
        <v>138</v>
      </c>
      <c r="F266" s="251">
        <v>1</v>
      </c>
      <c r="G266" s="251">
        <v>2</v>
      </c>
      <c r="H266" s="209" t="s">
        <v>3111</v>
      </c>
      <c r="I266" s="206">
        <v>41969</v>
      </c>
      <c r="J266" s="206" t="s">
        <v>3110</v>
      </c>
      <c r="K266" s="208" t="s">
        <v>1059</v>
      </c>
      <c r="L266" s="252">
        <v>67200000</v>
      </c>
      <c r="M266" s="252">
        <v>67200000</v>
      </c>
      <c r="N266" s="253"/>
      <c r="O266" s="254"/>
    </row>
    <row r="267" spans="2:15" s="198" customFormat="1" ht="14.1" customHeight="1">
      <c r="B267" s="250">
        <v>258</v>
      </c>
      <c r="C267" s="251"/>
      <c r="D267" s="200" t="s">
        <v>565</v>
      </c>
      <c r="E267" s="437" t="s">
        <v>109</v>
      </c>
      <c r="F267" s="251">
        <v>1</v>
      </c>
      <c r="G267" s="251">
        <v>1</v>
      </c>
      <c r="H267" s="209" t="s">
        <v>3111</v>
      </c>
      <c r="I267" s="206">
        <v>42150</v>
      </c>
      <c r="J267" s="206" t="s">
        <v>3110</v>
      </c>
      <c r="K267" s="208" t="s">
        <v>1059</v>
      </c>
      <c r="L267" s="252">
        <v>126000000</v>
      </c>
      <c r="M267" s="252">
        <v>126000000</v>
      </c>
      <c r="N267" s="253"/>
      <c r="O267" s="254"/>
    </row>
    <row r="268" spans="2:15" s="198" customFormat="1" ht="14.1" customHeight="1">
      <c r="B268" s="250">
        <v>259</v>
      </c>
      <c r="C268" s="251"/>
      <c r="D268" s="200" t="s">
        <v>566</v>
      </c>
      <c r="E268" s="437" t="s">
        <v>109</v>
      </c>
      <c r="F268" s="251">
        <v>1</v>
      </c>
      <c r="G268" s="251">
        <v>1</v>
      </c>
      <c r="H268" s="209" t="s">
        <v>3111</v>
      </c>
      <c r="I268" s="206">
        <v>41029</v>
      </c>
      <c r="J268" s="206" t="s">
        <v>3110</v>
      </c>
      <c r="K268" s="208" t="s">
        <v>1059</v>
      </c>
      <c r="L268" s="252">
        <v>180000000</v>
      </c>
      <c r="M268" s="252">
        <v>180000000</v>
      </c>
      <c r="N268" s="253"/>
      <c r="O268" s="254"/>
    </row>
    <row r="269" spans="2:15" s="198" customFormat="1" ht="14.1" customHeight="1">
      <c r="B269" s="250">
        <v>260</v>
      </c>
      <c r="C269" s="251"/>
      <c r="D269" s="200" t="s">
        <v>567</v>
      </c>
      <c r="E269" s="437" t="s">
        <v>234</v>
      </c>
      <c r="F269" s="251">
        <v>1</v>
      </c>
      <c r="G269" s="251">
        <v>1</v>
      </c>
      <c r="H269" s="209" t="s">
        <v>3111</v>
      </c>
      <c r="I269" s="206">
        <v>42013</v>
      </c>
      <c r="J269" s="206" t="s">
        <v>3110</v>
      </c>
      <c r="K269" s="208" t="s">
        <v>1059</v>
      </c>
      <c r="L269" s="252">
        <v>57600000</v>
      </c>
      <c r="M269" s="252">
        <v>57600000</v>
      </c>
      <c r="N269" s="253"/>
      <c r="O269" s="254"/>
    </row>
    <row r="270" spans="2:15" s="198" customFormat="1" ht="14.1" customHeight="1">
      <c r="B270" s="250">
        <v>261</v>
      </c>
      <c r="C270" s="251"/>
      <c r="D270" s="200" t="s">
        <v>567</v>
      </c>
      <c r="E270" s="437" t="s">
        <v>234</v>
      </c>
      <c r="F270" s="251">
        <v>2</v>
      </c>
      <c r="G270" s="251">
        <v>1</v>
      </c>
      <c r="H270" s="209" t="s">
        <v>3111</v>
      </c>
      <c r="I270" s="206">
        <v>41941</v>
      </c>
      <c r="J270" s="206" t="s">
        <v>3110</v>
      </c>
      <c r="K270" s="208" t="s">
        <v>1059</v>
      </c>
      <c r="L270" s="252">
        <v>72000000</v>
      </c>
      <c r="M270" s="252">
        <v>72000000</v>
      </c>
      <c r="N270" s="253"/>
      <c r="O270" s="254"/>
    </row>
    <row r="271" spans="2:15" s="198" customFormat="1" ht="14.1" customHeight="1">
      <c r="B271" s="250">
        <v>262</v>
      </c>
      <c r="C271" s="251"/>
      <c r="D271" s="200" t="s">
        <v>568</v>
      </c>
      <c r="E271" s="437" t="s">
        <v>663</v>
      </c>
      <c r="F271" s="251">
        <v>1</v>
      </c>
      <c r="G271" s="251">
        <v>1</v>
      </c>
      <c r="H271" s="209" t="s">
        <v>3111</v>
      </c>
      <c r="I271" s="206">
        <v>41264</v>
      </c>
      <c r="J271" s="206" t="s">
        <v>3110</v>
      </c>
      <c r="K271" s="208" t="s">
        <v>1059</v>
      </c>
      <c r="L271" s="252">
        <v>126000000</v>
      </c>
      <c r="M271" s="252">
        <v>126000000</v>
      </c>
      <c r="N271" s="253"/>
      <c r="O271" s="254"/>
    </row>
    <row r="272" spans="2:15" s="198" customFormat="1" ht="14.1" customHeight="1">
      <c r="B272" s="250">
        <v>263</v>
      </c>
      <c r="C272" s="251"/>
      <c r="D272" s="200" t="s">
        <v>569</v>
      </c>
      <c r="E272" s="437" t="s">
        <v>109</v>
      </c>
      <c r="F272" s="251">
        <v>1</v>
      </c>
      <c r="G272" s="251">
        <v>1</v>
      </c>
      <c r="H272" s="209" t="s">
        <v>3111</v>
      </c>
      <c r="I272" s="206">
        <v>42061</v>
      </c>
      <c r="J272" s="206" t="s">
        <v>3110</v>
      </c>
      <c r="K272" s="208" t="s">
        <v>1059</v>
      </c>
      <c r="L272" s="252">
        <v>100800000</v>
      </c>
      <c r="M272" s="252">
        <v>100800000</v>
      </c>
      <c r="N272" s="253"/>
      <c r="O272" s="254"/>
    </row>
    <row r="273" spans="2:15" s="198" customFormat="1" ht="14.1" customHeight="1">
      <c r="B273" s="250">
        <v>264</v>
      </c>
      <c r="C273" s="251"/>
      <c r="D273" s="200" t="s">
        <v>570</v>
      </c>
      <c r="E273" s="437" t="s">
        <v>226</v>
      </c>
      <c r="F273" s="251">
        <v>1</v>
      </c>
      <c r="G273" s="251">
        <v>1</v>
      </c>
      <c r="H273" s="209" t="s">
        <v>3111</v>
      </c>
      <c r="I273" s="206">
        <v>38901</v>
      </c>
      <c r="J273" s="206" t="s">
        <v>3117</v>
      </c>
      <c r="K273" s="208" t="s">
        <v>1059</v>
      </c>
      <c r="L273" s="252">
        <v>120000000</v>
      </c>
      <c r="M273" s="252">
        <v>120000000</v>
      </c>
      <c r="N273" s="253"/>
      <c r="O273" s="254"/>
    </row>
    <row r="274" spans="2:15" s="198" customFormat="1" ht="14.1" customHeight="1">
      <c r="B274" s="250">
        <v>265</v>
      </c>
      <c r="C274" s="251"/>
      <c r="D274" s="200" t="s">
        <v>571</v>
      </c>
      <c r="E274" s="437" t="s">
        <v>671</v>
      </c>
      <c r="F274" s="251">
        <v>1</v>
      </c>
      <c r="G274" s="251">
        <v>1</v>
      </c>
      <c r="H274" s="209" t="s">
        <v>3111</v>
      </c>
      <c r="I274" s="206">
        <v>38978</v>
      </c>
      <c r="J274" s="206" t="s">
        <v>3117</v>
      </c>
      <c r="K274" s="208" t="s">
        <v>1059</v>
      </c>
      <c r="L274" s="252">
        <v>48000000</v>
      </c>
      <c r="M274" s="252">
        <v>48000000</v>
      </c>
      <c r="N274" s="253"/>
      <c r="O274" s="254" t="s">
        <v>3156</v>
      </c>
    </row>
    <row r="275" spans="2:15" s="198" customFormat="1" ht="14.1" customHeight="1">
      <c r="B275" s="250">
        <v>266</v>
      </c>
      <c r="C275" s="251"/>
      <c r="D275" s="200" t="s">
        <v>571</v>
      </c>
      <c r="E275" s="437" t="s">
        <v>671</v>
      </c>
      <c r="F275" s="251">
        <v>1</v>
      </c>
      <c r="G275" s="251">
        <v>2</v>
      </c>
      <c r="H275" s="209" t="s">
        <v>3111</v>
      </c>
      <c r="I275" s="206">
        <v>39373</v>
      </c>
      <c r="J275" s="206" t="s">
        <v>3117</v>
      </c>
      <c r="K275" s="208" t="s">
        <v>1059</v>
      </c>
      <c r="L275" s="252">
        <v>24000000</v>
      </c>
      <c r="M275" s="252">
        <v>24000000</v>
      </c>
      <c r="N275" s="253"/>
      <c r="O275" s="254"/>
    </row>
    <row r="276" spans="2:15" s="198" customFormat="1" ht="14.1" customHeight="1">
      <c r="B276" s="250">
        <v>267</v>
      </c>
      <c r="C276" s="251"/>
      <c r="D276" s="200" t="s">
        <v>571</v>
      </c>
      <c r="E276" s="437" t="s">
        <v>671</v>
      </c>
      <c r="F276" s="251">
        <v>1</v>
      </c>
      <c r="G276" s="251">
        <v>3</v>
      </c>
      <c r="H276" s="209" t="s">
        <v>3111</v>
      </c>
      <c r="I276" s="206">
        <v>39689</v>
      </c>
      <c r="J276" s="206" t="s">
        <v>3117</v>
      </c>
      <c r="K276" s="208" t="s">
        <v>1059</v>
      </c>
      <c r="L276" s="252">
        <v>48000000</v>
      </c>
      <c r="M276" s="252">
        <v>48000000</v>
      </c>
      <c r="N276" s="253"/>
      <c r="O276" s="254"/>
    </row>
    <row r="277" spans="2:15" s="198" customFormat="1" ht="14.1" customHeight="1">
      <c r="B277" s="250">
        <v>268</v>
      </c>
      <c r="C277" s="251"/>
      <c r="D277" s="200" t="s">
        <v>571</v>
      </c>
      <c r="E277" s="437" t="s">
        <v>671</v>
      </c>
      <c r="F277" s="251">
        <v>1</v>
      </c>
      <c r="G277" s="251">
        <v>4</v>
      </c>
      <c r="H277" s="209" t="s">
        <v>3111</v>
      </c>
      <c r="I277" s="206">
        <v>40268</v>
      </c>
      <c r="J277" s="206" t="s">
        <v>3110</v>
      </c>
      <c r="K277" s="208" t="s">
        <v>1059</v>
      </c>
      <c r="L277" s="252">
        <v>24000000</v>
      </c>
      <c r="M277" s="252">
        <v>24000000</v>
      </c>
      <c r="N277" s="253"/>
      <c r="O277" s="254"/>
    </row>
    <row r="278" spans="2:15" s="198" customFormat="1" ht="14.1" customHeight="1">
      <c r="B278" s="250">
        <v>269</v>
      </c>
      <c r="C278" s="251"/>
      <c r="D278" s="200" t="s">
        <v>572</v>
      </c>
      <c r="E278" s="437" t="s">
        <v>179</v>
      </c>
      <c r="F278" s="251">
        <v>1</v>
      </c>
      <c r="G278" s="251">
        <v>1</v>
      </c>
      <c r="H278" s="209" t="s">
        <v>3111</v>
      </c>
      <c r="I278" s="206">
        <v>41940</v>
      </c>
      <c r="J278" s="206" t="s">
        <v>3110</v>
      </c>
      <c r="K278" s="208" t="s">
        <v>1059</v>
      </c>
      <c r="L278" s="252">
        <v>138000000</v>
      </c>
      <c r="M278" s="252">
        <v>138000000</v>
      </c>
      <c r="N278" s="253"/>
      <c r="O278" s="254"/>
    </row>
    <row r="279" spans="2:15" s="198" customFormat="1" ht="14.1" customHeight="1">
      <c r="B279" s="250">
        <v>270</v>
      </c>
      <c r="C279" s="251"/>
      <c r="D279" s="200" t="s">
        <v>573</v>
      </c>
      <c r="E279" s="437" t="s">
        <v>152</v>
      </c>
      <c r="F279" s="251">
        <v>1</v>
      </c>
      <c r="G279" s="251">
        <v>1</v>
      </c>
      <c r="H279" s="209" t="s">
        <v>3111</v>
      </c>
      <c r="I279" s="206">
        <v>41849</v>
      </c>
      <c r="J279" s="206" t="s">
        <v>3110</v>
      </c>
      <c r="K279" s="208" t="s">
        <v>1059</v>
      </c>
      <c r="L279" s="252">
        <v>115200000</v>
      </c>
      <c r="M279" s="252">
        <v>115200000</v>
      </c>
      <c r="N279" s="253"/>
      <c r="O279" s="254"/>
    </row>
    <row r="280" spans="2:15" s="198" customFormat="1" ht="14.1" customHeight="1">
      <c r="B280" s="250">
        <v>271</v>
      </c>
      <c r="C280" s="251"/>
      <c r="D280" s="200" t="s">
        <v>574</v>
      </c>
      <c r="E280" s="437" t="s">
        <v>152</v>
      </c>
      <c r="F280" s="251">
        <v>1</v>
      </c>
      <c r="G280" s="251">
        <v>1</v>
      </c>
      <c r="H280" s="209" t="s">
        <v>3111</v>
      </c>
      <c r="I280" s="206">
        <v>41817</v>
      </c>
      <c r="J280" s="206" t="s">
        <v>3110</v>
      </c>
      <c r="K280" s="208" t="s">
        <v>1059</v>
      </c>
      <c r="L280" s="252">
        <v>111600000</v>
      </c>
      <c r="M280" s="252">
        <v>111600000</v>
      </c>
      <c r="N280" s="253"/>
      <c r="O280" s="254"/>
    </row>
    <row r="281" spans="2:15" s="198" customFormat="1" ht="14.1" customHeight="1">
      <c r="B281" s="250">
        <v>272</v>
      </c>
      <c r="C281" s="251"/>
      <c r="D281" s="200" t="s">
        <v>575</v>
      </c>
      <c r="E281" s="437" t="s">
        <v>151</v>
      </c>
      <c r="F281" s="251">
        <v>1</v>
      </c>
      <c r="G281" s="251">
        <v>1</v>
      </c>
      <c r="H281" s="209" t="s">
        <v>3111</v>
      </c>
      <c r="I281" s="206">
        <v>41774</v>
      </c>
      <c r="J281" s="206" t="s">
        <v>3110</v>
      </c>
      <c r="K281" s="208" t="s">
        <v>1059</v>
      </c>
      <c r="L281" s="252">
        <v>108000000</v>
      </c>
      <c r="M281" s="252">
        <v>108000000</v>
      </c>
      <c r="N281" s="253"/>
      <c r="O281" s="254" t="s">
        <v>3157</v>
      </c>
    </row>
    <row r="282" spans="2:15" s="198" customFormat="1" ht="14.1" customHeight="1">
      <c r="B282" s="250">
        <v>273</v>
      </c>
      <c r="C282" s="251"/>
      <c r="D282" s="200" t="s">
        <v>576</v>
      </c>
      <c r="E282" s="437" t="s">
        <v>672</v>
      </c>
      <c r="F282" s="251">
        <v>1</v>
      </c>
      <c r="G282" s="251">
        <v>1</v>
      </c>
      <c r="H282" s="209" t="s">
        <v>3111</v>
      </c>
      <c r="I282" s="206">
        <v>40861</v>
      </c>
      <c r="J282" s="206" t="s">
        <v>3110</v>
      </c>
      <c r="K282" s="208" t="s">
        <v>1059</v>
      </c>
      <c r="L282" s="252">
        <v>36000000</v>
      </c>
      <c r="M282" s="252">
        <v>36000000</v>
      </c>
      <c r="N282" s="253"/>
      <c r="O282" s="254"/>
    </row>
    <row r="283" spans="2:15" s="198" customFormat="1" ht="14.1" customHeight="1">
      <c r="B283" s="250">
        <v>274</v>
      </c>
      <c r="C283" s="251"/>
      <c r="D283" s="200" t="s">
        <v>576</v>
      </c>
      <c r="E283" s="437" t="s">
        <v>672</v>
      </c>
      <c r="F283" s="251">
        <v>1</v>
      </c>
      <c r="G283" s="251">
        <v>2</v>
      </c>
      <c r="H283" s="209" t="s">
        <v>3111</v>
      </c>
      <c r="I283" s="206">
        <v>40868</v>
      </c>
      <c r="J283" s="206" t="s">
        <v>3110</v>
      </c>
      <c r="K283" s="208" t="s">
        <v>1059</v>
      </c>
      <c r="L283" s="252">
        <v>60000000</v>
      </c>
      <c r="M283" s="252">
        <v>60000000</v>
      </c>
      <c r="N283" s="253"/>
      <c r="O283" s="254"/>
    </row>
    <row r="284" spans="2:15" s="198" customFormat="1" ht="14.1" customHeight="1">
      <c r="B284" s="250">
        <v>275</v>
      </c>
      <c r="C284" s="251"/>
      <c r="D284" s="200" t="s">
        <v>576</v>
      </c>
      <c r="E284" s="437" t="s">
        <v>672</v>
      </c>
      <c r="F284" s="251">
        <v>1</v>
      </c>
      <c r="G284" s="251">
        <v>3</v>
      </c>
      <c r="H284" s="209" t="s">
        <v>3111</v>
      </c>
      <c r="I284" s="206">
        <v>40974</v>
      </c>
      <c r="J284" s="206" t="s">
        <v>3110</v>
      </c>
      <c r="K284" s="208" t="s">
        <v>1059</v>
      </c>
      <c r="L284" s="252">
        <v>12000000</v>
      </c>
      <c r="M284" s="252">
        <v>12000000</v>
      </c>
      <c r="N284" s="253"/>
      <c r="O284" s="254"/>
    </row>
    <row r="285" spans="2:15" s="198" customFormat="1" ht="14.1" customHeight="1">
      <c r="B285" s="250">
        <v>276</v>
      </c>
      <c r="C285" s="251"/>
      <c r="D285" s="200" t="s">
        <v>577</v>
      </c>
      <c r="E285" s="437" t="s">
        <v>673</v>
      </c>
      <c r="F285" s="251">
        <v>1</v>
      </c>
      <c r="G285" s="251">
        <v>1</v>
      </c>
      <c r="H285" s="209" t="s">
        <v>3111</v>
      </c>
      <c r="I285" s="206">
        <v>41816</v>
      </c>
      <c r="J285" s="206" t="s">
        <v>3110</v>
      </c>
      <c r="K285" s="208" t="s">
        <v>1059</v>
      </c>
      <c r="L285" s="252">
        <v>72000000</v>
      </c>
      <c r="M285" s="252">
        <v>72000000</v>
      </c>
      <c r="N285" s="253"/>
      <c r="O285" s="254"/>
    </row>
    <row r="286" spans="2:15" s="198" customFormat="1" ht="14.1" customHeight="1">
      <c r="B286" s="250">
        <v>277</v>
      </c>
      <c r="C286" s="251"/>
      <c r="D286" s="200" t="s">
        <v>577</v>
      </c>
      <c r="E286" s="437" t="s">
        <v>673</v>
      </c>
      <c r="F286" s="251">
        <v>1</v>
      </c>
      <c r="G286" s="251">
        <v>2</v>
      </c>
      <c r="H286" s="209" t="s">
        <v>3111</v>
      </c>
      <c r="I286" s="206">
        <v>41927</v>
      </c>
      <c r="J286" s="206" t="s">
        <v>3110</v>
      </c>
      <c r="K286" s="208" t="s">
        <v>1059</v>
      </c>
      <c r="L286" s="252">
        <v>46290000</v>
      </c>
      <c r="M286" s="252">
        <v>46290000</v>
      </c>
      <c r="N286" s="253"/>
      <c r="O286" s="254"/>
    </row>
    <row r="287" spans="2:15" s="198" customFormat="1" ht="14.1" customHeight="1">
      <c r="B287" s="250">
        <v>278</v>
      </c>
      <c r="C287" s="251"/>
      <c r="D287" s="200" t="s">
        <v>578</v>
      </c>
      <c r="E287" s="437" t="s">
        <v>148</v>
      </c>
      <c r="F287" s="251">
        <v>1</v>
      </c>
      <c r="G287" s="251">
        <v>1</v>
      </c>
      <c r="H287" s="209" t="s">
        <v>3111</v>
      </c>
      <c r="I287" s="206">
        <v>41936</v>
      </c>
      <c r="J287" s="206" t="s">
        <v>3110</v>
      </c>
      <c r="K287" s="208" t="s">
        <v>1059</v>
      </c>
      <c r="L287" s="252">
        <v>102000000</v>
      </c>
      <c r="M287" s="252">
        <v>102000000</v>
      </c>
      <c r="N287" s="253"/>
      <c r="O287" s="254"/>
    </row>
    <row r="288" spans="2:15" s="198" customFormat="1" ht="14.1" customHeight="1">
      <c r="B288" s="250">
        <v>279</v>
      </c>
      <c r="C288" s="251"/>
      <c r="D288" s="200" t="s">
        <v>579</v>
      </c>
      <c r="E288" s="437" t="s">
        <v>152</v>
      </c>
      <c r="F288" s="251">
        <v>1</v>
      </c>
      <c r="G288" s="251">
        <v>1</v>
      </c>
      <c r="H288" s="209" t="s">
        <v>3111</v>
      </c>
      <c r="I288" s="206">
        <v>42048</v>
      </c>
      <c r="J288" s="206" t="s">
        <v>3110</v>
      </c>
      <c r="K288" s="208" t="s">
        <v>1059</v>
      </c>
      <c r="L288" s="252">
        <v>96000000</v>
      </c>
      <c r="M288" s="252">
        <v>96000000</v>
      </c>
      <c r="N288" s="253"/>
      <c r="O288" s="254"/>
    </row>
    <row r="289" spans="2:15" s="198" customFormat="1" ht="14.1" customHeight="1">
      <c r="B289" s="250">
        <v>280</v>
      </c>
      <c r="C289" s="251"/>
      <c r="D289" s="200" t="s">
        <v>580</v>
      </c>
      <c r="E289" s="437" t="s">
        <v>214</v>
      </c>
      <c r="F289" s="251">
        <v>1</v>
      </c>
      <c r="G289" s="251">
        <v>1</v>
      </c>
      <c r="H289" s="209" t="s">
        <v>3111</v>
      </c>
      <c r="I289" s="206">
        <v>41908</v>
      </c>
      <c r="J289" s="206" t="s">
        <v>3110</v>
      </c>
      <c r="K289" s="208" t="s">
        <v>1059</v>
      </c>
      <c r="L289" s="252">
        <v>96000000</v>
      </c>
      <c r="M289" s="252">
        <v>96000000</v>
      </c>
      <c r="N289" s="253"/>
      <c r="O289" s="254"/>
    </row>
    <row r="290" spans="2:15" s="198" customFormat="1" ht="14.1" customHeight="1">
      <c r="B290" s="250">
        <v>281</v>
      </c>
      <c r="C290" s="251"/>
      <c r="D290" s="200" t="s">
        <v>581</v>
      </c>
      <c r="E290" s="437" t="s">
        <v>674</v>
      </c>
      <c r="F290" s="251">
        <v>1</v>
      </c>
      <c r="G290" s="251">
        <v>1</v>
      </c>
      <c r="H290" s="209" t="s">
        <v>3111</v>
      </c>
      <c r="I290" s="206">
        <v>40115</v>
      </c>
      <c r="J290" s="206" t="s">
        <v>3110</v>
      </c>
      <c r="K290" s="208" t="s">
        <v>1059</v>
      </c>
      <c r="L290" s="252">
        <v>42000000</v>
      </c>
      <c r="M290" s="252">
        <v>42000000</v>
      </c>
      <c r="N290" s="253"/>
      <c r="O290" s="254"/>
    </row>
    <row r="291" spans="2:15" s="198" customFormat="1" ht="14.1" customHeight="1">
      <c r="B291" s="250">
        <v>282</v>
      </c>
      <c r="C291" s="251"/>
      <c r="D291" s="200" t="s">
        <v>581</v>
      </c>
      <c r="E291" s="437" t="s">
        <v>674</v>
      </c>
      <c r="F291" s="251">
        <v>1</v>
      </c>
      <c r="G291" s="251">
        <v>2</v>
      </c>
      <c r="H291" s="209" t="s">
        <v>3111</v>
      </c>
      <c r="I291" s="206">
        <v>40499</v>
      </c>
      <c r="J291" s="206" t="s">
        <v>3110</v>
      </c>
      <c r="K291" s="208" t="s">
        <v>1059</v>
      </c>
      <c r="L291" s="252">
        <v>36000000</v>
      </c>
      <c r="M291" s="252">
        <v>36000000</v>
      </c>
      <c r="N291" s="253"/>
      <c r="O291" s="254"/>
    </row>
    <row r="292" spans="2:15" s="198" customFormat="1" ht="14.1" customHeight="1">
      <c r="B292" s="250">
        <v>283</v>
      </c>
      <c r="C292" s="251"/>
      <c r="D292" s="200" t="s">
        <v>581</v>
      </c>
      <c r="E292" s="437" t="s">
        <v>674</v>
      </c>
      <c r="F292" s="251">
        <v>1</v>
      </c>
      <c r="G292" s="251">
        <v>3</v>
      </c>
      <c r="H292" s="209" t="s">
        <v>3111</v>
      </c>
      <c r="I292" s="206">
        <v>41596</v>
      </c>
      <c r="J292" s="206" t="s">
        <v>3110</v>
      </c>
      <c r="K292" s="208" t="s">
        <v>1059</v>
      </c>
      <c r="L292" s="252">
        <v>18000000</v>
      </c>
      <c r="M292" s="252">
        <v>18000000</v>
      </c>
      <c r="N292" s="253"/>
      <c r="O292" s="254"/>
    </row>
    <row r="293" spans="2:15" s="198" customFormat="1" ht="14.1" customHeight="1">
      <c r="B293" s="250">
        <v>284</v>
      </c>
      <c r="C293" s="251"/>
      <c r="D293" s="200" t="s">
        <v>582</v>
      </c>
      <c r="E293" s="437" t="s">
        <v>175</v>
      </c>
      <c r="F293" s="251">
        <v>1</v>
      </c>
      <c r="G293" s="251">
        <v>1</v>
      </c>
      <c r="H293" s="209" t="s">
        <v>3111</v>
      </c>
      <c r="I293" s="206">
        <v>38497</v>
      </c>
      <c r="J293" s="206" t="s">
        <v>3117</v>
      </c>
      <c r="K293" s="208" t="s">
        <v>1059</v>
      </c>
      <c r="L293" s="252">
        <v>102000000</v>
      </c>
      <c r="M293" s="252">
        <v>102000000</v>
      </c>
      <c r="N293" s="253"/>
      <c r="O293" s="254"/>
    </row>
    <row r="294" spans="2:15" s="198" customFormat="1" ht="14.1" customHeight="1">
      <c r="B294" s="250">
        <v>285</v>
      </c>
      <c r="C294" s="251"/>
      <c r="D294" s="200" t="s">
        <v>583</v>
      </c>
      <c r="E294" s="437" t="s">
        <v>152</v>
      </c>
      <c r="F294" s="251">
        <v>1</v>
      </c>
      <c r="G294" s="251">
        <v>1</v>
      </c>
      <c r="H294" s="209" t="s">
        <v>3111</v>
      </c>
      <c r="I294" s="206">
        <v>36362</v>
      </c>
      <c r="J294" s="206" t="s">
        <v>3117</v>
      </c>
      <c r="K294" s="208" t="s">
        <v>1059</v>
      </c>
      <c r="L294" s="252">
        <v>91000000</v>
      </c>
      <c r="M294" s="252">
        <v>91000000</v>
      </c>
      <c r="N294" s="253"/>
      <c r="O294" s="254" t="s">
        <v>3148</v>
      </c>
    </row>
    <row r="295" spans="2:15" s="198" customFormat="1" ht="14.1" customHeight="1">
      <c r="B295" s="250">
        <v>286</v>
      </c>
      <c r="C295" s="251"/>
      <c r="D295" s="200" t="s">
        <v>584</v>
      </c>
      <c r="E295" s="437" t="s">
        <v>214</v>
      </c>
      <c r="F295" s="251">
        <v>1</v>
      </c>
      <c r="G295" s="251">
        <v>1</v>
      </c>
      <c r="H295" s="209" t="s">
        <v>3111</v>
      </c>
      <c r="I295" s="206">
        <v>37406</v>
      </c>
      <c r="J295" s="206" t="s">
        <v>3117</v>
      </c>
      <c r="K295" s="208" t="s">
        <v>1059</v>
      </c>
      <c r="L295" s="252">
        <v>34800000</v>
      </c>
      <c r="M295" s="252">
        <v>34800000</v>
      </c>
      <c r="N295" s="253"/>
      <c r="O295" s="254" t="s">
        <v>3158</v>
      </c>
    </row>
    <row r="296" spans="2:15" s="198" customFormat="1" ht="14.1" customHeight="1">
      <c r="B296" s="250">
        <v>287</v>
      </c>
      <c r="C296" s="251"/>
      <c r="D296" s="200" t="s">
        <v>584</v>
      </c>
      <c r="E296" s="437" t="s">
        <v>214</v>
      </c>
      <c r="F296" s="251">
        <v>1</v>
      </c>
      <c r="G296" s="251">
        <v>2</v>
      </c>
      <c r="H296" s="209" t="s">
        <v>3111</v>
      </c>
      <c r="I296" s="206">
        <v>38775</v>
      </c>
      <c r="J296" s="206" t="s">
        <v>3117</v>
      </c>
      <c r="K296" s="208" t="s">
        <v>1059</v>
      </c>
      <c r="L296" s="252">
        <v>13200000</v>
      </c>
      <c r="M296" s="252">
        <v>13200000</v>
      </c>
      <c r="N296" s="253"/>
      <c r="O296" s="254" t="s">
        <v>3158</v>
      </c>
    </row>
    <row r="297" spans="2:15" s="198" customFormat="1" ht="14.1" customHeight="1">
      <c r="B297" s="250">
        <v>288</v>
      </c>
      <c r="C297" s="251"/>
      <c r="D297" s="200" t="s">
        <v>584</v>
      </c>
      <c r="E297" s="437" t="s">
        <v>214</v>
      </c>
      <c r="F297" s="251">
        <v>1</v>
      </c>
      <c r="G297" s="251">
        <v>3</v>
      </c>
      <c r="H297" s="209" t="s">
        <v>3111</v>
      </c>
      <c r="I297" s="206">
        <v>40023</v>
      </c>
      <c r="J297" s="206" t="s">
        <v>3110</v>
      </c>
      <c r="K297" s="208" t="s">
        <v>1059</v>
      </c>
      <c r="L297" s="252">
        <v>42000000</v>
      </c>
      <c r="M297" s="252">
        <v>42000000</v>
      </c>
      <c r="N297" s="253"/>
      <c r="O297" s="254"/>
    </row>
    <row r="298" spans="2:15" s="198" customFormat="1" ht="14.1" customHeight="1">
      <c r="B298" s="250">
        <v>289</v>
      </c>
      <c r="C298" s="251"/>
      <c r="D298" s="200" t="s">
        <v>585</v>
      </c>
      <c r="E298" s="437" t="s">
        <v>221</v>
      </c>
      <c r="F298" s="251">
        <v>1</v>
      </c>
      <c r="G298" s="251">
        <v>1</v>
      </c>
      <c r="H298" s="209" t="s">
        <v>3111</v>
      </c>
      <c r="I298" s="206">
        <v>37130</v>
      </c>
      <c r="J298" s="206" t="s">
        <v>3110</v>
      </c>
      <c r="K298" s="208" t="s">
        <v>1059</v>
      </c>
      <c r="L298" s="252">
        <v>19500000</v>
      </c>
      <c r="M298" s="252">
        <v>19500000</v>
      </c>
      <c r="N298" s="253"/>
      <c r="O298" s="254"/>
    </row>
    <row r="299" spans="2:15" s="198" customFormat="1" ht="14.1" customHeight="1">
      <c r="B299" s="250">
        <v>290</v>
      </c>
      <c r="C299" s="251"/>
      <c r="D299" s="200" t="s">
        <v>585</v>
      </c>
      <c r="E299" s="437" t="s">
        <v>221</v>
      </c>
      <c r="F299" s="251">
        <v>1</v>
      </c>
      <c r="G299" s="251">
        <v>2</v>
      </c>
      <c r="H299" s="209" t="s">
        <v>3111</v>
      </c>
      <c r="I299" s="206">
        <v>37476</v>
      </c>
      <c r="J299" s="206" t="s">
        <v>3117</v>
      </c>
      <c r="K299" s="208" t="s">
        <v>1059</v>
      </c>
      <c r="L299" s="252">
        <v>12000000</v>
      </c>
      <c r="M299" s="252">
        <v>12000000</v>
      </c>
      <c r="N299" s="253"/>
      <c r="O299" s="254"/>
    </row>
    <row r="300" spans="2:15" s="198" customFormat="1" ht="14.1" customHeight="1">
      <c r="B300" s="250">
        <v>291</v>
      </c>
      <c r="C300" s="251"/>
      <c r="D300" s="200" t="s">
        <v>585</v>
      </c>
      <c r="E300" s="437" t="s">
        <v>221</v>
      </c>
      <c r="F300" s="251">
        <v>1</v>
      </c>
      <c r="G300" s="251">
        <v>3</v>
      </c>
      <c r="H300" s="209" t="s">
        <v>3111</v>
      </c>
      <c r="I300" s="206">
        <v>41711</v>
      </c>
      <c r="J300" s="206" t="s">
        <v>3110</v>
      </c>
      <c r="K300" s="208" t="s">
        <v>1059</v>
      </c>
      <c r="L300" s="252">
        <v>18000000</v>
      </c>
      <c r="M300" s="252">
        <v>18000000</v>
      </c>
      <c r="N300" s="253"/>
      <c r="O300" s="254"/>
    </row>
    <row r="301" spans="2:15" s="198" customFormat="1" ht="14.1" customHeight="1">
      <c r="B301" s="250">
        <v>292</v>
      </c>
      <c r="C301" s="251"/>
      <c r="D301" s="200" t="s">
        <v>585</v>
      </c>
      <c r="E301" s="437" t="s">
        <v>221</v>
      </c>
      <c r="F301" s="251">
        <v>1</v>
      </c>
      <c r="G301" s="251">
        <v>4</v>
      </c>
      <c r="H301" s="209" t="s">
        <v>3111</v>
      </c>
      <c r="I301" s="206">
        <v>41841</v>
      </c>
      <c r="J301" s="206" t="s">
        <v>3110</v>
      </c>
      <c r="K301" s="208" t="s">
        <v>1059</v>
      </c>
      <c r="L301" s="252">
        <v>20100000</v>
      </c>
      <c r="M301" s="252">
        <v>20100000</v>
      </c>
      <c r="N301" s="253"/>
      <c r="O301" s="254"/>
    </row>
    <row r="302" spans="2:15" s="198" customFormat="1" ht="14.1" customHeight="1">
      <c r="B302" s="250">
        <v>293</v>
      </c>
      <c r="C302" s="251"/>
      <c r="D302" s="200" t="s">
        <v>585</v>
      </c>
      <c r="E302" s="437" t="s">
        <v>221</v>
      </c>
      <c r="F302" s="251">
        <v>1</v>
      </c>
      <c r="G302" s="251">
        <v>5</v>
      </c>
      <c r="H302" s="209" t="s">
        <v>3111</v>
      </c>
      <c r="I302" s="206">
        <v>41982</v>
      </c>
      <c r="J302" s="206" t="s">
        <v>3110</v>
      </c>
      <c r="K302" s="208" t="s">
        <v>1059</v>
      </c>
      <c r="L302" s="252">
        <v>22800000</v>
      </c>
      <c r="M302" s="252">
        <v>22800000</v>
      </c>
      <c r="N302" s="253"/>
      <c r="O302" s="254"/>
    </row>
    <row r="303" spans="2:15" s="198" customFormat="1" ht="14.1" customHeight="1">
      <c r="B303" s="250">
        <v>294</v>
      </c>
      <c r="C303" s="251"/>
      <c r="D303" s="200" t="s">
        <v>586</v>
      </c>
      <c r="E303" s="437" t="s">
        <v>92</v>
      </c>
      <c r="F303" s="251">
        <v>1</v>
      </c>
      <c r="G303" s="251">
        <v>1</v>
      </c>
      <c r="H303" s="209" t="s">
        <v>3111</v>
      </c>
      <c r="I303" s="206">
        <v>37468</v>
      </c>
      <c r="J303" s="206" t="s">
        <v>3117</v>
      </c>
      <c r="K303" s="208" t="s">
        <v>1059</v>
      </c>
      <c r="L303" s="252">
        <v>60000000</v>
      </c>
      <c r="M303" s="252">
        <v>60000000</v>
      </c>
      <c r="N303" s="253"/>
      <c r="O303" s="254" t="s">
        <v>3159</v>
      </c>
    </row>
    <row r="304" spans="2:15" s="198" customFormat="1" ht="14.1" customHeight="1">
      <c r="B304" s="250">
        <v>295</v>
      </c>
      <c r="C304" s="251"/>
      <c r="D304" s="200" t="s">
        <v>586</v>
      </c>
      <c r="E304" s="437" t="s">
        <v>92</v>
      </c>
      <c r="F304" s="251">
        <v>1</v>
      </c>
      <c r="G304" s="251">
        <v>2</v>
      </c>
      <c r="H304" s="209" t="s">
        <v>3111</v>
      </c>
      <c r="I304" s="206">
        <v>37903</v>
      </c>
      <c r="J304" s="206" t="s">
        <v>3117</v>
      </c>
      <c r="K304" s="208" t="s">
        <v>1059</v>
      </c>
      <c r="L304" s="252">
        <v>14400000</v>
      </c>
      <c r="M304" s="252">
        <v>14400000</v>
      </c>
      <c r="N304" s="253"/>
      <c r="O304" s="254"/>
    </row>
    <row r="305" spans="2:15" s="198" customFormat="1" ht="14.1" customHeight="1">
      <c r="B305" s="250">
        <v>296</v>
      </c>
      <c r="C305" s="251"/>
      <c r="D305" s="200" t="s">
        <v>586</v>
      </c>
      <c r="E305" s="437" t="s">
        <v>92</v>
      </c>
      <c r="F305" s="251">
        <v>1</v>
      </c>
      <c r="G305" s="251">
        <v>3</v>
      </c>
      <c r="H305" s="209" t="s">
        <v>3111</v>
      </c>
      <c r="I305" s="206">
        <v>39666</v>
      </c>
      <c r="J305" s="206" t="s">
        <v>3117</v>
      </c>
      <c r="K305" s="208" t="s">
        <v>1059</v>
      </c>
      <c r="L305" s="252">
        <v>9600000</v>
      </c>
      <c r="M305" s="252">
        <v>9600000</v>
      </c>
      <c r="N305" s="253"/>
      <c r="O305" s="254"/>
    </row>
    <row r="306" spans="2:15" s="198" customFormat="1" ht="14.1" customHeight="1">
      <c r="B306" s="250">
        <v>297</v>
      </c>
      <c r="C306" s="251"/>
      <c r="D306" s="200" t="s">
        <v>587</v>
      </c>
      <c r="E306" s="437" t="s">
        <v>152</v>
      </c>
      <c r="F306" s="251">
        <v>1</v>
      </c>
      <c r="G306" s="251">
        <v>1</v>
      </c>
      <c r="H306" s="209" t="s">
        <v>3111</v>
      </c>
      <c r="I306" s="206">
        <v>41306</v>
      </c>
      <c r="J306" s="206" t="s">
        <v>3110</v>
      </c>
      <c r="K306" s="208" t="s">
        <v>1059</v>
      </c>
      <c r="L306" s="252">
        <v>78000000</v>
      </c>
      <c r="M306" s="252">
        <v>78000000</v>
      </c>
      <c r="N306" s="253"/>
      <c r="O306" s="254"/>
    </row>
    <row r="307" spans="2:15" s="198" customFormat="1" ht="14.1" customHeight="1">
      <c r="B307" s="250">
        <v>298</v>
      </c>
      <c r="C307" s="251"/>
      <c r="D307" s="200" t="s">
        <v>587</v>
      </c>
      <c r="E307" s="437" t="s">
        <v>152</v>
      </c>
      <c r="F307" s="251">
        <v>1</v>
      </c>
      <c r="G307" s="251">
        <v>2</v>
      </c>
      <c r="H307" s="209" t="s">
        <v>3111</v>
      </c>
      <c r="I307" s="206">
        <v>41667</v>
      </c>
      <c r="J307" s="206" t="s">
        <v>3110</v>
      </c>
      <c r="K307" s="208" t="s">
        <v>1059</v>
      </c>
      <c r="L307" s="252">
        <v>6000000</v>
      </c>
      <c r="M307" s="252">
        <v>6000000</v>
      </c>
      <c r="N307" s="253"/>
      <c r="O307" s="254"/>
    </row>
    <row r="308" spans="2:15" s="198" customFormat="1" ht="14.1" customHeight="1">
      <c r="B308" s="250">
        <v>299</v>
      </c>
      <c r="C308" s="251"/>
      <c r="D308" s="200" t="s">
        <v>588</v>
      </c>
      <c r="E308" s="437" t="s">
        <v>152</v>
      </c>
      <c r="F308" s="251">
        <v>1</v>
      </c>
      <c r="G308" s="251">
        <v>1</v>
      </c>
      <c r="H308" s="209" t="s">
        <v>3111</v>
      </c>
      <c r="I308" s="206">
        <v>41856</v>
      </c>
      <c r="J308" s="206" t="s">
        <v>3110</v>
      </c>
      <c r="K308" s="208" t="s">
        <v>1059</v>
      </c>
      <c r="L308" s="252">
        <v>33840000</v>
      </c>
      <c r="M308" s="252">
        <v>33840000</v>
      </c>
      <c r="N308" s="253"/>
      <c r="O308" s="254"/>
    </row>
    <row r="309" spans="2:15" s="198" customFormat="1" ht="14.1" customHeight="1">
      <c r="B309" s="250">
        <v>300</v>
      </c>
      <c r="C309" s="251"/>
      <c r="D309" s="200" t="s">
        <v>588</v>
      </c>
      <c r="E309" s="437" t="s">
        <v>152</v>
      </c>
      <c r="F309" s="251">
        <v>2</v>
      </c>
      <c r="G309" s="251">
        <v>1</v>
      </c>
      <c r="H309" s="209" t="s">
        <v>3111</v>
      </c>
      <c r="I309" s="206">
        <v>41899</v>
      </c>
      <c r="J309" s="206" t="s">
        <v>3110</v>
      </c>
      <c r="K309" s="208" t="s">
        <v>1059</v>
      </c>
      <c r="L309" s="252">
        <v>46800000</v>
      </c>
      <c r="M309" s="252">
        <v>46800000</v>
      </c>
      <c r="N309" s="253"/>
      <c r="O309" s="254"/>
    </row>
    <row r="310" spans="2:15" s="198" customFormat="1" ht="14.1" customHeight="1">
      <c r="B310" s="250">
        <v>301</v>
      </c>
      <c r="C310" s="251"/>
      <c r="D310" s="200" t="s">
        <v>589</v>
      </c>
      <c r="E310" s="437" t="s">
        <v>130</v>
      </c>
      <c r="F310" s="251">
        <v>1</v>
      </c>
      <c r="G310" s="251">
        <v>1</v>
      </c>
      <c r="H310" s="209" t="s">
        <v>3111</v>
      </c>
      <c r="I310" s="206">
        <v>38967</v>
      </c>
      <c r="J310" s="206" t="s">
        <v>3117</v>
      </c>
      <c r="K310" s="208" t="s">
        <v>1059</v>
      </c>
      <c r="L310" s="252">
        <v>111600000</v>
      </c>
      <c r="M310" s="252">
        <v>111600000</v>
      </c>
      <c r="N310" s="253"/>
      <c r="O310" s="254"/>
    </row>
    <row r="311" spans="2:15" s="198" customFormat="1" ht="14.1" customHeight="1">
      <c r="B311" s="250">
        <v>302</v>
      </c>
      <c r="C311" s="251"/>
      <c r="D311" s="200" t="s">
        <v>590</v>
      </c>
      <c r="E311" s="437" t="s">
        <v>672</v>
      </c>
      <c r="F311" s="251">
        <v>1</v>
      </c>
      <c r="G311" s="251">
        <v>1</v>
      </c>
      <c r="H311" s="209" t="s">
        <v>3111</v>
      </c>
      <c r="I311" s="206">
        <v>41341</v>
      </c>
      <c r="J311" s="206" t="s">
        <v>3110</v>
      </c>
      <c r="K311" s="208" t="s">
        <v>1059</v>
      </c>
      <c r="L311" s="252">
        <v>79200000</v>
      </c>
      <c r="M311" s="252">
        <v>79200000</v>
      </c>
      <c r="N311" s="253"/>
      <c r="O311" s="254"/>
    </row>
    <row r="312" spans="2:15" s="198" customFormat="1" ht="14.1" customHeight="1">
      <c r="B312" s="250">
        <v>303</v>
      </c>
      <c r="C312" s="251"/>
      <c r="D312" s="200" t="s">
        <v>591</v>
      </c>
      <c r="E312" s="437" t="s">
        <v>675</v>
      </c>
      <c r="F312" s="251">
        <v>1</v>
      </c>
      <c r="G312" s="251">
        <v>1</v>
      </c>
      <c r="H312" s="209" t="s">
        <v>3111</v>
      </c>
      <c r="I312" s="206">
        <v>42135</v>
      </c>
      <c r="J312" s="206" t="s">
        <v>3110</v>
      </c>
      <c r="K312" s="208" t="s">
        <v>1059</v>
      </c>
      <c r="L312" s="252">
        <v>76800000</v>
      </c>
      <c r="M312" s="252">
        <v>76800000</v>
      </c>
      <c r="N312" s="253"/>
      <c r="O312" s="254"/>
    </row>
    <row r="313" spans="2:15" s="198" customFormat="1" ht="14.1" customHeight="1">
      <c r="B313" s="250">
        <v>304</v>
      </c>
      <c r="C313" s="251"/>
      <c r="D313" s="200" t="s">
        <v>592</v>
      </c>
      <c r="E313" s="437" t="s">
        <v>208</v>
      </c>
      <c r="F313" s="251">
        <v>1</v>
      </c>
      <c r="G313" s="251">
        <v>1</v>
      </c>
      <c r="H313" s="209" t="s">
        <v>3111</v>
      </c>
      <c r="I313" s="206">
        <v>41325</v>
      </c>
      <c r="J313" s="206" t="s">
        <v>3110</v>
      </c>
      <c r="K313" s="208" t="s">
        <v>1059</v>
      </c>
      <c r="L313" s="252">
        <v>42000000</v>
      </c>
      <c r="M313" s="252">
        <v>42000000</v>
      </c>
      <c r="N313" s="253"/>
      <c r="O313" s="254"/>
    </row>
    <row r="314" spans="2:15" s="198" customFormat="1" ht="14.1" customHeight="1">
      <c r="B314" s="250">
        <v>305</v>
      </c>
      <c r="C314" s="251"/>
      <c r="D314" s="200" t="s">
        <v>592</v>
      </c>
      <c r="E314" s="437" t="s">
        <v>208</v>
      </c>
      <c r="F314" s="251">
        <v>1</v>
      </c>
      <c r="G314" s="251">
        <v>2</v>
      </c>
      <c r="H314" s="209" t="s">
        <v>3111</v>
      </c>
      <c r="I314" s="206">
        <v>41362</v>
      </c>
      <c r="J314" s="206" t="s">
        <v>3110</v>
      </c>
      <c r="K314" s="208" t="s">
        <v>1059</v>
      </c>
      <c r="L314" s="252">
        <v>12000000</v>
      </c>
      <c r="M314" s="252">
        <v>12000000</v>
      </c>
      <c r="N314" s="253"/>
      <c r="O314" s="254"/>
    </row>
    <row r="315" spans="2:15" s="198" customFormat="1" ht="14.1" customHeight="1">
      <c r="B315" s="250">
        <v>306</v>
      </c>
      <c r="C315" s="251"/>
      <c r="D315" s="200" t="s">
        <v>592</v>
      </c>
      <c r="E315" s="437" t="s">
        <v>208</v>
      </c>
      <c r="F315" s="251">
        <v>1</v>
      </c>
      <c r="G315" s="251">
        <v>3</v>
      </c>
      <c r="H315" s="209" t="s">
        <v>3111</v>
      </c>
      <c r="I315" s="206">
        <v>41416</v>
      </c>
      <c r="J315" s="206" t="s">
        <v>3110</v>
      </c>
      <c r="K315" s="208" t="s">
        <v>1059</v>
      </c>
      <c r="L315" s="252">
        <v>12000000</v>
      </c>
      <c r="M315" s="252">
        <v>12000000</v>
      </c>
      <c r="N315" s="253"/>
      <c r="O315" s="254"/>
    </row>
    <row r="316" spans="2:15" s="198" customFormat="1" ht="14.1" customHeight="1">
      <c r="B316" s="250">
        <v>307</v>
      </c>
      <c r="C316" s="251"/>
      <c r="D316" s="200" t="s">
        <v>592</v>
      </c>
      <c r="E316" s="437" t="s">
        <v>208</v>
      </c>
      <c r="F316" s="251">
        <v>1</v>
      </c>
      <c r="G316" s="251">
        <v>4</v>
      </c>
      <c r="H316" s="209" t="s">
        <v>3111</v>
      </c>
      <c r="I316" s="206">
        <v>41474</v>
      </c>
      <c r="J316" s="206" t="s">
        <v>3110</v>
      </c>
      <c r="K316" s="208" t="s">
        <v>1059</v>
      </c>
      <c r="L316" s="252">
        <v>12000000</v>
      </c>
      <c r="M316" s="252">
        <v>12000000</v>
      </c>
      <c r="N316" s="253"/>
      <c r="O316" s="254"/>
    </row>
    <row r="317" spans="2:15" s="198" customFormat="1" ht="14.1" customHeight="1">
      <c r="B317" s="250">
        <v>308</v>
      </c>
      <c r="C317" s="251"/>
      <c r="D317" s="200" t="s">
        <v>593</v>
      </c>
      <c r="E317" s="437" t="s">
        <v>175</v>
      </c>
      <c r="F317" s="251">
        <v>1</v>
      </c>
      <c r="G317" s="251">
        <v>1</v>
      </c>
      <c r="H317" s="209" t="s">
        <v>3111</v>
      </c>
      <c r="I317" s="206">
        <v>41430</v>
      </c>
      <c r="J317" s="206" t="s">
        <v>3110</v>
      </c>
      <c r="K317" s="208" t="s">
        <v>1059</v>
      </c>
      <c r="L317" s="252">
        <v>48000000</v>
      </c>
      <c r="M317" s="252">
        <v>48000000</v>
      </c>
      <c r="N317" s="253"/>
      <c r="O317" s="254"/>
    </row>
    <row r="318" spans="2:15" s="198" customFormat="1" ht="14.1" customHeight="1">
      <c r="B318" s="250">
        <v>309</v>
      </c>
      <c r="C318" s="251"/>
      <c r="D318" s="200" t="s">
        <v>593</v>
      </c>
      <c r="E318" s="437" t="s">
        <v>175</v>
      </c>
      <c r="F318" s="251">
        <v>1</v>
      </c>
      <c r="G318" s="251">
        <v>2</v>
      </c>
      <c r="H318" s="209" t="s">
        <v>3111</v>
      </c>
      <c r="I318" s="206">
        <v>41430</v>
      </c>
      <c r="J318" s="206" t="s">
        <v>3110</v>
      </c>
      <c r="K318" s="208" t="s">
        <v>1059</v>
      </c>
      <c r="L318" s="252">
        <v>31200000</v>
      </c>
      <c r="M318" s="252">
        <v>31200000</v>
      </c>
      <c r="N318" s="253"/>
      <c r="O318" s="254"/>
    </row>
    <row r="319" spans="2:15" s="198" customFormat="1" ht="14.1" customHeight="1">
      <c r="B319" s="250">
        <v>310</v>
      </c>
      <c r="C319" s="251"/>
      <c r="D319" s="200" t="s">
        <v>594</v>
      </c>
      <c r="E319" s="437" t="s">
        <v>173</v>
      </c>
      <c r="F319" s="251">
        <v>1</v>
      </c>
      <c r="G319" s="251">
        <v>1</v>
      </c>
      <c r="H319" s="209" t="s">
        <v>3111</v>
      </c>
      <c r="I319" s="206">
        <v>42149</v>
      </c>
      <c r="J319" s="206" t="s">
        <v>3110</v>
      </c>
      <c r="K319" s="208" t="s">
        <v>1059</v>
      </c>
      <c r="L319" s="252">
        <v>78000000</v>
      </c>
      <c r="M319" s="252">
        <v>78000000</v>
      </c>
      <c r="N319" s="253"/>
      <c r="O319" s="254"/>
    </row>
    <row r="320" spans="2:15" s="198" customFormat="1" ht="14.1" customHeight="1">
      <c r="B320" s="250">
        <v>311</v>
      </c>
      <c r="C320" s="251"/>
      <c r="D320" s="200" t="s">
        <v>595</v>
      </c>
      <c r="E320" s="437" t="s">
        <v>676</v>
      </c>
      <c r="F320" s="251">
        <v>1</v>
      </c>
      <c r="G320" s="251">
        <v>1</v>
      </c>
      <c r="H320" s="209" t="s">
        <v>3111</v>
      </c>
      <c r="I320" s="206">
        <v>40560</v>
      </c>
      <c r="J320" s="206" t="s">
        <v>3110</v>
      </c>
      <c r="K320" s="208" t="s">
        <v>1059</v>
      </c>
      <c r="L320" s="252">
        <v>78000000</v>
      </c>
      <c r="M320" s="252">
        <v>78000000</v>
      </c>
      <c r="N320" s="253"/>
      <c r="O320" s="254"/>
    </row>
    <row r="321" spans="2:15" s="198" customFormat="1" ht="14.1" customHeight="1">
      <c r="B321" s="250">
        <v>312</v>
      </c>
      <c r="C321" s="251"/>
      <c r="D321" s="200" t="s">
        <v>596</v>
      </c>
      <c r="E321" s="437" t="s">
        <v>130</v>
      </c>
      <c r="F321" s="251">
        <v>1</v>
      </c>
      <c r="G321" s="251">
        <v>1</v>
      </c>
      <c r="H321" s="209" t="s">
        <v>3111</v>
      </c>
      <c r="I321" s="206">
        <v>41793</v>
      </c>
      <c r="J321" s="206" t="s">
        <v>3110</v>
      </c>
      <c r="K321" s="208" t="s">
        <v>1059</v>
      </c>
      <c r="L321" s="252">
        <v>82800000</v>
      </c>
      <c r="M321" s="252">
        <v>82800000</v>
      </c>
      <c r="N321" s="253"/>
      <c r="O321" s="254"/>
    </row>
    <row r="322" spans="2:15" s="198" customFormat="1" ht="14.1" customHeight="1">
      <c r="B322" s="250">
        <v>313</v>
      </c>
      <c r="C322" s="251"/>
      <c r="D322" s="200" t="s">
        <v>597</v>
      </c>
      <c r="E322" s="437" t="s">
        <v>208</v>
      </c>
      <c r="F322" s="251">
        <v>1</v>
      </c>
      <c r="G322" s="251">
        <v>1</v>
      </c>
      <c r="H322" s="209" t="s">
        <v>3111</v>
      </c>
      <c r="I322" s="206">
        <v>39598</v>
      </c>
      <c r="J322" s="206" t="s">
        <v>3117</v>
      </c>
      <c r="K322" s="208" t="s">
        <v>1059</v>
      </c>
      <c r="L322" s="252">
        <v>60000000</v>
      </c>
      <c r="M322" s="252">
        <v>60000000</v>
      </c>
      <c r="N322" s="253"/>
      <c r="O322" s="254"/>
    </row>
    <row r="323" spans="2:15" s="198" customFormat="1" ht="14.1" customHeight="1">
      <c r="B323" s="250">
        <v>314</v>
      </c>
      <c r="C323" s="251"/>
      <c r="D323" s="200" t="s">
        <v>597</v>
      </c>
      <c r="E323" s="437" t="s">
        <v>208</v>
      </c>
      <c r="F323" s="251">
        <v>1</v>
      </c>
      <c r="G323" s="251">
        <v>2</v>
      </c>
      <c r="H323" s="209" t="s">
        <v>3111</v>
      </c>
      <c r="I323" s="206">
        <v>40095</v>
      </c>
      <c r="J323" s="206" t="s">
        <v>3110</v>
      </c>
      <c r="K323" s="208" t="s">
        <v>1059</v>
      </c>
      <c r="L323" s="252">
        <v>36000000</v>
      </c>
      <c r="M323" s="252">
        <v>36000000</v>
      </c>
      <c r="N323" s="253"/>
      <c r="O323" s="254"/>
    </row>
    <row r="324" spans="2:15" s="198" customFormat="1" ht="14.1" customHeight="1">
      <c r="B324" s="250">
        <v>315</v>
      </c>
      <c r="C324" s="251"/>
      <c r="D324" s="200" t="s">
        <v>598</v>
      </c>
      <c r="E324" s="437" t="s">
        <v>676</v>
      </c>
      <c r="F324" s="251">
        <v>1</v>
      </c>
      <c r="G324" s="251">
        <v>1</v>
      </c>
      <c r="H324" s="209" t="s">
        <v>3111</v>
      </c>
      <c r="I324" s="206">
        <v>41950</v>
      </c>
      <c r="J324" s="206" t="s">
        <v>3110</v>
      </c>
      <c r="K324" s="208" t="s">
        <v>1059</v>
      </c>
      <c r="L324" s="252">
        <v>66000000</v>
      </c>
      <c r="M324" s="252">
        <v>66000000</v>
      </c>
      <c r="N324" s="253"/>
      <c r="O324" s="254"/>
    </row>
    <row r="325" spans="2:15" s="198" customFormat="1" ht="14.1" customHeight="1">
      <c r="B325" s="250">
        <v>316</v>
      </c>
      <c r="C325" s="251"/>
      <c r="D325" s="200" t="s">
        <v>599</v>
      </c>
      <c r="E325" s="437" t="s">
        <v>677</v>
      </c>
      <c r="F325" s="251">
        <v>1</v>
      </c>
      <c r="G325" s="251">
        <v>1</v>
      </c>
      <c r="H325" s="209" t="s">
        <v>3111</v>
      </c>
      <c r="I325" s="206">
        <v>41213</v>
      </c>
      <c r="J325" s="206" t="s">
        <v>3110</v>
      </c>
      <c r="K325" s="208" t="s">
        <v>1059</v>
      </c>
      <c r="L325" s="252">
        <v>54000000</v>
      </c>
      <c r="M325" s="252">
        <v>54000000</v>
      </c>
      <c r="N325" s="253"/>
      <c r="O325" s="254"/>
    </row>
    <row r="326" spans="2:15" s="198" customFormat="1" ht="14.1" customHeight="1">
      <c r="B326" s="250">
        <v>317</v>
      </c>
      <c r="C326" s="251"/>
      <c r="D326" s="200" t="s">
        <v>600</v>
      </c>
      <c r="E326" s="437" t="s">
        <v>141</v>
      </c>
      <c r="F326" s="251">
        <v>1</v>
      </c>
      <c r="G326" s="251">
        <v>1</v>
      </c>
      <c r="H326" s="209" t="s">
        <v>3111</v>
      </c>
      <c r="I326" s="206">
        <v>38947</v>
      </c>
      <c r="J326" s="206" t="s">
        <v>3117</v>
      </c>
      <c r="K326" s="208" t="s">
        <v>1059</v>
      </c>
      <c r="L326" s="252">
        <v>72000000</v>
      </c>
      <c r="M326" s="252">
        <v>72000000</v>
      </c>
      <c r="N326" s="253"/>
      <c r="O326" s="254"/>
    </row>
    <row r="327" spans="2:15" s="198" customFormat="1" ht="14.1" customHeight="1">
      <c r="B327" s="250">
        <v>318</v>
      </c>
      <c r="C327" s="251"/>
      <c r="D327" s="200" t="s">
        <v>601</v>
      </c>
      <c r="E327" s="437" t="s">
        <v>152</v>
      </c>
      <c r="F327" s="251">
        <v>1</v>
      </c>
      <c r="G327" s="251">
        <v>1</v>
      </c>
      <c r="H327" s="209" t="s">
        <v>3111</v>
      </c>
      <c r="I327" s="206">
        <v>41984</v>
      </c>
      <c r="J327" s="206" t="s">
        <v>3110</v>
      </c>
      <c r="K327" s="208" t="s">
        <v>1059</v>
      </c>
      <c r="L327" s="252">
        <v>61680000</v>
      </c>
      <c r="M327" s="252">
        <v>61680000</v>
      </c>
      <c r="N327" s="253"/>
      <c r="O327" s="254"/>
    </row>
    <row r="328" spans="2:15" s="198" customFormat="1" ht="14.1" customHeight="1">
      <c r="B328" s="250">
        <v>319</v>
      </c>
      <c r="C328" s="251"/>
      <c r="D328" s="200" t="s">
        <v>602</v>
      </c>
      <c r="E328" s="437" t="s">
        <v>135</v>
      </c>
      <c r="F328" s="251">
        <v>1</v>
      </c>
      <c r="G328" s="251">
        <v>1</v>
      </c>
      <c r="H328" s="209" t="s">
        <v>3111</v>
      </c>
      <c r="I328" s="206">
        <v>41950</v>
      </c>
      <c r="J328" s="206" t="s">
        <v>3110</v>
      </c>
      <c r="K328" s="208" t="s">
        <v>1059</v>
      </c>
      <c r="L328" s="252">
        <v>60000000</v>
      </c>
      <c r="M328" s="252">
        <v>60000000</v>
      </c>
      <c r="N328" s="253"/>
      <c r="O328" s="254"/>
    </row>
    <row r="329" spans="2:15" s="198" customFormat="1" ht="14.1" customHeight="1">
      <c r="B329" s="250">
        <v>320</v>
      </c>
      <c r="C329" s="251"/>
      <c r="D329" s="200" t="s">
        <v>602</v>
      </c>
      <c r="E329" s="437" t="s">
        <v>135</v>
      </c>
      <c r="F329" s="251">
        <v>2</v>
      </c>
      <c r="G329" s="251">
        <v>1</v>
      </c>
      <c r="H329" s="209" t="s">
        <v>3111</v>
      </c>
      <c r="I329" s="206">
        <v>41943</v>
      </c>
      <c r="J329" s="206" t="s">
        <v>3160</v>
      </c>
      <c r="K329" s="208" t="s">
        <v>1059</v>
      </c>
      <c r="L329" s="252" t="s">
        <v>2979</v>
      </c>
      <c r="M329" s="252" t="s">
        <v>2979</v>
      </c>
      <c r="N329" s="253"/>
      <c r="O329" s="254" t="s">
        <v>3161</v>
      </c>
    </row>
    <row r="330" spans="2:15" s="198" customFormat="1" ht="14.1" customHeight="1">
      <c r="B330" s="250">
        <v>321</v>
      </c>
      <c r="C330" s="251"/>
      <c r="D330" s="200" t="s">
        <v>603</v>
      </c>
      <c r="E330" s="437" t="s">
        <v>678</v>
      </c>
      <c r="F330" s="251">
        <v>1</v>
      </c>
      <c r="G330" s="251">
        <v>1</v>
      </c>
      <c r="H330" s="209" t="s">
        <v>3162</v>
      </c>
      <c r="I330" s="206">
        <v>37629</v>
      </c>
      <c r="J330" s="206" t="s">
        <v>3114</v>
      </c>
      <c r="K330" s="208" t="s">
        <v>1059</v>
      </c>
      <c r="L330" s="252">
        <v>102000000</v>
      </c>
      <c r="M330" s="252">
        <v>102000000</v>
      </c>
      <c r="N330" s="253"/>
      <c r="O330" s="254"/>
    </row>
    <row r="331" spans="2:15" s="198" customFormat="1" ht="14.1" customHeight="1">
      <c r="B331" s="250">
        <v>322</v>
      </c>
      <c r="C331" s="251"/>
      <c r="D331" s="200" t="s">
        <v>603</v>
      </c>
      <c r="E331" s="437" t="s">
        <v>678</v>
      </c>
      <c r="F331" s="251">
        <v>1</v>
      </c>
      <c r="G331" s="251">
        <v>2</v>
      </c>
      <c r="H331" s="209" t="s">
        <v>3162</v>
      </c>
      <c r="I331" s="206">
        <v>41218</v>
      </c>
      <c r="J331" s="206" t="s">
        <v>3114</v>
      </c>
      <c r="K331" s="208" t="s">
        <v>1059</v>
      </c>
      <c r="L331" s="252">
        <v>12000000</v>
      </c>
      <c r="M331" s="252">
        <v>12000000</v>
      </c>
      <c r="N331" s="253"/>
      <c r="O331" s="254"/>
    </row>
    <row r="332" spans="2:15" s="198" customFormat="1" ht="14.1" customHeight="1">
      <c r="B332" s="250">
        <v>323</v>
      </c>
      <c r="C332" s="251"/>
      <c r="D332" s="200" t="s">
        <v>603</v>
      </c>
      <c r="E332" s="437" t="s">
        <v>678</v>
      </c>
      <c r="F332" s="251">
        <v>1</v>
      </c>
      <c r="G332" s="251">
        <v>3</v>
      </c>
      <c r="H332" s="209" t="s">
        <v>3111</v>
      </c>
      <c r="I332" s="206">
        <v>41306</v>
      </c>
      <c r="J332" s="206" t="s">
        <v>3110</v>
      </c>
      <c r="K332" s="208" t="s">
        <v>1059</v>
      </c>
      <c r="L332" s="252">
        <v>65000000</v>
      </c>
      <c r="M332" s="252">
        <v>65000000</v>
      </c>
      <c r="N332" s="253"/>
      <c r="O332" s="254"/>
    </row>
    <row r="333" spans="2:15" s="198" customFormat="1" ht="14.1" customHeight="1">
      <c r="B333" s="250">
        <v>324</v>
      </c>
      <c r="C333" s="251"/>
      <c r="D333" s="200" t="s">
        <v>604</v>
      </c>
      <c r="E333" s="437" t="s">
        <v>679</v>
      </c>
      <c r="F333" s="251">
        <v>1</v>
      </c>
      <c r="G333" s="251">
        <v>1</v>
      </c>
      <c r="H333" s="209" t="s">
        <v>3133</v>
      </c>
      <c r="I333" s="206">
        <v>42150</v>
      </c>
      <c r="J333" s="206" t="s">
        <v>3114</v>
      </c>
      <c r="K333" s="208" t="s">
        <v>1059</v>
      </c>
      <c r="L333" s="252">
        <v>126000000</v>
      </c>
      <c r="M333" s="252">
        <v>126000000</v>
      </c>
      <c r="N333" s="253"/>
      <c r="O333" s="254" t="s">
        <v>3154</v>
      </c>
    </row>
    <row r="334" spans="2:15" s="198" customFormat="1" ht="14.1" customHeight="1">
      <c r="B334" s="250">
        <v>325</v>
      </c>
      <c r="C334" s="251"/>
      <c r="D334" s="200" t="s">
        <v>604</v>
      </c>
      <c r="E334" s="437" t="s">
        <v>679</v>
      </c>
      <c r="F334" s="251">
        <v>1</v>
      </c>
      <c r="G334" s="251">
        <v>2</v>
      </c>
      <c r="H334" s="209" t="s">
        <v>3111</v>
      </c>
      <c r="I334" s="206">
        <v>42150</v>
      </c>
      <c r="J334" s="206" t="s">
        <v>3110</v>
      </c>
      <c r="K334" s="208" t="s">
        <v>2985</v>
      </c>
      <c r="L334" s="252">
        <v>120000</v>
      </c>
      <c r="M334" s="252">
        <v>137964000</v>
      </c>
      <c r="N334" s="253"/>
      <c r="O334" s="254"/>
    </row>
    <row r="335" spans="2:15" s="198" customFormat="1" ht="14.1" customHeight="1">
      <c r="B335" s="250">
        <v>326</v>
      </c>
      <c r="C335" s="251"/>
      <c r="D335" s="200" t="s">
        <v>605</v>
      </c>
      <c r="E335" s="437" t="s">
        <v>109</v>
      </c>
      <c r="F335" s="251">
        <v>1</v>
      </c>
      <c r="G335" s="251">
        <v>1</v>
      </c>
      <c r="H335" s="209" t="s">
        <v>3111</v>
      </c>
      <c r="I335" s="206">
        <v>41830</v>
      </c>
      <c r="J335" s="206" t="s">
        <v>3110</v>
      </c>
      <c r="K335" s="208" t="s">
        <v>1059</v>
      </c>
      <c r="L335" s="252">
        <v>23880000</v>
      </c>
      <c r="M335" s="252">
        <v>23880000</v>
      </c>
      <c r="N335" s="253"/>
      <c r="O335" s="254"/>
    </row>
    <row r="336" spans="2:15" s="198" customFormat="1" ht="14.1" customHeight="1">
      <c r="B336" s="250">
        <v>327</v>
      </c>
      <c r="C336" s="251"/>
      <c r="D336" s="200" t="s">
        <v>605</v>
      </c>
      <c r="E336" s="437" t="s">
        <v>109</v>
      </c>
      <c r="F336" s="251">
        <v>2</v>
      </c>
      <c r="G336" s="251">
        <v>1</v>
      </c>
      <c r="H336" s="209" t="s">
        <v>3111</v>
      </c>
      <c r="I336" s="206">
        <v>41869</v>
      </c>
      <c r="J336" s="206" t="s">
        <v>3110</v>
      </c>
      <c r="K336" s="208" t="s">
        <v>1059</v>
      </c>
      <c r="L336" s="252">
        <v>34800000</v>
      </c>
      <c r="M336" s="252">
        <v>34800000</v>
      </c>
      <c r="N336" s="253"/>
      <c r="O336" s="254"/>
    </row>
    <row r="337" spans="2:15" s="198" customFormat="1" ht="14.1" customHeight="1">
      <c r="B337" s="250">
        <v>328</v>
      </c>
      <c r="C337" s="251"/>
      <c r="D337" s="200" t="s">
        <v>606</v>
      </c>
      <c r="E337" s="437" t="s">
        <v>152</v>
      </c>
      <c r="F337" s="251">
        <v>1</v>
      </c>
      <c r="G337" s="251">
        <v>1</v>
      </c>
      <c r="H337" s="209" t="s">
        <v>3111</v>
      </c>
      <c r="I337" s="206">
        <v>41782</v>
      </c>
      <c r="J337" s="206" t="s">
        <v>3110</v>
      </c>
      <c r="K337" s="208" t="s">
        <v>1059</v>
      </c>
      <c r="L337" s="252">
        <v>57600000</v>
      </c>
      <c r="M337" s="252">
        <v>57600000</v>
      </c>
      <c r="N337" s="253"/>
      <c r="O337" s="254"/>
    </row>
    <row r="338" spans="2:15" s="198" customFormat="1" ht="14.1" customHeight="1">
      <c r="B338" s="250">
        <v>329</v>
      </c>
      <c r="C338" s="251"/>
      <c r="D338" s="200" t="s">
        <v>607</v>
      </c>
      <c r="E338" s="437" t="s">
        <v>208</v>
      </c>
      <c r="F338" s="251">
        <v>1</v>
      </c>
      <c r="G338" s="251">
        <v>1</v>
      </c>
      <c r="H338" s="209" t="s">
        <v>3111</v>
      </c>
      <c r="I338" s="206">
        <v>37330</v>
      </c>
      <c r="J338" s="206" t="s">
        <v>3117</v>
      </c>
      <c r="K338" s="208" t="s">
        <v>1059</v>
      </c>
      <c r="L338" s="252">
        <v>60000000</v>
      </c>
      <c r="M338" s="252">
        <v>60000000</v>
      </c>
      <c r="N338" s="253"/>
      <c r="O338" s="254"/>
    </row>
    <row r="339" spans="2:15" s="198" customFormat="1" ht="14.1" customHeight="1">
      <c r="B339" s="250">
        <v>330</v>
      </c>
      <c r="C339" s="251"/>
      <c r="D339" s="200" t="s">
        <v>608</v>
      </c>
      <c r="E339" s="437" t="s">
        <v>221</v>
      </c>
      <c r="F339" s="251">
        <v>1</v>
      </c>
      <c r="G339" s="251">
        <v>1</v>
      </c>
      <c r="H339" s="209" t="s">
        <v>3111</v>
      </c>
      <c r="I339" s="206">
        <v>41687</v>
      </c>
      <c r="J339" s="206" t="s">
        <v>3110</v>
      </c>
      <c r="K339" s="208" t="s">
        <v>1059</v>
      </c>
      <c r="L339" s="252">
        <v>60000000</v>
      </c>
      <c r="M339" s="252">
        <v>60000000</v>
      </c>
      <c r="N339" s="253"/>
      <c r="O339" s="254"/>
    </row>
    <row r="340" spans="2:15" s="198" customFormat="1" ht="14.1" customHeight="1">
      <c r="B340" s="250">
        <v>331</v>
      </c>
      <c r="C340" s="251"/>
      <c r="D340" s="200" t="s">
        <v>609</v>
      </c>
      <c r="E340" s="437" t="s">
        <v>183</v>
      </c>
      <c r="F340" s="251">
        <v>1</v>
      </c>
      <c r="G340" s="251">
        <v>1</v>
      </c>
      <c r="H340" s="209" t="s">
        <v>3111</v>
      </c>
      <c r="I340" s="206">
        <v>40752</v>
      </c>
      <c r="J340" s="206" t="s">
        <v>3110</v>
      </c>
      <c r="K340" s="208" t="s">
        <v>1059</v>
      </c>
      <c r="L340" s="252">
        <v>42000000</v>
      </c>
      <c r="M340" s="252">
        <v>42000000</v>
      </c>
      <c r="N340" s="253"/>
      <c r="O340" s="254"/>
    </row>
    <row r="341" spans="2:15" s="198" customFormat="1" ht="14.1" customHeight="1">
      <c r="B341" s="250">
        <v>332</v>
      </c>
      <c r="C341" s="251"/>
      <c r="D341" s="200" t="s">
        <v>609</v>
      </c>
      <c r="E341" s="437" t="s">
        <v>183</v>
      </c>
      <c r="F341" s="251">
        <v>1</v>
      </c>
      <c r="G341" s="251">
        <v>2</v>
      </c>
      <c r="H341" s="209" t="s">
        <v>3111</v>
      </c>
      <c r="I341" s="206">
        <v>41418</v>
      </c>
      <c r="J341" s="206" t="s">
        <v>3110</v>
      </c>
      <c r="K341" s="208" t="s">
        <v>1059</v>
      </c>
      <c r="L341" s="252">
        <v>10800000</v>
      </c>
      <c r="M341" s="252">
        <v>10800000</v>
      </c>
      <c r="N341" s="253"/>
      <c r="O341" s="254"/>
    </row>
    <row r="342" spans="2:15" s="198" customFormat="1" ht="14.1" customHeight="1">
      <c r="B342" s="250">
        <v>333</v>
      </c>
      <c r="C342" s="251"/>
      <c r="D342" s="200" t="s">
        <v>609</v>
      </c>
      <c r="E342" s="437" t="s">
        <v>183</v>
      </c>
      <c r="F342" s="251">
        <v>1</v>
      </c>
      <c r="G342" s="251">
        <v>3</v>
      </c>
      <c r="H342" s="209" t="s">
        <v>3111</v>
      </c>
      <c r="I342" s="206">
        <v>42122</v>
      </c>
      <c r="J342" s="206" t="s">
        <v>3110</v>
      </c>
      <c r="K342" s="208" t="s">
        <v>1059</v>
      </c>
      <c r="L342" s="252">
        <v>7200000</v>
      </c>
      <c r="M342" s="252">
        <v>7200000</v>
      </c>
      <c r="N342" s="253"/>
      <c r="O342" s="254"/>
    </row>
    <row r="343" spans="2:15" s="198" customFormat="1" ht="14.1" customHeight="1">
      <c r="B343" s="250">
        <v>334</v>
      </c>
      <c r="C343" s="251"/>
      <c r="D343" s="200" t="s">
        <v>610</v>
      </c>
      <c r="E343" s="437" t="s">
        <v>109</v>
      </c>
      <c r="F343" s="251">
        <v>1</v>
      </c>
      <c r="G343" s="251">
        <v>1</v>
      </c>
      <c r="H343" s="209" t="s">
        <v>3111</v>
      </c>
      <c r="I343" s="206">
        <v>40275</v>
      </c>
      <c r="J343" s="206" t="s">
        <v>3110</v>
      </c>
      <c r="K343" s="208" t="s">
        <v>1059</v>
      </c>
      <c r="L343" s="252">
        <v>54000000</v>
      </c>
      <c r="M343" s="252">
        <v>54000000</v>
      </c>
      <c r="N343" s="253"/>
      <c r="O343" s="254"/>
    </row>
    <row r="344" spans="2:15" s="198" customFormat="1" ht="14.1" customHeight="1">
      <c r="B344" s="250">
        <v>335</v>
      </c>
      <c r="C344" s="251"/>
      <c r="D344" s="200" t="s">
        <v>611</v>
      </c>
      <c r="E344" s="437" t="s">
        <v>135</v>
      </c>
      <c r="F344" s="251">
        <v>1</v>
      </c>
      <c r="G344" s="251">
        <v>1</v>
      </c>
      <c r="H344" s="209" t="s">
        <v>3111</v>
      </c>
      <c r="I344" s="206">
        <v>41150</v>
      </c>
      <c r="J344" s="206" t="s">
        <v>3110</v>
      </c>
      <c r="K344" s="208" t="s">
        <v>1059</v>
      </c>
      <c r="L344" s="252">
        <v>58500000</v>
      </c>
      <c r="M344" s="252">
        <v>58500000</v>
      </c>
      <c r="N344" s="253"/>
      <c r="O344" s="254"/>
    </row>
    <row r="345" spans="2:15" s="198" customFormat="1" ht="14.1" customHeight="1">
      <c r="B345" s="250">
        <v>336</v>
      </c>
      <c r="C345" s="251"/>
      <c r="D345" s="200" t="s">
        <v>612</v>
      </c>
      <c r="E345" s="437" t="s">
        <v>646</v>
      </c>
      <c r="F345" s="251">
        <v>1</v>
      </c>
      <c r="G345" s="251">
        <v>1</v>
      </c>
      <c r="H345" s="209" t="s">
        <v>3111</v>
      </c>
      <c r="I345" s="206">
        <v>41738</v>
      </c>
      <c r="J345" s="206" t="s">
        <v>3110</v>
      </c>
      <c r="K345" s="208" t="s">
        <v>1059</v>
      </c>
      <c r="L345" s="252">
        <v>48240000</v>
      </c>
      <c r="M345" s="252">
        <v>48240000</v>
      </c>
      <c r="N345" s="253"/>
      <c r="O345" s="254"/>
    </row>
    <row r="346" spans="2:15" s="198" customFormat="1" ht="14.1" customHeight="1">
      <c r="B346" s="250">
        <v>337</v>
      </c>
      <c r="C346" s="251"/>
      <c r="D346" s="200" t="s">
        <v>613</v>
      </c>
      <c r="E346" s="437" t="s">
        <v>109</v>
      </c>
      <c r="F346" s="251">
        <v>1</v>
      </c>
      <c r="G346" s="251">
        <v>1</v>
      </c>
      <c r="H346" s="209" t="s">
        <v>3111</v>
      </c>
      <c r="I346" s="206">
        <v>41970</v>
      </c>
      <c r="J346" s="206" t="s">
        <v>3110</v>
      </c>
      <c r="K346" s="208" t="s">
        <v>1059</v>
      </c>
      <c r="L346" s="252">
        <v>46800000</v>
      </c>
      <c r="M346" s="252">
        <v>46800000</v>
      </c>
      <c r="N346" s="253"/>
      <c r="O346" s="254"/>
    </row>
    <row r="347" spans="2:15" s="198" customFormat="1" ht="14.1" customHeight="1">
      <c r="B347" s="250">
        <v>338</v>
      </c>
      <c r="C347" s="251"/>
      <c r="D347" s="200" t="s">
        <v>614</v>
      </c>
      <c r="E347" s="437" t="s">
        <v>152</v>
      </c>
      <c r="F347" s="251">
        <v>1</v>
      </c>
      <c r="G347" s="251">
        <v>1</v>
      </c>
      <c r="H347" s="209" t="s">
        <v>3111</v>
      </c>
      <c r="I347" s="206">
        <v>39155</v>
      </c>
      <c r="J347" s="206" t="s">
        <v>3117</v>
      </c>
      <c r="K347" s="208" t="s">
        <v>1059</v>
      </c>
      <c r="L347" s="252">
        <v>234000000</v>
      </c>
      <c r="M347" s="252">
        <v>234000000</v>
      </c>
      <c r="N347" s="253"/>
      <c r="O347" s="254"/>
    </row>
    <row r="348" spans="2:15" s="198" customFormat="1" ht="14.1" customHeight="1">
      <c r="B348" s="250">
        <v>339</v>
      </c>
      <c r="C348" s="251"/>
      <c r="D348" s="200" t="s">
        <v>615</v>
      </c>
      <c r="E348" s="437" t="s">
        <v>168</v>
      </c>
      <c r="F348" s="251">
        <v>1</v>
      </c>
      <c r="G348" s="251">
        <v>1</v>
      </c>
      <c r="H348" s="209" t="s">
        <v>3111</v>
      </c>
      <c r="I348" s="206">
        <v>41865</v>
      </c>
      <c r="J348" s="206" t="s">
        <v>3110</v>
      </c>
      <c r="K348" s="208" t="s">
        <v>1059</v>
      </c>
      <c r="L348" s="252">
        <v>44400000</v>
      </c>
      <c r="M348" s="252">
        <v>44400000</v>
      </c>
      <c r="N348" s="253"/>
      <c r="O348" s="254"/>
    </row>
    <row r="349" spans="2:15" s="198" customFormat="1" ht="14.1" customHeight="1">
      <c r="B349" s="250">
        <v>340</v>
      </c>
      <c r="C349" s="251"/>
      <c r="D349" s="200" t="s">
        <v>616</v>
      </c>
      <c r="E349" s="437" t="s">
        <v>168</v>
      </c>
      <c r="F349" s="251">
        <v>1</v>
      </c>
      <c r="G349" s="251">
        <v>1</v>
      </c>
      <c r="H349" s="209" t="s">
        <v>3111</v>
      </c>
      <c r="I349" s="206">
        <v>41995</v>
      </c>
      <c r="J349" s="206" t="s">
        <v>3110</v>
      </c>
      <c r="K349" s="208" t="s">
        <v>1059</v>
      </c>
      <c r="L349" s="252">
        <v>46800000</v>
      </c>
      <c r="M349" s="252">
        <v>46800000</v>
      </c>
      <c r="N349" s="253"/>
      <c r="O349" s="254"/>
    </row>
    <row r="350" spans="2:15" s="198" customFormat="1" ht="14.1" customHeight="1">
      <c r="B350" s="250">
        <v>341</v>
      </c>
      <c r="C350" s="251"/>
      <c r="D350" s="200" t="s">
        <v>617</v>
      </c>
      <c r="E350" s="437" t="s">
        <v>152</v>
      </c>
      <c r="F350" s="251">
        <v>1</v>
      </c>
      <c r="G350" s="251">
        <v>1</v>
      </c>
      <c r="H350" s="209" t="s">
        <v>3111</v>
      </c>
      <c r="I350" s="206">
        <v>41242</v>
      </c>
      <c r="J350" s="206" t="s">
        <v>3110</v>
      </c>
      <c r="K350" s="208" t="s">
        <v>1059</v>
      </c>
      <c r="L350" s="252">
        <v>26400000</v>
      </c>
      <c r="M350" s="252">
        <v>26400000</v>
      </c>
      <c r="N350" s="253"/>
      <c r="O350" s="254"/>
    </row>
    <row r="351" spans="2:15" s="198" customFormat="1" ht="14.1" customHeight="1">
      <c r="B351" s="250">
        <v>342</v>
      </c>
      <c r="C351" s="251"/>
      <c r="D351" s="200" t="s">
        <v>617</v>
      </c>
      <c r="E351" s="437" t="s">
        <v>152</v>
      </c>
      <c r="F351" s="251">
        <v>1</v>
      </c>
      <c r="G351" s="251">
        <v>2</v>
      </c>
      <c r="H351" s="209" t="s">
        <v>3111</v>
      </c>
      <c r="I351" s="206">
        <v>41883</v>
      </c>
      <c r="J351" s="206" t="s">
        <v>3110</v>
      </c>
      <c r="K351" s="208" t="s">
        <v>1059</v>
      </c>
      <c r="L351" s="252">
        <v>19200000</v>
      </c>
      <c r="M351" s="252">
        <v>19200000</v>
      </c>
      <c r="N351" s="253"/>
      <c r="O351" s="254"/>
    </row>
    <row r="352" spans="2:15" s="198" customFormat="1" ht="14.1" customHeight="1">
      <c r="B352" s="250">
        <v>343</v>
      </c>
      <c r="C352" s="251"/>
      <c r="D352" s="200" t="s">
        <v>618</v>
      </c>
      <c r="E352" s="437" t="s">
        <v>92</v>
      </c>
      <c r="F352" s="251">
        <v>1</v>
      </c>
      <c r="G352" s="251">
        <v>1</v>
      </c>
      <c r="H352" s="209" t="s">
        <v>3111</v>
      </c>
      <c r="I352" s="206">
        <v>41984</v>
      </c>
      <c r="J352" s="206" t="s">
        <v>3110</v>
      </c>
      <c r="K352" s="208" t="s">
        <v>1059</v>
      </c>
      <c r="L352" s="252">
        <v>46800000</v>
      </c>
      <c r="M352" s="252">
        <v>46800000</v>
      </c>
      <c r="N352" s="253"/>
      <c r="O352" s="254"/>
    </row>
    <row r="353" spans="2:15" s="198" customFormat="1" ht="14.1" customHeight="1">
      <c r="B353" s="250">
        <v>344</v>
      </c>
      <c r="C353" s="251"/>
      <c r="D353" s="200" t="s">
        <v>619</v>
      </c>
      <c r="E353" s="437" t="s">
        <v>109</v>
      </c>
      <c r="F353" s="251">
        <v>1</v>
      </c>
      <c r="G353" s="251">
        <v>1</v>
      </c>
      <c r="H353" s="209" t="s">
        <v>3111</v>
      </c>
      <c r="I353" s="206">
        <v>39993</v>
      </c>
      <c r="J353" s="206" t="s">
        <v>3110</v>
      </c>
      <c r="K353" s="208" t="s">
        <v>1059</v>
      </c>
      <c r="L353" s="252">
        <v>45000000</v>
      </c>
      <c r="M353" s="252">
        <v>45000000</v>
      </c>
      <c r="N353" s="253"/>
      <c r="O353" s="254" t="s">
        <v>3163</v>
      </c>
    </row>
    <row r="354" spans="2:15" s="198" customFormat="1" ht="14.1" customHeight="1">
      <c r="B354" s="250">
        <v>345</v>
      </c>
      <c r="C354" s="251"/>
      <c r="D354" s="200" t="s">
        <v>620</v>
      </c>
      <c r="E354" s="437" t="s">
        <v>661</v>
      </c>
      <c r="F354" s="251">
        <v>1</v>
      </c>
      <c r="G354" s="251">
        <v>1</v>
      </c>
      <c r="H354" s="209" t="s">
        <v>3111</v>
      </c>
      <c r="I354" s="206">
        <v>41849</v>
      </c>
      <c r="J354" s="206" t="s">
        <v>3110</v>
      </c>
      <c r="K354" s="208" t="s">
        <v>1059</v>
      </c>
      <c r="L354" s="252">
        <v>41760000</v>
      </c>
      <c r="M354" s="252">
        <v>41760000</v>
      </c>
      <c r="N354" s="253"/>
      <c r="O354" s="254"/>
    </row>
    <row r="355" spans="2:15" s="198" customFormat="1" ht="14.1" customHeight="1">
      <c r="B355" s="250">
        <v>346</v>
      </c>
      <c r="C355" s="251"/>
      <c r="D355" s="200" t="s">
        <v>621</v>
      </c>
      <c r="E355" s="437" t="s">
        <v>680</v>
      </c>
      <c r="F355" s="251">
        <v>1</v>
      </c>
      <c r="G355" s="251">
        <v>1</v>
      </c>
      <c r="H355" s="209" t="s">
        <v>3164</v>
      </c>
      <c r="I355" s="206">
        <v>40149</v>
      </c>
      <c r="J355" s="206" t="s">
        <v>3114</v>
      </c>
      <c r="K355" s="208" t="s">
        <v>1059</v>
      </c>
      <c r="L355" s="252">
        <v>108000000</v>
      </c>
      <c r="M355" s="252">
        <v>108000000</v>
      </c>
      <c r="N355" s="253"/>
      <c r="O355" s="254"/>
    </row>
    <row r="356" spans="2:15" s="198" customFormat="1" ht="14.1" customHeight="1">
      <c r="B356" s="250">
        <v>347</v>
      </c>
      <c r="C356" s="251"/>
      <c r="D356" s="200" t="s">
        <v>621</v>
      </c>
      <c r="E356" s="437" t="s">
        <v>680</v>
      </c>
      <c r="F356" s="251">
        <v>1</v>
      </c>
      <c r="G356" s="251">
        <v>2</v>
      </c>
      <c r="H356" s="209" t="s">
        <v>3111</v>
      </c>
      <c r="I356" s="206">
        <v>41031</v>
      </c>
      <c r="J356" s="206" t="s">
        <v>3110</v>
      </c>
      <c r="K356" s="208" t="s">
        <v>1059</v>
      </c>
      <c r="L356" s="252">
        <v>48000000</v>
      </c>
      <c r="M356" s="252">
        <v>48000000</v>
      </c>
      <c r="N356" s="253"/>
      <c r="O356" s="254"/>
    </row>
    <row r="357" spans="2:15" s="198" customFormat="1" ht="14.1" customHeight="1">
      <c r="B357" s="250">
        <v>348</v>
      </c>
      <c r="C357" s="251"/>
      <c r="D357" s="200" t="s">
        <v>622</v>
      </c>
      <c r="E357" s="437" t="s">
        <v>141</v>
      </c>
      <c r="F357" s="251">
        <v>1</v>
      </c>
      <c r="G357" s="251">
        <v>1</v>
      </c>
      <c r="H357" s="209" t="s">
        <v>3111</v>
      </c>
      <c r="I357" s="206">
        <v>41879</v>
      </c>
      <c r="J357" s="206" t="s">
        <v>3110</v>
      </c>
      <c r="K357" s="208" t="s">
        <v>1059</v>
      </c>
      <c r="L357" s="252">
        <v>39000000</v>
      </c>
      <c r="M357" s="252">
        <v>39000000</v>
      </c>
      <c r="N357" s="253"/>
      <c r="O357" s="254"/>
    </row>
    <row r="358" spans="2:15" s="198" customFormat="1" ht="14.1" customHeight="1">
      <c r="B358" s="250">
        <v>349</v>
      </c>
      <c r="C358" s="251"/>
      <c r="D358" s="200" t="s">
        <v>623</v>
      </c>
      <c r="E358" s="437" t="s">
        <v>141</v>
      </c>
      <c r="F358" s="251">
        <v>1</v>
      </c>
      <c r="G358" s="251">
        <v>1</v>
      </c>
      <c r="H358" s="209" t="s">
        <v>3111</v>
      </c>
      <c r="I358" s="206">
        <v>37735</v>
      </c>
      <c r="J358" s="206" t="s">
        <v>3117</v>
      </c>
      <c r="K358" s="208" t="s">
        <v>1059</v>
      </c>
      <c r="L358" s="252">
        <v>44400000</v>
      </c>
      <c r="M358" s="252">
        <v>44400000</v>
      </c>
      <c r="N358" s="253"/>
      <c r="O358" s="254" t="s">
        <v>3148</v>
      </c>
    </row>
    <row r="359" spans="2:15" s="198" customFormat="1" ht="14.1" customHeight="1">
      <c r="B359" s="250">
        <v>350</v>
      </c>
      <c r="C359" s="251"/>
      <c r="D359" s="200" t="s">
        <v>624</v>
      </c>
      <c r="E359" s="437" t="s">
        <v>221</v>
      </c>
      <c r="F359" s="251">
        <v>1</v>
      </c>
      <c r="G359" s="251">
        <v>1</v>
      </c>
      <c r="H359" s="209" t="s">
        <v>3116</v>
      </c>
      <c r="I359" s="206">
        <v>41023</v>
      </c>
      <c r="J359" s="206" t="s">
        <v>3114</v>
      </c>
      <c r="K359" s="208" t="s">
        <v>1059</v>
      </c>
      <c r="L359" s="252">
        <v>32400000</v>
      </c>
      <c r="M359" s="252">
        <v>32400000</v>
      </c>
      <c r="N359" s="253"/>
      <c r="O359" s="254"/>
    </row>
    <row r="360" spans="2:15" s="198" customFormat="1" ht="14.1" customHeight="1">
      <c r="B360" s="250">
        <v>351</v>
      </c>
      <c r="C360" s="251"/>
      <c r="D360" s="200" t="s">
        <v>624</v>
      </c>
      <c r="E360" s="437" t="s">
        <v>221</v>
      </c>
      <c r="F360" s="251">
        <v>1</v>
      </c>
      <c r="G360" s="251">
        <v>2</v>
      </c>
      <c r="H360" s="209" t="s">
        <v>3111</v>
      </c>
      <c r="I360" s="206">
        <v>41970</v>
      </c>
      <c r="J360" s="206" t="s">
        <v>3110</v>
      </c>
      <c r="K360" s="208" t="s">
        <v>1059</v>
      </c>
      <c r="L360" s="252">
        <v>36000000</v>
      </c>
      <c r="M360" s="252">
        <v>36000000</v>
      </c>
      <c r="N360" s="253"/>
      <c r="O360" s="254"/>
    </row>
    <row r="361" spans="2:15" s="198" customFormat="1" ht="14.1" customHeight="1">
      <c r="B361" s="250">
        <v>352</v>
      </c>
      <c r="C361" s="251"/>
      <c r="D361" s="200" t="s">
        <v>625</v>
      </c>
      <c r="E361" s="437" t="s">
        <v>681</v>
      </c>
      <c r="F361" s="251">
        <v>1</v>
      </c>
      <c r="G361" s="251">
        <v>1</v>
      </c>
      <c r="H361" s="209" t="s">
        <v>3111</v>
      </c>
      <c r="I361" s="206">
        <v>41927</v>
      </c>
      <c r="J361" s="206" t="s">
        <v>3110</v>
      </c>
      <c r="K361" s="208" t="s">
        <v>1059</v>
      </c>
      <c r="L361" s="252">
        <v>37440000</v>
      </c>
      <c r="M361" s="252">
        <v>37440000</v>
      </c>
      <c r="N361" s="253"/>
      <c r="O361" s="254"/>
    </row>
    <row r="362" spans="2:15" s="198" customFormat="1" ht="14.1" customHeight="1">
      <c r="B362" s="250">
        <v>353</v>
      </c>
      <c r="C362" s="251"/>
      <c r="D362" s="200" t="s">
        <v>626</v>
      </c>
      <c r="E362" s="437" t="s">
        <v>137</v>
      </c>
      <c r="F362" s="251">
        <v>1</v>
      </c>
      <c r="G362" s="251">
        <v>1</v>
      </c>
      <c r="H362" s="209" t="s">
        <v>3111</v>
      </c>
      <c r="I362" s="206">
        <v>42041</v>
      </c>
      <c r="J362" s="206" t="s">
        <v>3110</v>
      </c>
      <c r="K362" s="208" t="s">
        <v>1059</v>
      </c>
      <c r="L362" s="252">
        <v>36000000</v>
      </c>
      <c r="M362" s="252">
        <v>36000000</v>
      </c>
      <c r="N362" s="253"/>
      <c r="O362" s="254"/>
    </row>
    <row r="363" spans="2:15" s="198" customFormat="1" ht="14.1" customHeight="1">
      <c r="B363" s="250">
        <v>354</v>
      </c>
      <c r="C363" s="251"/>
      <c r="D363" s="200" t="s">
        <v>627</v>
      </c>
      <c r="E363" s="437" t="s">
        <v>109</v>
      </c>
      <c r="F363" s="251">
        <v>1</v>
      </c>
      <c r="G363" s="251">
        <v>1</v>
      </c>
      <c r="H363" s="209" t="s">
        <v>3111</v>
      </c>
      <c r="I363" s="206">
        <v>42200</v>
      </c>
      <c r="J363" s="206" t="s">
        <v>3110</v>
      </c>
      <c r="K363" s="208" t="s">
        <v>1059</v>
      </c>
      <c r="L363" s="252">
        <v>31920000</v>
      </c>
      <c r="M363" s="252">
        <v>31920000</v>
      </c>
      <c r="N363" s="253"/>
      <c r="O363" s="254"/>
    </row>
    <row r="364" spans="2:15" s="198" customFormat="1" ht="14.1" customHeight="1">
      <c r="B364" s="250">
        <v>355</v>
      </c>
      <c r="C364" s="251"/>
      <c r="D364" s="200" t="s">
        <v>628</v>
      </c>
      <c r="E364" s="437" t="s">
        <v>152</v>
      </c>
      <c r="F364" s="251">
        <v>1</v>
      </c>
      <c r="G364" s="251">
        <v>1</v>
      </c>
      <c r="H364" s="209" t="s">
        <v>3111</v>
      </c>
      <c r="I364" s="206">
        <v>41775</v>
      </c>
      <c r="J364" s="206" t="s">
        <v>3110</v>
      </c>
      <c r="K364" s="208" t="s">
        <v>1059</v>
      </c>
      <c r="L364" s="252">
        <v>32400000</v>
      </c>
      <c r="M364" s="252">
        <v>32400000</v>
      </c>
      <c r="N364" s="253"/>
      <c r="O364" s="254"/>
    </row>
    <row r="365" spans="2:15" s="198" customFormat="1" ht="14.1" customHeight="1">
      <c r="B365" s="250">
        <v>356</v>
      </c>
      <c r="C365" s="251"/>
      <c r="D365" s="200" t="s">
        <v>629</v>
      </c>
      <c r="E365" s="437" t="s">
        <v>234</v>
      </c>
      <c r="F365" s="251">
        <v>1</v>
      </c>
      <c r="G365" s="251">
        <v>1</v>
      </c>
      <c r="H365" s="209" t="s">
        <v>3111</v>
      </c>
      <c r="I365" s="206">
        <v>41934</v>
      </c>
      <c r="J365" s="206" t="s">
        <v>3110</v>
      </c>
      <c r="K365" s="208" t="s">
        <v>1059</v>
      </c>
      <c r="L365" s="252">
        <v>30000000</v>
      </c>
      <c r="M365" s="252">
        <v>30000000</v>
      </c>
      <c r="N365" s="253"/>
      <c r="O365" s="254"/>
    </row>
    <row r="366" spans="2:15" s="198" customFormat="1" ht="14.1" customHeight="1">
      <c r="B366" s="250">
        <v>357</v>
      </c>
      <c r="C366" s="251"/>
      <c r="D366" s="200" t="s">
        <v>630</v>
      </c>
      <c r="E366" s="437" t="s">
        <v>168</v>
      </c>
      <c r="F366" s="251">
        <v>1</v>
      </c>
      <c r="G366" s="251">
        <v>1</v>
      </c>
      <c r="H366" s="209" t="s">
        <v>3111</v>
      </c>
      <c r="I366" s="206">
        <v>40556</v>
      </c>
      <c r="J366" s="206" t="s">
        <v>3110</v>
      </c>
      <c r="K366" s="208" t="s">
        <v>1059</v>
      </c>
      <c r="L366" s="252">
        <v>25200000</v>
      </c>
      <c r="M366" s="252">
        <v>25200000</v>
      </c>
      <c r="N366" s="253"/>
      <c r="O366" s="254"/>
    </row>
    <row r="367" spans="2:15" s="198" customFormat="1" ht="14.1" customHeight="1">
      <c r="B367" s="250">
        <v>358</v>
      </c>
      <c r="C367" s="251"/>
      <c r="D367" s="200" t="s">
        <v>630</v>
      </c>
      <c r="E367" s="437" t="s">
        <v>168</v>
      </c>
      <c r="F367" s="251">
        <v>1</v>
      </c>
      <c r="G367" s="251">
        <v>2</v>
      </c>
      <c r="H367" s="209" t="s">
        <v>3111</v>
      </c>
      <c r="I367" s="206">
        <v>40729</v>
      </c>
      <c r="J367" s="206" t="s">
        <v>3110</v>
      </c>
      <c r="K367" s="208" t="s">
        <v>1059</v>
      </c>
      <c r="L367" s="252">
        <v>5040000</v>
      </c>
      <c r="M367" s="252">
        <v>5040000</v>
      </c>
      <c r="N367" s="253"/>
      <c r="O367" s="254"/>
    </row>
    <row r="368" spans="2:15" s="198" customFormat="1" ht="14.1" customHeight="1">
      <c r="B368" s="250">
        <v>359</v>
      </c>
      <c r="C368" s="251"/>
      <c r="D368" s="200" t="s">
        <v>631</v>
      </c>
      <c r="E368" s="437" t="s">
        <v>151</v>
      </c>
      <c r="F368" s="251">
        <v>1</v>
      </c>
      <c r="G368" s="251">
        <v>1</v>
      </c>
      <c r="H368" s="209" t="s">
        <v>3111</v>
      </c>
      <c r="I368" s="206">
        <v>41900</v>
      </c>
      <c r="J368" s="206" t="s">
        <v>3110</v>
      </c>
      <c r="K368" s="208" t="s">
        <v>1059</v>
      </c>
      <c r="L368" s="252">
        <v>12000000</v>
      </c>
      <c r="M368" s="252">
        <v>12000000</v>
      </c>
      <c r="N368" s="253"/>
      <c r="O368" s="254"/>
    </row>
    <row r="369" spans="2:15" s="198" customFormat="1" ht="14.1" customHeight="1">
      <c r="B369" s="250">
        <v>360</v>
      </c>
      <c r="C369" s="251"/>
      <c r="D369" s="200" t="s">
        <v>632</v>
      </c>
      <c r="E369" s="437" t="s">
        <v>205</v>
      </c>
      <c r="F369" s="251">
        <v>1</v>
      </c>
      <c r="G369" s="251">
        <v>1</v>
      </c>
      <c r="H369" s="209" t="s">
        <v>3133</v>
      </c>
      <c r="I369" s="206">
        <v>39010</v>
      </c>
      <c r="J369" s="206" t="s">
        <v>3114</v>
      </c>
      <c r="K369" s="208" t="s">
        <v>1059</v>
      </c>
      <c r="L369" s="252">
        <v>133200000</v>
      </c>
      <c r="M369" s="252">
        <v>133200000</v>
      </c>
      <c r="N369" s="253"/>
      <c r="O369" s="254" t="s">
        <v>3147</v>
      </c>
    </row>
    <row r="370" spans="2:15" s="198" customFormat="1" ht="14.1" customHeight="1">
      <c r="B370" s="250">
        <v>361</v>
      </c>
      <c r="C370" s="251"/>
      <c r="D370" s="200" t="s">
        <v>632</v>
      </c>
      <c r="E370" s="437" t="s">
        <v>205</v>
      </c>
      <c r="F370" s="251">
        <v>1</v>
      </c>
      <c r="G370" s="251">
        <v>2</v>
      </c>
      <c r="H370" s="209" t="s">
        <v>3111</v>
      </c>
      <c r="I370" s="206">
        <v>39021</v>
      </c>
      <c r="J370" s="206" t="s">
        <v>3110</v>
      </c>
      <c r="K370" s="208" t="s">
        <v>1059</v>
      </c>
      <c r="L370" s="252">
        <v>60000000</v>
      </c>
      <c r="M370" s="252">
        <v>60000000</v>
      </c>
      <c r="N370" s="253"/>
      <c r="O370" s="254"/>
    </row>
    <row r="371" spans="2:15" s="198" customFormat="1" ht="14.1" customHeight="1">
      <c r="B371" s="250">
        <v>362</v>
      </c>
      <c r="C371" s="251"/>
      <c r="D371" s="200" t="s">
        <v>633</v>
      </c>
      <c r="E371" s="437" t="s">
        <v>152</v>
      </c>
      <c r="F371" s="251">
        <v>1</v>
      </c>
      <c r="G371" s="251">
        <v>1</v>
      </c>
      <c r="H371" s="209" t="s">
        <v>3111</v>
      </c>
      <c r="I371" s="206">
        <v>41417</v>
      </c>
      <c r="J371" s="206" t="s">
        <v>3110</v>
      </c>
      <c r="K371" s="208" t="s">
        <v>1059</v>
      </c>
      <c r="L371" s="252">
        <v>36000000</v>
      </c>
      <c r="M371" s="252">
        <v>36000000</v>
      </c>
      <c r="N371" s="253"/>
      <c r="O371" s="254"/>
    </row>
    <row r="372" spans="2:15" s="198" customFormat="1" ht="14.1" customHeight="1">
      <c r="B372" s="250">
        <v>363</v>
      </c>
      <c r="C372" s="251"/>
      <c r="D372" s="200" t="s">
        <v>634</v>
      </c>
      <c r="E372" s="437" t="s">
        <v>152</v>
      </c>
      <c r="F372" s="251">
        <v>1</v>
      </c>
      <c r="G372" s="251">
        <v>1</v>
      </c>
      <c r="H372" s="209" t="s">
        <v>3111</v>
      </c>
      <c r="I372" s="206">
        <v>38701</v>
      </c>
      <c r="J372" s="206" t="s">
        <v>3117</v>
      </c>
      <c r="K372" s="208" t="s">
        <v>1059</v>
      </c>
      <c r="L372" s="252">
        <v>24000000</v>
      </c>
      <c r="M372" s="252">
        <v>24000000</v>
      </c>
      <c r="N372" s="253"/>
      <c r="O372" s="254"/>
    </row>
    <row r="373" spans="2:15" s="198" customFormat="1" ht="14.1" customHeight="1">
      <c r="B373" s="250">
        <v>364</v>
      </c>
      <c r="C373" s="251"/>
      <c r="D373" s="200" t="s">
        <v>635</v>
      </c>
      <c r="E373" s="437" t="s">
        <v>152</v>
      </c>
      <c r="F373" s="251">
        <v>1</v>
      </c>
      <c r="G373" s="251">
        <v>1</v>
      </c>
      <c r="H373" s="209" t="s">
        <v>3111</v>
      </c>
      <c r="I373" s="206">
        <v>38929</v>
      </c>
      <c r="J373" s="206" t="s">
        <v>3117</v>
      </c>
      <c r="K373" s="208" t="s">
        <v>1059</v>
      </c>
      <c r="L373" s="252">
        <v>30000000</v>
      </c>
      <c r="M373" s="252">
        <v>30000000</v>
      </c>
      <c r="N373" s="253"/>
      <c r="O373" s="254"/>
    </row>
    <row r="374" spans="2:15" s="198" customFormat="1" ht="14.1" customHeight="1">
      <c r="B374" s="250">
        <v>365</v>
      </c>
      <c r="C374" s="251"/>
      <c r="D374" s="200" t="s">
        <v>636</v>
      </c>
      <c r="E374" s="437" t="s">
        <v>138</v>
      </c>
      <c r="F374" s="251">
        <v>1</v>
      </c>
      <c r="G374" s="251">
        <v>1</v>
      </c>
      <c r="H374" s="209" t="s">
        <v>3111</v>
      </c>
      <c r="I374" s="206">
        <v>41859</v>
      </c>
      <c r="J374" s="206" t="s">
        <v>3110</v>
      </c>
      <c r="K374" s="208" t="s">
        <v>1059</v>
      </c>
      <c r="L374" s="252">
        <v>14400000</v>
      </c>
      <c r="M374" s="252">
        <v>14400000</v>
      </c>
      <c r="N374" s="253"/>
      <c r="O374" s="254"/>
    </row>
    <row r="375" spans="2:15" s="198" customFormat="1" ht="14.1" customHeight="1" thickBot="1">
      <c r="B375" s="339">
        <v>366</v>
      </c>
      <c r="C375" s="340"/>
      <c r="D375" s="319" t="s">
        <v>637</v>
      </c>
      <c r="E375" s="443" t="s">
        <v>682</v>
      </c>
      <c r="F375" s="340">
        <v>1</v>
      </c>
      <c r="G375" s="340">
        <v>1</v>
      </c>
      <c r="H375" s="328" t="s">
        <v>3111</v>
      </c>
      <c r="I375" s="325">
        <v>41565</v>
      </c>
      <c r="J375" s="325" t="s">
        <v>3110</v>
      </c>
      <c r="K375" s="326" t="s">
        <v>1059</v>
      </c>
      <c r="L375" s="338">
        <v>4200000000</v>
      </c>
      <c r="M375" s="338">
        <v>4200000000</v>
      </c>
      <c r="N375" s="341"/>
      <c r="O375" s="342"/>
    </row>
  </sheetData>
  <autoFilter ref="B9:J134"/>
  <phoneticPr fontId="4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0"/>
  <sheetViews>
    <sheetView showGridLines="0" workbookViewId="0"/>
  </sheetViews>
  <sheetFormatPr defaultColWidth="9" defaultRowHeight="14.1" customHeight="1"/>
  <cols>
    <col min="1" max="1" width="2.625" style="301" customWidth="1"/>
    <col min="2" max="2" width="8.375" style="302" customWidth="1"/>
    <col min="3" max="3" width="12.25" style="302" customWidth="1"/>
    <col min="4" max="4" width="10.75" style="302" customWidth="1"/>
    <col min="5" max="5" width="17.75" style="302" customWidth="1"/>
    <col min="6" max="6" width="18" style="302" customWidth="1"/>
    <col min="7" max="7" width="18.875" style="302" customWidth="1"/>
    <col min="8" max="8" width="27.875" style="302" customWidth="1"/>
    <col min="9" max="9" width="11.875" style="302" customWidth="1"/>
    <col min="10" max="12" width="9.875" style="302" customWidth="1"/>
    <col min="13" max="15" width="9" style="302"/>
    <col min="16" max="18" width="16.625" style="302" customWidth="1"/>
    <col min="19" max="19" width="57.125" style="302" customWidth="1"/>
    <col min="20" max="16384" width="9" style="302"/>
  </cols>
  <sheetData>
    <row r="1" spans="1:19" s="262" customFormat="1" ht="13.5" customHeight="1">
      <c r="A1" s="257"/>
      <c r="B1" s="258"/>
      <c r="C1" s="258"/>
      <c r="D1" s="259"/>
      <c r="E1" s="260"/>
      <c r="F1" s="260"/>
      <c r="G1" s="260"/>
      <c r="H1" s="260"/>
      <c r="I1" s="260"/>
      <c r="J1" s="260"/>
      <c r="K1" s="260"/>
      <c r="L1" s="261"/>
      <c r="N1" s="263"/>
      <c r="S1" s="264"/>
    </row>
    <row r="2" spans="1:19" s="262" customFormat="1" ht="20.100000000000001" customHeight="1">
      <c r="A2" s="265"/>
      <c r="B2" s="10" t="s">
        <v>429</v>
      </c>
      <c r="C2" s="266"/>
      <c r="D2" s="267"/>
      <c r="E2" s="260"/>
      <c r="F2" s="267"/>
      <c r="G2" s="267"/>
      <c r="H2" s="267"/>
      <c r="I2" s="267"/>
      <c r="J2" s="267"/>
      <c r="K2" s="267"/>
      <c r="L2" s="268"/>
      <c r="N2" s="269"/>
      <c r="S2" s="264"/>
    </row>
    <row r="3" spans="1:19" s="262" customFormat="1" ht="20.100000000000001" customHeight="1">
      <c r="B3" s="270" t="s">
        <v>302</v>
      </c>
      <c r="C3" s="266"/>
      <c r="D3" s="267"/>
      <c r="E3" s="260"/>
      <c r="F3" s="266"/>
      <c r="G3" s="266"/>
      <c r="H3" s="267"/>
      <c r="I3" s="266"/>
      <c r="J3" s="271"/>
      <c r="K3" s="266"/>
      <c r="L3" s="268"/>
      <c r="N3" s="269"/>
      <c r="S3" s="264"/>
    </row>
    <row r="4" spans="1:19" s="262" customFormat="1" ht="20.100000000000001" customHeight="1">
      <c r="B4" s="270" t="s">
        <v>303</v>
      </c>
      <c r="C4" s="266"/>
      <c r="D4" s="267"/>
      <c r="E4" s="267"/>
      <c r="F4" s="266"/>
      <c r="G4" s="266"/>
      <c r="H4" s="267"/>
      <c r="I4" s="266"/>
      <c r="J4" s="271"/>
      <c r="K4" s="266"/>
      <c r="L4" s="272"/>
      <c r="N4" s="269"/>
      <c r="S4" s="264"/>
    </row>
    <row r="5" spans="1:19" s="262" customFormat="1" ht="9.9499999999999993" customHeight="1" thickBot="1">
      <c r="A5" s="273"/>
      <c r="B5" s="273"/>
      <c r="C5" s="266"/>
      <c r="D5" s="274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S5" s="264"/>
    </row>
    <row r="6" spans="1:19" s="358" customFormat="1" ht="13.5" customHeight="1">
      <c r="B6" s="359"/>
      <c r="C6" s="551" t="s">
        <v>1041</v>
      </c>
      <c r="D6" s="552"/>
      <c r="E6" s="360"/>
      <c r="F6" s="361"/>
      <c r="G6" s="362" t="s">
        <v>1042</v>
      </c>
      <c r="H6" s="362"/>
      <c r="I6" s="362"/>
      <c r="J6" s="362"/>
      <c r="K6" s="362"/>
      <c r="L6" s="360"/>
      <c r="M6" s="362"/>
      <c r="N6" s="363"/>
      <c r="O6" s="362"/>
      <c r="P6" s="362"/>
      <c r="Q6" s="362"/>
      <c r="R6" s="364"/>
      <c r="S6" s="365" t="s">
        <v>49</v>
      </c>
    </row>
    <row r="7" spans="1:19" s="358" customFormat="1" ht="13.5" customHeight="1">
      <c r="B7" s="366">
        <v>1</v>
      </c>
      <c r="C7" s="367">
        <v>2</v>
      </c>
      <c r="D7" s="367">
        <v>3</v>
      </c>
      <c r="E7" s="368">
        <v>4</v>
      </c>
      <c r="F7" s="366">
        <v>5</v>
      </c>
      <c r="G7" s="367">
        <v>6</v>
      </c>
      <c r="H7" s="367">
        <v>7</v>
      </c>
      <c r="I7" s="367">
        <v>8</v>
      </c>
      <c r="J7" s="367">
        <v>9</v>
      </c>
      <c r="K7" s="367">
        <v>10</v>
      </c>
      <c r="L7" s="367">
        <v>11</v>
      </c>
      <c r="M7" s="367">
        <v>12</v>
      </c>
      <c r="N7" s="367">
        <v>13</v>
      </c>
      <c r="O7" s="367">
        <v>14</v>
      </c>
      <c r="P7" s="367">
        <v>15</v>
      </c>
      <c r="Q7" s="367">
        <v>16</v>
      </c>
      <c r="R7" s="367">
        <v>17</v>
      </c>
      <c r="S7" s="369">
        <v>18</v>
      </c>
    </row>
    <row r="8" spans="1:19" s="358" customFormat="1" ht="35.1" customHeight="1">
      <c r="B8" s="370" t="s">
        <v>20</v>
      </c>
      <c r="C8" s="371" t="s">
        <v>21</v>
      </c>
      <c r="D8" s="371" t="s">
        <v>22</v>
      </c>
      <c r="E8" s="372" t="s">
        <v>23</v>
      </c>
      <c r="F8" s="373" t="s">
        <v>422</v>
      </c>
      <c r="G8" s="277" t="s">
        <v>1043</v>
      </c>
      <c r="H8" s="276" t="s">
        <v>1044</v>
      </c>
      <c r="I8" s="277" t="s">
        <v>421</v>
      </c>
      <c r="J8" s="276" t="s">
        <v>1045</v>
      </c>
      <c r="K8" s="277" t="s">
        <v>1046</v>
      </c>
      <c r="L8" s="278" t="s">
        <v>1047</v>
      </c>
      <c r="M8" s="276" t="s">
        <v>1048</v>
      </c>
      <c r="N8" s="276" t="s">
        <v>1049</v>
      </c>
      <c r="O8" s="277" t="s">
        <v>36</v>
      </c>
      <c r="P8" s="277" t="s">
        <v>1050</v>
      </c>
      <c r="Q8" s="374" t="s">
        <v>1051</v>
      </c>
      <c r="R8" s="374" t="s">
        <v>1052</v>
      </c>
      <c r="S8" s="375" t="s">
        <v>1053</v>
      </c>
    </row>
    <row r="9" spans="1:19" s="376" customFormat="1" ht="35.1" customHeight="1" thickBot="1">
      <c r="B9" s="377" t="s">
        <v>24</v>
      </c>
      <c r="C9" s="378" t="s">
        <v>25</v>
      </c>
      <c r="D9" s="378" t="s">
        <v>26</v>
      </c>
      <c r="E9" s="379" t="s">
        <v>27</v>
      </c>
      <c r="F9" s="380" t="s">
        <v>305</v>
      </c>
      <c r="G9" s="381" t="s">
        <v>1054</v>
      </c>
      <c r="H9" s="382" t="s">
        <v>1055</v>
      </c>
      <c r="I9" s="381" t="s">
        <v>423</v>
      </c>
      <c r="J9" s="382" t="s">
        <v>306</v>
      </c>
      <c r="K9" s="381" t="s">
        <v>309</v>
      </c>
      <c r="L9" s="383" t="s">
        <v>310</v>
      </c>
      <c r="M9" s="382" t="s">
        <v>307</v>
      </c>
      <c r="N9" s="382" t="s">
        <v>308</v>
      </c>
      <c r="O9" s="381" t="s">
        <v>311</v>
      </c>
      <c r="P9" s="381" t="s">
        <v>312</v>
      </c>
      <c r="Q9" s="384" t="s">
        <v>313</v>
      </c>
      <c r="R9" s="384" t="s">
        <v>314</v>
      </c>
      <c r="S9" s="385" t="s">
        <v>76</v>
      </c>
    </row>
    <row r="10" spans="1:19" s="386" customFormat="1" ht="14.1" customHeight="1">
      <c r="A10" s="358"/>
      <c r="B10" s="279">
        <v>1</v>
      </c>
      <c r="C10" s="280"/>
      <c r="D10" s="280" t="s">
        <v>433</v>
      </c>
      <c r="E10" s="281" t="s">
        <v>639</v>
      </c>
      <c r="F10" s="284" t="s">
        <v>1056</v>
      </c>
      <c r="G10" s="280" t="s">
        <v>316</v>
      </c>
      <c r="H10" s="283" t="s">
        <v>1057</v>
      </c>
      <c r="I10" s="282" t="s">
        <v>765</v>
      </c>
      <c r="J10" s="285">
        <v>43693</v>
      </c>
      <c r="K10" s="280" t="s">
        <v>1058</v>
      </c>
      <c r="L10" s="286">
        <v>0.9</v>
      </c>
      <c r="M10" s="285"/>
      <c r="N10" s="285"/>
      <c r="O10" s="280" t="s">
        <v>1059</v>
      </c>
      <c r="P10" s="287">
        <v>1440000000</v>
      </c>
      <c r="Q10" s="287">
        <v>720000000</v>
      </c>
      <c r="R10" s="287">
        <v>720000000</v>
      </c>
      <c r="S10" s="288" t="s">
        <v>1060</v>
      </c>
    </row>
    <row r="11" spans="1:19" s="386" customFormat="1" ht="14.1" customHeight="1">
      <c r="A11" s="358"/>
      <c r="B11" s="279">
        <v>2</v>
      </c>
      <c r="C11" s="280"/>
      <c r="D11" s="280" t="s">
        <v>440</v>
      </c>
      <c r="E11" s="281" t="s">
        <v>646</v>
      </c>
      <c r="F11" s="284" t="s">
        <v>1056</v>
      </c>
      <c r="G11" s="280" t="s">
        <v>316</v>
      </c>
      <c r="H11" s="283" t="s">
        <v>1061</v>
      </c>
      <c r="I11" s="282" t="s">
        <v>788</v>
      </c>
      <c r="J11" s="285">
        <v>45055</v>
      </c>
      <c r="K11" s="280" t="s">
        <v>1058</v>
      </c>
      <c r="L11" s="286">
        <v>0.9</v>
      </c>
      <c r="M11" s="285">
        <v>42387</v>
      </c>
      <c r="N11" s="285">
        <v>42412</v>
      </c>
      <c r="O11" s="280" t="s">
        <v>1059</v>
      </c>
      <c r="P11" s="287">
        <v>900000000</v>
      </c>
      <c r="Q11" s="287">
        <v>387000000</v>
      </c>
      <c r="R11" s="287">
        <v>387000000</v>
      </c>
      <c r="S11" s="288" t="s">
        <v>1062</v>
      </c>
    </row>
    <row r="12" spans="1:19" s="386" customFormat="1" ht="14.1" customHeight="1">
      <c r="A12" s="358"/>
      <c r="B12" s="279">
        <v>3</v>
      </c>
      <c r="C12" s="280"/>
      <c r="D12" s="280" t="s">
        <v>441</v>
      </c>
      <c r="E12" s="281" t="s">
        <v>239</v>
      </c>
      <c r="F12" s="284" t="s">
        <v>1063</v>
      </c>
      <c r="G12" s="280" t="s">
        <v>1064</v>
      </c>
      <c r="H12" s="283" t="s">
        <v>1065</v>
      </c>
      <c r="I12" s="468" t="s">
        <v>793</v>
      </c>
      <c r="J12" s="285">
        <v>42433</v>
      </c>
      <c r="K12" s="280" t="s">
        <v>1058</v>
      </c>
      <c r="L12" s="286">
        <v>0.9</v>
      </c>
      <c r="M12" s="285">
        <v>42403</v>
      </c>
      <c r="N12" s="285"/>
      <c r="O12" s="280" t="s">
        <v>1059</v>
      </c>
      <c r="P12" s="287">
        <v>180000000</v>
      </c>
      <c r="Q12" s="287">
        <v>180000000</v>
      </c>
      <c r="R12" s="287">
        <v>180000000</v>
      </c>
      <c r="S12" s="288"/>
    </row>
    <row r="13" spans="1:19" s="386" customFormat="1" ht="14.1" customHeight="1">
      <c r="A13" s="358"/>
      <c r="B13" s="279">
        <v>4</v>
      </c>
      <c r="C13" s="280"/>
      <c r="D13" s="280" t="s">
        <v>441</v>
      </c>
      <c r="E13" s="281" t="s">
        <v>239</v>
      </c>
      <c r="F13" s="284" t="s">
        <v>1056</v>
      </c>
      <c r="G13" s="280" t="s">
        <v>316</v>
      </c>
      <c r="H13" s="283" t="s">
        <v>1066</v>
      </c>
      <c r="I13" s="282" t="s">
        <v>345</v>
      </c>
      <c r="J13" s="285">
        <v>42528</v>
      </c>
      <c r="K13" s="280" t="s">
        <v>1058</v>
      </c>
      <c r="L13" s="286">
        <v>0.9</v>
      </c>
      <c r="M13" s="285">
        <v>42454</v>
      </c>
      <c r="N13" s="285"/>
      <c r="O13" s="280" t="s">
        <v>1059</v>
      </c>
      <c r="P13" s="287">
        <v>270000000</v>
      </c>
      <c r="Q13" s="287">
        <v>243000000</v>
      </c>
      <c r="R13" s="287">
        <v>243000000</v>
      </c>
      <c r="S13" s="288"/>
    </row>
    <row r="14" spans="1:19" s="386" customFormat="1" ht="14.1" customHeight="1">
      <c r="A14" s="358"/>
      <c r="B14" s="279">
        <v>5</v>
      </c>
      <c r="C14" s="280"/>
      <c r="D14" s="280" t="s">
        <v>447</v>
      </c>
      <c r="E14" s="281" t="s">
        <v>650</v>
      </c>
      <c r="F14" s="284" t="s">
        <v>1067</v>
      </c>
      <c r="G14" s="280" t="s">
        <v>317</v>
      </c>
      <c r="H14" s="283">
        <v>402201500365</v>
      </c>
      <c r="I14" s="282" t="s">
        <v>801</v>
      </c>
      <c r="J14" s="285">
        <v>42482</v>
      </c>
      <c r="K14" s="280" t="s">
        <v>1058</v>
      </c>
      <c r="L14" s="286">
        <v>0.9</v>
      </c>
      <c r="M14" s="285"/>
      <c r="N14" s="285"/>
      <c r="O14" s="280" t="s">
        <v>1059</v>
      </c>
      <c r="P14" s="287">
        <v>270000000</v>
      </c>
      <c r="Q14" s="287">
        <v>270000000</v>
      </c>
      <c r="R14" s="287">
        <v>270000000</v>
      </c>
      <c r="S14" s="288"/>
    </row>
    <row r="15" spans="1:19" s="386" customFormat="1" ht="14.1" customHeight="1">
      <c r="A15" s="358"/>
      <c r="B15" s="279">
        <v>6</v>
      </c>
      <c r="C15" s="280"/>
      <c r="D15" s="280" t="s">
        <v>448</v>
      </c>
      <c r="E15" s="281" t="s">
        <v>651</v>
      </c>
      <c r="F15" s="284" t="s">
        <v>1056</v>
      </c>
      <c r="G15" s="280" t="s">
        <v>316</v>
      </c>
      <c r="H15" s="283" t="s">
        <v>1068</v>
      </c>
      <c r="I15" s="282" t="s">
        <v>808</v>
      </c>
      <c r="J15" s="285">
        <v>42706</v>
      </c>
      <c r="K15" s="280" t="s">
        <v>1058</v>
      </c>
      <c r="L15" s="286">
        <v>0.85</v>
      </c>
      <c r="M15" s="285">
        <v>42438</v>
      </c>
      <c r="N15" s="285">
        <v>42471</v>
      </c>
      <c r="O15" s="280" t="s">
        <v>1059</v>
      </c>
      <c r="P15" s="287">
        <v>170000000</v>
      </c>
      <c r="Q15" s="287">
        <v>153000000</v>
      </c>
      <c r="R15" s="287">
        <v>153000000</v>
      </c>
      <c r="S15" s="288"/>
    </row>
    <row r="16" spans="1:19" s="386" customFormat="1" ht="14.1" customHeight="1">
      <c r="A16" s="358"/>
      <c r="B16" s="279">
        <v>7</v>
      </c>
      <c r="C16" s="280"/>
      <c r="D16" s="280" t="s">
        <v>463</v>
      </c>
      <c r="E16" s="281" t="s">
        <v>152</v>
      </c>
      <c r="F16" s="284" t="s">
        <v>1067</v>
      </c>
      <c r="G16" s="280" t="s">
        <v>317</v>
      </c>
      <c r="H16" s="289">
        <v>321201200203</v>
      </c>
      <c r="I16" s="282" t="s">
        <v>763</v>
      </c>
      <c r="J16" s="285">
        <v>42517</v>
      </c>
      <c r="K16" s="280" t="s">
        <v>1058</v>
      </c>
      <c r="L16" s="286">
        <v>1</v>
      </c>
      <c r="M16" s="285">
        <v>42403</v>
      </c>
      <c r="N16" s="285"/>
      <c r="O16" s="280" t="s">
        <v>1059</v>
      </c>
      <c r="P16" s="287">
        <v>250000000</v>
      </c>
      <c r="Q16" s="287">
        <v>250000000</v>
      </c>
      <c r="R16" s="287">
        <v>250000000</v>
      </c>
      <c r="S16" s="288"/>
    </row>
    <row r="17" spans="1:19" s="386" customFormat="1" ht="14.1" customHeight="1">
      <c r="A17" s="358"/>
      <c r="B17" s="279">
        <v>8</v>
      </c>
      <c r="C17" s="280"/>
      <c r="D17" s="280" t="s">
        <v>495</v>
      </c>
      <c r="E17" s="281" t="s">
        <v>109</v>
      </c>
      <c r="F17" s="284" t="s">
        <v>1069</v>
      </c>
      <c r="G17" s="280" t="s">
        <v>315</v>
      </c>
      <c r="H17" s="289">
        <v>220201500338</v>
      </c>
      <c r="I17" s="282" t="s">
        <v>894</v>
      </c>
      <c r="J17" s="285">
        <v>43908</v>
      </c>
      <c r="K17" s="280" t="s">
        <v>1058</v>
      </c>
      <c r="L17" s="286">
        <v>1</v>
      </c>
      <c r="M17" s="285">
        <v>42417</v>
      </c>
      <c r="N17" s="285">
        <v>42480</v>
      </c>
      <c r="O17" s="280" t="s">
        <v>1059</v>
      </c>
      <c r="P17" s="287">
        <v>10000000</v>
      </c>
      <c r="Q17" s="287">
        <v>10000000</v>
      </c>
      <c r="R17" s="287">
        <v>10000000</v>
      </c>
      <c r="S17" s="288"/>
    </row>
    <row r="18" spans="1:19" s="386" customFormat="1" ht="14.1" customHeight="1">
      <c r="A18" s="358"/>
      <c r="B18" s="279">
        <v>9</v>
      </c>
      <c r="C18" s="280"/>
      <c r="D18" s="280" t="s">
        <v>496</v>
      </c>
      <c r="E18" s="281" t="s">
        <v>194</v>
      </c>
      <c r="F18" s="284" t="s">
        <v>1069</v>
      </c>
      <c r="G18" s="280" t="s">
        <v>315</v>
      </c>
      <c r="H18" s="289">
        <v>220201500352</v>
      </c>
      <c r="I18" s="282" t="s">
        <v>895</v>
      </c>
      <c r="J18" s="285">
        <v>43909</v>
      </c>
      <c r="K18" s="280" t="s">
        <v>1058</v>
      </c>
      <c r="L18" s="286">
        <v>1</v>
      </c>
      <c r="M18" s="285">
        <v>42444</v>
      </c>
      <c r="N18" s="285"/>
      <c r="O18" s="280" t="s">
        <v>1059</v>
      </c>
      <c r="P18" s="287">
        <v>20000000</v>
      </c>
      <c r="Q18" s="287">
        <v>20000000</v>
      </c>
      <c r="R18" s="287">
        <v>20000000</v>
      </c>
      <c r="S18" s="288"/>
    </row>
    <row r="19" spans="1:19" s="386" customFormat="1" ht="14.1" customHeight="1">
      <c r="A19" s="358"/>
      <c r="B19" s="279">
        <v>10</v>
      </c>
      <c r="C19" s="280"/>
      <c r="D19" s="280" t="s">
        <v>546</v>
      </c>
      <c r="E19" s="281" t="s">
        <v>208</v>
      </c>
      <c r="F19" s="284" t="s">
        <v>1070</v>
      </c>
      <c r="G19" s="280" t="s">
        <v>1071</v>
      </c>
      <c r="H19" s="289" t="s">
        <v>1072</v>
      </c>
      <c r="I19" s="282" t="s">
        <v>951</v>
      </c>
      <c r="J19" s="285">
        <v>42646</v>
      </c>
      <c r="K19" s="280" t="s">
        <v>1058</v>
      </c>
      <c r="L19" s="286">
        <v>1</v>
      </c>
      <c r="M19" s="285">
        <v>42402</v>
      </c>
      <c r="N19" s="285">
        <v>42471</v>
      </c>
      <c r="O19" s="280" t="s">
        <v>1059</v>
      </c>
      <c r="P19" s="287">
        <v>20000000</v>
      </c>
      <c r="Q19" s="287">
        <v>4166660</v>
      </c>
      <c r="R19" s="287">
        <v>4166660</v>
      </c>
      <c r="S19" s="288"/>
    </row>
    <row r="20" spans="1:19" s="386" customFormat="1" ht="14.1" customHeight="1" thickBot="1">
      <c r="A20" s="358"/>
      <c r="B20" s="290">
        <v>11</v>
      </c>
      <c r="C20" s="291"/>
      <c r="D20" s="291" t="s">
        <v>637</v>
      </c>
      <c r="E20" s="292" t="s">
        <v>682</v>
      </c>
      <c r="F20" s="294" t="s">
        <v>1056</v>
      </c>
      <c r="G20" s="291" t="s">
        <v>316</v>
      </c>
      <c r="H20" s="387" t="s">
        <v>1073</v>
      </c>
      <c r="I20" s="293" t="s">
        <v>1038</v>
      </c>
      <c r="J20" s="295">
        <v>44264</v>
      </c>
      <c r="K20" s="291" t="s">
        <v>1058</v>
      </c>
      <c r="L20" s="296">
        <v>0.85</v>
      </c>
      <c r="M20" s="295">
        <v>42486</v>
      </c>
      <c r="N20" s="295"/>
      <c r="O20" s="291" t="s">
        <v>1059</v>
      </c>
      <c r="P20" s="297">
        <v>977500000</v>
      </c>
      <c r="Q20" s="297">
        <v>977500000</v>
      </c>
      <c r="R20" s="297">
        <v>977500000</v>
      </c>
      <c r="S20" s="298" t="s">
        <v>1074</v>
      </c>
    </row>
  </sheetData>
  <autoFilter ref="A9:S20"/>
  <mergeCells count="1">
    <mergeCell ref="C6:D6"/>
  </mergeCells>
  <phoneticPr fontId="4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8"/>
  <sheetViews>
    <sheetView showGridLines="0" workbookViewId="0"/>
  </sheetViews>
  <sheetFormatPr defaultRowHeight="14.1" customHeight="1"/>
  <cols>
    <col min="1" max="1" width="2.625" style="301" customWidth="1"/>
    <col min="2" max="2" width="8.375" style="302" customWidth="1"/>
    <col min="3" max="3" width="12.25" style="302" customWidth="1"/>
    <col min="4" max="4" width="10.75" style="302" customWidth="1"/>
    <col min="5" max="5" width="17.75" style="302" customWidth="1"/>
    <col min="6" max="6" width="18" style="302" customWidth="1"/>
    <col min="7" max="7" width="18.875" style="302" customWidth="1"/>
    <col min="8" max="8" width="27.875" style="302" customWidth="1"/>
    <col min="9" max="9" width="11.875" style="302" customWidth="1"/>
    <col min="10" max="12" width="9.875" style="302" customWidth="1"/>
    <col min="13" max="15" width="9" style="302"/>
    <col min="16" max="16" width="16.625" style="302" customWidth="1"/>
    <col min="17" max="17" width="57.125" style="302" customWidth="1"/>
    <col min="18" max="19" width="9" style="302"/>
    <col min="20" max="20" width="9.75" style="302" bestFit="1" customWidth="1"/>
    <col min="21" max="252" width="9" style="302"/>
    <col min="253" max="253" width="2" style="302" customWidth="1"/>
    <col min="254" max="254" width="8.375" style="302" customWidth="1"/>
    <col min="255" max="255" width="12.25" style="302" customWidth="1"/>
    <col min="256" max="256" width="10.75" style="302" customWidth="1"/>
    <col min="257" max="257" width="17.75" style="302" customWidth="1"/>
    <col min="258" max="258" width="18" style="302" customWidth="1"/>
    <col min="259" max="259" width="18.875" style="302" customWidth="1"/>
    <col min="260" max="260" width="27.875" style="302" customWidth="1"/>
    <col min="261" max="261" width="11.875" style="302" customWidth="1"/>
    <col min="262" max="264" width="9.875" style="302" customWidth="1"/>
    <col min="265" max="267" width="9" style="302"/>
    <col min="268" max="268" width="16.625" style="302" customWidth="1"/>
    <col min="269" max="269" width="57.125" style="302" customWidth="1"/>
    <col min="270" max="508" width="9" style="302"/>
    <col min="509" max="509" width="2" style="302" customWidth="1"/>
    <col min="510" max="510" width="8.375" style="302" customWidth="1"/>
    <col min="511" max="511" width="12.25" style="302" customWidth="1"/>
    <col min="512" max="512" width="10.75" style="302" customWidth="1"/>
    <col min="513" max="513" width="17.75" style="302" customWidth="1"/>
    <col min="514" max="514" width="18" style="302" customWidth="1"/>
    <col min="515" max="515" width="18.875" style="302" customWidth="1"/>
    <col min="516" max="516" width="27.875" style="302" customWidth="1"/>
    <col min="517" max="517" width="11.875" style="302" customWidth="1"/>
    <col min="518" max="520" width="9.875" style="302" customWidth="1"/>
    <col min="521" max="523" width="9" style="302"/>
    <col min="524" max="524" width="16.625" style="302" customWidth="1"/>
    <col min="525" max="525" width="57.125" style="302" customWidth="1"/>
    <col min="526" max="764" width="9" style="302"/>
    <col min="765" max="765" width="2" style="302" customWidth="1"/>
    <col min="766" max="766" width="8.375" style="302" customWidth="1"/>
    <col min="767" max="767" width="12.25" style="302" customWidth="1"/>
    <col min="768" max="768" width="10.75" style="302" customWidth="1"/>
    <col min="769" max="769" width="17.75" style="302" customWidth="1"/>
    <col min="770" max="770" width="18" style="302" customWidth="1"/>
    <col min="771" max="771" width="18.875" style="302" customWidth="1"/>
    <col min="772" max="772" width="27.875" style="302" customWidth="1"/>
    <col min="773" max="773" width="11.875" style="302" customWidth="1"/>
    <col min="774" max="776" width="9.875" style="302" customWidth="1"/>
    <col min="777" max="779" width="9" style="302"/>
    <col min="780" max="780" width="16.625" style="302" customWidth="1"/>
    <col min="781" max="781" width="57.125" style="302" customWidth="1"/>
    <col min="782" max="1020" width="9" style="302"/>
    <col min="1021" max="1021" width="2" style="302" customWidth="1"/>
    <col min="1022" max="1022" width="8.375" style="302" customWidth="1"/>
    <col min="1023" max="1023" width="12.25" style="302" customWidth="1"/>
    <col min="1024" max="1024" width="10.75" style="302" customWidth="1"/>
    <col min="1025" max="1025" width="17.75" style="302" customWidth="1"/>
    <col min="1026" max="1026" width="18" style="302" customWidth="1"/>
    <col min="1027" max="1027" width="18.875" style="302" customWidth="1"/>
    <col min="1028" max="1028" width="27.875" style="302" customWidth="1"/>
    <col min="1029" max="1029" width="11.875" style="302" customWidth="1"/>
    <col min="1030" max="1032" width="9.875" style="302" customWidth="1"/>
    <col min="1033" max="1035" width="9" style="302"/>
    <col min="1036" max="1036" width="16.625" style="302" customWidth="1"/>
    <col min="1037" max="1037" width="57.125" style="302" customWidth="1"/>
    <col min="1038" max="1276" width="9" style="302"/>
    <col min="1277" max="1277" width="2" style="302" customWidth="1"/>
    <col min="1278" max="1278" width="8.375" style="302" customWidth="1"/>
    <col min="1279" max="1279" width="12.25" style="302" customWidth="1"/>
    <col min="1280" max="1280" width="10.75" style="302" customWidth="1"/>
    <col min="1281" max="1281" width="17.75" style="302" customWidth="1"/>
    <col min="1282" max="1282" width="18" style="302" customWidth="1"/>
    <col min="1283" max="1283" width="18.875" style="302" customWidth="1"/>
    <col min="1284" max="1284" width="27.875" style="302" customWidth="1"/>
    <col min="1285" max="1285" width="11.875" style="302" customWidth="1"/>
    <col min="1286" max="1288" width="9.875" style="302" customWidth="1"/>
    <col min="1289" max="1291" width="9" style="302"/>
    <col min="1292" max="1292" width="16.625" style="302" customWidth="1"/>
    <col min="1293" max="1293" width="57.125" style="302" customWidth="1"/>
    <col min="1294" max="1532" width="9" style="302"/>
    <col min="1533" max="1533" width="2" style="302" customWidth="1"/>
    <col min="1534" max="1534" width="8.375" style="302" customWidth="1"/>
    <col min="1535" max="1535" width="12.25" style="302" customWidth="1"/>
    <col min="1536" max="1536" width="10.75" style="302" customWidth="1"/>
    <col min="1537" max="1537" width="17.75" style="302" customWidth="1"/>
    <col min="1538" max="1538" width="18" style="302" customWidth="1"/>
    <col min="1539" max="1539" width="18.875" style="302" customWidth="1"/>
    <col min="1540" max="1540" width="27.875" style="302" customWidth="1"/>
    <col min="1541" max="1541" width="11.875" style="302" customWidth="1"/>
    <col min="1542" max="1544" width="9.875" style="302" customWidth="1"/>
    <col min="1545" max="1547" width="9" style="302"/>
    <col min="1548" max="1548" width="16.625" style="302" customWidth="1"/>
    <col min="1549" max="1549" width="57.125" style="302" customWidth="1"/>
    <col min="1550" max="1788" width="9" style="302"/>
    <col min="1789" max="1789" width="2" style="302" customWidth="1"/>
    <col min="1790" max="1790" width="8.375" style="302" customWidth="1"/>
    <col min="1791" max="1791" width="12.25" style="302" customWidth="1"/>
    <col min="1792" max="1792" width="10.75" style="302" customWidth="1"/>
    <col min="1793" max="1793" width="17.75" style="302" customWidth="1"/>
    <col min="1794" max="1794" width="18" style="302" customWidth="1"/>
    <col min="1795" max="1795" width="18.875" style="302" customWidth="1"/>
    <col min="1796" max="1796" width="27.875" style="302" customWidth="1"/>
    <col min="1797" max="1797" width="11.875" style="302" customWidth="1"/>
    <col min="1798" max="1800" width="9.875" style="302" customWidth="1"/>
    <col min="1801" max="1803" width="9" style="302"/>
    <col min="1804" max="1804" width="16.625" style="302" customWidth="1"/>
    <col min="1805" max="1805" width="57.125" style="302" customWidth="1"/>
    <col min="1806" max="2044" width="9" style="302"/>
    <col min="2045" max="2045" width="2" style="302" customWidth="1"/>
    <col min="2046" max="2046" width="8.375" style="302" customWidth="1"/>
    <col min="2047" max="2047" width="12.25" style="302" customWidth="1"/>
    <col min="2048" max="2048" width="10.75" style="302" customWidth="1"/>
    <col min="2049" max="2049" width="17.75" style="302" customWidth="1"/>
    <col min="2050" max="2050" width="18" style="302" customWidth="1"/>
    <col min="2051" max="2051" width="18.875" style="302" customWidth="1"/>
    <col min="2052" max="2052" width="27.875" style="302" customWidth="1"/>
    <col min="2053" max="2053" width="11.875" style="302" customWidth="1"/>
    <col min="2054" max="2056" width="9.875" style="302" customWidth="1"/>
    <col min="2057" max="2059" width="9" style="302"/>
    <col min="2060" max="2060" width="16.625" style="302" customWidth="1"/>
    <col min="2061" max="2061" width="57.125" style="302" customWidth="1"/>
    <col min="2062" max="2300" width="9" style="302"/>
    <col min="2301" max="2301" width="2" style="302" customWidth="1"/>
    <col min="2302" max="2302" width="8.375" style="302" customWidth="1"/>
    <col min="2303" max="2303" width="12.25" style="302" customWidth="1"/>
    <col min="2304" max="2304" width="10.75" style="302" customWidth="1"/>
    <col min="2305" max="2305" width="17.75" style="302" customWidth="1"/>
    <col min="2306" max="2306" width="18" style="302" customWidth="1"/>
    <col min="2307" max="2307" width="18.875" style="302" customWidth="1"/>
    <col min="2308" max="2308" width="27.875" style="302" customWidth="1"/>
    <col min="2309" max="2309" width="11.875" style="302" customWidth="1"/>
    <col min="2310" max="2312" width="9.875" style="302" customWidth="1"/>
    <col min="2313" max="2315" width="9" style="302"/>
    <col min="2316" max="2316" width="16.625" style="302" customWidth="1"/>
    <col min="2317" max="2317" width="57.125" style="302" customWidth="1"/>
    <col min="2318" max="2556" width="9" style="302"/>
    <col min="2557" max="2557" width="2" style="302" customWidth="1"/>
    <col min="2558" max="2558" width="8.375" style="302" customWidth="1"/>
    <col min="2559" max="2559" width="12.25" style="302" customWidth="1"/>
    <col min="2560" max="2560" width="10.75" style="302" customWidth="1"/>
    <col min="2561" max="2561" width="17.75" style="302" customWidth="1"/>
    <col min="2562" max="2562" width="18" style="302" customWidth="1"/>
    <col min="2563" max="2563" width="18.875" style="302" customWidth="1"/>
    <col min="2564" max="2564" width="27.875" style="302" customWidth="1"/>
    <col min="2565" max="2565" width="11.875" style="302" customWidth="1"/>
    <col min="2566" max="2568" width="9.875" style="302" customWidth="1"/>
    <col min="2569" max="2571" width="9" style="302"/>
    <col min="2572" max="2572" width="16.625" style="302" customWidth="1"/>
    <col min="2573" max="2573" width="57.125" style="302" customWidth="1"/>
    <col min="2574" max="2812" width="9" style="302"/>
    <col min="2813" max="2813" width="2" style="302" customWidth="1"/>
    <col min="2814" max="2814" width="8.375" style="302" customWidth="1"/>
    <col min="2815" max="2815" width="12.25" style="302" customWidth="1"/>
    <col min="2816" max="2816" width="10.75" style="302" customWidth="1"/>
    <col min="2817" max="2817" width="17.75" style="302" customWidth="1"/>
    <col min="2818" max="2818" width="18" style="302" customWidth="1"/>
    <col min="2819" max="2819" width="18.875" style="302" customWidth="1"/>
    <col min="2820" max="2820" width="27.875" style="302" customWidth="1"/>
    <col min="2821" max="2821" width="11.875" style="302" customWidth="1"/>
    <col min="2822" max="2824" width="9.875" style="302" customWidth="1"/>
    <col min="2825" max="2827" width="9" style="302"/>
    <col min="2828" max="2828" width="16.625" style="302" customWidth="1"/>
    <col min="2829" max="2829" width="57.125" style="302" customWidth="1"/>
    <col min="2830" max="3068" width="9" style="302"/>
    <col min="3069" max="3069" width="2" style="302" customWidth="1"/>
    <col min="3070" max="3070" width="8.375" style="302" customWidth="1"/>
    <col min="3071" max="3071" width="12.25" style="302" customWidth="1"/>
    <col min="3072" max="3072" width="10.75" style="302" customWidth="1"/>
    <col min="3073" max="3073" width="17.75" style="302" customWidth="1"/>
    <col min="3074" max="3074" width="18" style="302" customWidth="1"/>
    <col min="3075" max="3075" width="18.875" style="302" customWidth="1"/>
    <col min="3076" max="3076" width="27.875" style="302" customWidth="1"/>
    <col min="3077" max="3077" width="11.875" style="302" customWidth="1"/>
    <col min="3078" max="3080" width="9.875" style="302" customWidth="1"/>
    <col min="3081" max="3083" width="9" style="302"/>
    <col min="3084" max="3084" width="16.625" style="302" customWidth="1"/>
    <col min="3085" max="3085" width="57.125" style="302" customWidth="1"/>
    <col min="3086" max="3324" width="9" style="302"/>
    <col min="3325" max="3325" width="2" style="302" customWidth="1"/>
    <col min="3326" max="3326" width="8.375" style="302" customWidth="1"/>
    <col min="3327" max="3327" width="12.25" style="302" customWidth="1"/>
    <col min="3328" max="3328" width="10.75" style="302" customWidth="1"/>
    <col min="3329" max="3329" width="17.75" style="302" customWidth="1"/>
    <col min="3330" max="3330" width="18" style="302" customWidth="1"/>
    <col min="3331" max="3331" width="18.875" style="302" customWidth="1"/>
    <col min="3332" max="3332" width="27.875" style="302" customWidth="1"/>
    <col min="3333" max="3333" width="11.875" style="302" customWidth="1"/>
    <col min="3334" max="3336" width="9.875" style="302" customWidth="1"/>
    <col min="3337" max="3339" width="9" style="302"/>
    <col min="3340" max="3340" width="16.625" style="302" customWidth="1"/>
    <col min="3341" max="3341" width="57.125" style="302" customWidth="1"/>
    <col min="3342" max="3580" width="9" style="302"/>
    <col min="3581" max="3581" width="2" style="302" customWidth="1"/>
    <col min="3582" max="3582" width="8.375" style="302" customWidth="1"/>
    <col min="3583" max="3583" width="12.25" style="302" customWidth="1"/>
    <col min="3584" max="3584" width="10.75" style="302" customWidth="1"/>
    <col min="3585" max="3585" width="17.75" style="302" customWidth="1"/>
    <col min="3586" max="3586" width="18" style="302" customWidth="1"/>
    <col min="3587" max="3587" width="18.875" style="302" customWidth="1"/>
    <col min="3588" max="3588" width="27.875" style="302" customWidth="1"/>
    <col min="3589" max="3589" width="11.875" style="302" customWidth="1"/>
    <col min="3590" max="3592" width="9.875" style="302" customWidth="1"/>
    <col min="3593" max="3595" width="9" style="302"/>
    <col min="3596" max="3596" width="16.625" style="302" customWidth="1"/>
    <col min="3597" max="3597" width="57.125" style="302" customWidth="1"/>
    <col min="3598" max="3836" width="9" style="302"/>
    <col min="3837" max="3837" width="2" style="302" customWidth="1"/>
    <col min="3838" max="3838" width="8.375" style="302" customWidth="1"/>
    <col min="3839" max="3839" width="12.25" style="302" customWidth="1"/>
    <col min="3840" max="3840" width="10.75" style="302" customWidth="1"/>
    <col min="3841" max="3841" width="17.75" style="302" customWidth="1"/>
    <col min="3842" max="3842" width="18" style="302" customWidth="1"/>
    <col min="3843" max="3843" width="18.875" style="302" customWidth="1"/>
    <col min="3844" max="3844" width="27.875" style="302" customWidth="1"/>
    <col min="3845" max="3845" width="11.875" style="302" customWidth="1"/>
    <col min="3846" max="3848" width="9.875" style="302" customWidth="1"/>
    <col min="3849" max="3851" width="9" style="302"/>
    <col min="3852" max="3852" width="16.625" style="302" customWidth="1"/>
    <col min="3853" max="3853" width="57.125" style="302" customWidth="1"/>
    <col min="3854" max="4092" width="9" style="302"/>
    <col min="4093" max="4093" width="2" style="302" customWidth="1"/>
    <col min="4094" max="4094" width="8.375" style="302" customWidth="1"/>
    <col min="4095" max="4095" width="12.25" style="302" customWidth="1"/>
    <col min="4096" max="4096" width="10.75" style="302" customWidth="1"/>
    <col min="4097" max="4097" width="17.75" style="302" customWidth="1"/>
    <col min="4098" max="4098" width="18" style="302" customWidth="1"/>
    <col min="4099" max="4099" width="18.875" style="302" customWidth="1"/>
    <col min="4100" max="4100" width="27.875" style="302" customWidth="1"/>
    <col min="4101" max="4101" width="11.875" style="302" customWidth="1"/>
    <col min="4102" max="4104" width="9.875" style="302" customWidth="1"/>
    <col min="4105" max="4107" width="9" style="302"/>
    <col min="4108" max="4108" width="16.625" style="302" customWidth="1"/>
    <col min="4109" max="4109" width="57.125" style="302" customWidth="1"/>
    <col min="4110" max="4348" width="9" style="302"/>
    <col min="4349" max="4349" width="2" style="302" customWidth="1"/>
    <col min="4350" max="4350" width="8.375" style="302" customWidth="1"/>
    <col min="4351" max="4351" width="12.25" style="302" customWidth="1"/>
    <col min="4352" max="4352" width="10.75" style="302" customWidth="1"/>
    <col min="4353" max="4353" width="17.75" style="302" customWidth="1"/>
    <col min="4354" max="4354" width="18" style="302" customWidth="1"/>
    <col min="4355" max="4355" width="18.875" style="302" customWidth="1"/>
    <col min="4356" max="4356" width="27.875" style="302" customWidth="1"/>
    <col min="4357" max="4357" width="11.875" style="302" customWidth="1"/>
    <col min="4358" max="4360" width="9.875" style="302" customWidth="1"/>
    <col min="4361" max="4363" width="9" style="302"/>
    <col min="4364" max="4364" width="16.625" style="302" customWidth="1"/>
    <col min="4365" max="4365" width="57.125" style="302" customWidth="1"/>
    <col min="4366" max="4604" width="9" style="302"/>
    <col min="4605" max="4605" width="2" style="302" customWidth="1"/>
    <col min="4606" max="4606" width="8.375" style="302" customWidth="1"/>
    <col min="4607" max="4607" width="12.25" style="302" customWidth="1"/>
    <col min="4608" max="4608" width="10.75" style="302" customWidth="1"/>
    <col min="4609" max="4609" width="17.75" style="302" customWidth="1"/>
    <col min="4610" max="4610" width="18" style="302" customWidth="1"/>
    <col min="4611" max="4611" width="18.875" style="302" customWidth="1"/>
    <col min="4612" max="4612" width="27.875" style="302" customWidth="1"/>
    <col min="4613" max="4613" width="11.875" style="302" customWidth="1"/>
    <col min="4614" max="4616" width="9.875" style="302" customWidth="1"/>
    <col min="4617" max="4619" width="9" style="302"/>
    <col min="4620" max="4620" width="16.625" style="302" customWidth="1"/>
    <col min="4621" max="4621" width="57.125" style="302" customWidth="1"/>
    <col min="4622" max="4860" width="9" style="302"/>
    <col min="4861" max="4861" width="2" style="302" customWidth="1"/>
    <col min="4862" max="4862" width="8.375" style="302" customWidth="1"/>
    <col min="4863" max="4863" width="12.25" style="302" customWidth="1"/>
    <col min="4864" max="4864" width="10.75" style="302" customWidth="1"/>
    <col min="4865" max="4865" width="17.75" style="302" customWidth="1"/>
    <col min="4866" max="4866" width="18" style="302" customWidth="1"/>
    <col min="4867" max="4867" width="18.875" style="302" customWidth="1"/>
    <col min="4868" max="4868" width="27.875" style="302" customWidth="1"/>
    <col min="4869" max="4869" width="11.875" style="302" customWidth="1"/>
    <col min="4870" max="4872" width="9.875" style="302" customWidth="1"/>
    <col min="4873" max="4875" width="9" style="302"/>
    <col min="4876" max="4876" width="16.625" style="302" customWidth="1"/>
    <col min="4877" max="4877" width="57.125" style="302" customWidth="1"/>
    <col min="4878" max="5116" width="9" style="302"/>
    <col min="5117" max="5117" width="2" style="302" customWidth="1"/>
    <col min="5118" max="5118" width="8.375" style="302" customWidth="1"/>
    <col min="5119" max="5119" width="12.25" style="302" customWidth="1"/>
    <col min="5120" max="5120" width="10.75" style="302" customWidth="1"/>
    <col min="5121" max="5121" width="17.75" style="302" customWidth="1"/>
    <col min="5122" max="5122" width="18" style="302" customWidth="1"/>
    <col min="5123" max="5123" width="18.875" style="302" customWidth="1"/>
    <col min="5124" max="5124" width="27.875" style="302" customWidth="1"/>
    <col min="5125" max="5125" width="11.875" style="302" customWidth="1"/>
    <col min="5126" max="5128" width="9.875" style="302" customWidth="1"/>
    <col min="5129" max="5131" width="9" style="302"/>
    <col min="5132" max="5132" width="16.625" style="302" customWidth="1"/>
    <col min="5133" max="5133" width="57.125" style="302" customWidth="1"/>
    <col min="5134" max="5372" width="9" style="302"/>
    <col min="5373" max="5373" width="2" style="302" customWidth="1"/>
    <col min="5374" max="5374" width="8.375" style="302" customWidth="1"/>
    <col min="5375" max="5375" width="12.25" style="302" customWidth="1"/>
    <col min="5376" max="5376" width="10.75" style="302" customWidth="1"/>
    <col min="5377" max="5377" width="17.75" style="302" customWidth="1"/>
    <col min="5378" max="5378" width="18" style="302" customWidth="1"/>
    <col min="5379" max="5379" width="18.875" style="302" customWidth="1"/>
    <col min="5380" max="5380" width="27.875" style="302" customWidth="1"/>
    <col min="5381" max="5381" width="11.875" style="302" customWidth="1"/>
    <col min="5382" max="5384" width="9.875" style="302" customWidth="1"/>
    <col min="5385" max="5387" width="9" style="302"/>
    <col min="5388" max="5388" width="16.625" style="302" customWidth="1"/>
    <col min="5389" max="5389" width="57.125" style="302" customWidth="1"/>
    <col min="5390" max="5628" width="9" style="302"/>
    <col min="5629" max="5629" width="2" style="302" customWidth="1"/>
    <col min="5630" max="5630" width="8.375" style="302" customWidth="1"/>
    <col min="5631" max="5631" width="12.25" style="302" customWidth="1"/>
    <col min="5632" max="5632" width="10.75" style="302" customWidth="1"/>
    <col min="5633" max="5633" width="17.75" style="302" customWidth="1"/>
    <col min="5634" max="5634" width="18" style="302" customWidth="1"/>
    <col min="5635" max="5635" width="18.875" style="302" customWidth="1"/>
    <col min="5636" max="5636" width="27.875" style="302" customWidth="1"/>
    <col min="5637" max="5637" width="11.875" style="302" customWidth="1"/>
    <col min="5638" max="5640" width="9.875" style="302" customWidth="1"/>
    <col min="5641" max="5643" width="9" style="302"/>
    <col min="5644" max="5644" width="16.625" style="302" customWidth="1"/>
    <col min="5645" max="5645" width="57.125" style="302" customWidth="1"/>
    <col min="5646" max="5884" width="9" style="302"/>
    <col min="5885" max="5885" width="2" style="302" customWidth="1"/>
    <col min="5886" max="5886" width="8.375" style="302" customWidth="1"/>
    <col min="5887" max="5887" width="12.25" style="302" customWidth="1"/>
    <col min="5888" max="5888" width="10.75" style="302" customWidth="1"/>
    <col min="5889" max="5889" width="17.75" style="302" customWidth="1"/>
    <col min="5890" max="5890" width="18" style="302" customWidth="1"/>
    <col min="5891" max="5891" width="18.875" style="302" customWidth="1"/>
    <col min="5892" max="5892" width="27.875" style="302" customWidth="1"/>
    <col min="5893" max="5893" width="11.875" style="302" customWidth="1"/>
    <col min="5894" max="5896" width="9.875" style="302" customWidth="1"/>
    <col min="5897" max="5899" width="9" style="302"/>
    <col min="5900" max="5900" width="16.625" style="302" customWidth="1"/>
    <col min="5901" max="5901" width="57.125" style="302" customWidth="1"/>
    <col min="5902" max="6140" width="9" style="302"/>
    <col min="6141" max="6141" width="2" style="302" customWidth="1"/>
    <col min="6142" max="6142" width="8.375" style="302" customWidth="1"/>
    <col min="6143" max="6143" width="12.25" style="302" customWidth="1"/>
    <col min="6144" max="6144" width="10.75" style="302" customWidth="1"/>
    <col min="6145" max="6145" width="17.75" style="302" customWidth="1"/>
    <col min="6146" max="6146" width="18" style="302" customWidth="1"/>
    <col min="6147" max="6147" width="18.875" style="302" customWidth="1"/>
    <col min="6148" max="6148" width="27.875" style="302" customWidth="1"/>
    <col min="6149" max="6149" width="11.875" style="302" customWidth="1"/>
    <col min="6150" max="6152" width="9.875" style="302" customWidth="1"/>
    <col min="6153" max="6155" width="9" style="302"/>
    <col min="6156" max="6156" width="16.625" style="302" customWidth="1"/>
    <col min="6157" max="6157" width="57.125" style="302" customWidth="1"/>
    <col min="6158" max="6396" width="9" style="302"/>
    <col min="6397" max="6397" width="2" style="302" customWidth="1"/>
    <col min="6398" max="6398" width="8.375" style="302" customWidth="1"/>
    <col min="6399" max="6399" width="12.25" style="302" customWidth="1"/>
    <col min="6400" max="6400" width="10.75" style="302" customWidth="1"/>
    <col min="6401" max="6401" width="17.75" style="302" customWidth="1"/>
    <col min="6402" max="6402" width="18" style="302" customWidth="1"/>
    <col min="6403" max="6403" width="18.875" style="302" customWidth="1"/>
    <col min="6404" max="6404" width="27.875" style="302" customWidth="1"/>
    <col min="6405" max="6405" width="11.875" style="302" customWidth="1"/>
    <col min="6406" max="6408" width="9.875" style="302" customWidth="1"/>
    <col min="6409" max="6411" width="9" style="302"/>
    <col min="6412" max="6412" width="16.625" style="302" customWidth="1"/>
    <col min="6413" max="6413" width="57.125" style="302" customWidth="1"/>
    <col min="6414" max="6652" width="9" style="302"/>
    <col min="6653" max="6653" width="2" style="302" customWidth="1"/>
    <col min="6654" max="6654" width="8.375" style="302" customWidth="1"/>
    <col min="6655" max="6655" width="12.25" style="302" customWidth="1"/>
    <col min="6656" max="6656" width="10.75" style="302" customWidth="1"/>
    <col min="6657" max="6657" width="17.75" style="302" customWidth="1"/>
    <col min="6658" max="6658" width="18" style="302" customWidth="1"/>
    <col min="6659" max="6659" width="18.875" style="302" customWidth="1"/>
    <col min="6660" max="6660" width="27.875" style="302" customWidth="1"/>
    <col min="6661" max="6661" width="11.875" style="302" customWidth="1"/>
    <col min="6662" max="6664" width="9.875" style="302" customWidth="1"/>
    <col min="6665" max="6667" width="9" style="302"/>
    <col min="6668" max="6668" width="16.625" style="302" customWidth="1"/>
    <col min="6669" max="6669" width="57.125" style="302" customWidth="1"/>
    <col min="6670" max="6908" width="9" style="302"/>
    <col min="6909" max="6909" width="2" style="302" customWidth="1"/>
    <col min="6910" max="6910" width="8.375" style="302" customWidth="1"/>
    <col min="6911" max="6911" width="12.25" style="302" customWidth="1"/>
    <col min="6912" max="6912" width="10.75" style="302" customWidth="1"/>
    <col min="6913" max="6913" width="17.75" style="302" customWidth="1"/>
    <col min="6914" max="6914" width="18" style="302" customWidth="1"/>
    <col min="6915" max="6915" width="18.875" style="302" customWidth="1"/>
    <col min="6916" max="6916" width="27.875" style="302" customWidth="1"/>
    <col min="6917" max="6917" width="11.875" style="302" customWidth="1"/>
    <col min="6918" max="6920" width="9.875" style="302" customWidth="1"/>
    <col min="6921" max="6923" width="9" style="302"/>
    <col min="6924" max="6924" width="16.625" style="302" customWidth="1"/>
    <col min="6925" max="6925" width="57.125" style="302" customWidth="1"/>
    <col min="6926" max="7164" width="9" style="302"/>
    <col min="7165" max="7165" width="2" style="302" customWidth="1"/>
    <col min="7166" max="7166" width="8.375" style="302" customWidth="1"/>
    <col min="7167" max="7167" width="12.25" style="302" customWidth="1"/>
    <col min="7168" max="7168" width="10.75" style="302" customWidth="1"/>
    <col min="7169" max="7169" width="17.75" style="302" customWidth="1"/>
    <col min="7170" max="7170" width="18" style="302" customWidth="1"/>
    <col min="7171" max="7171" width="18.875" style="302" customWidth="1"/>
    <col min="7172" max="7172" width="27.875" style="302" customWidth="1"/>
    <col min="7173" max="7173" width="11.875" style="302" customWidth="1"/>
    <col min="7174" max="7176" width="9.875" style="302" customWidth="1"/>
    <col min="7177" max="7179" width="9" style="302"/>
    <col min="7180" max="7180" width="16.625" style="302" customWidth="1"/>
    <col min="7181" max="7181" width="57.125" style="302" customWidth="1"/>
    <col min="7182" max="7420" width="9" style="302"/>
    <col min="7421" max="7421" width="2" style="302" customWidth="1"/>
    <col min="7422" max="7422" width="8.375" style="302" customWidth="1"/>
    <col min="7423" max="7423" width="12.25" style="302" customWidth="1"/>
    <col min="7424" max="7424" width="10.75" style="302" customWidth="1"/>
    <col min="7425" max="7425" width="17.75" style="302" customWidth="1"/>
    <col min="7426" max="7426" width="18" style="302" customWidth="1"/>
    <col min="7427" max="7427" width="18.875" style="302" customWidth="1"/>
    <col min="7428" max="7428" width="27.875" style="302" customWidth="1"/>
    <col min="7429" max="7429" width="11.875" style="302" customWidth="1"/>
    <col min="7430" max="7432" width="9.875" style="302" customWidth="1"/>
    <col min="7433" max="7435" width="9" style="302"/>
    <col min="7436" max="7436" width="16.625" style="302" customWidth="1"/>
    <col min="7437" max="7437" width="57.125" style="302" customWidth="1"/>
    <col min="7438" max="7676" width="9" style="302"/>
    <col min="7677" max="7677" width="2" style="302" customWidth="1"/>
    <col min="7678" max="7678" width="8.375" style="302" customWidth="1"/>
    <col min="7679" max="7679" width="12.25" style="302" customWidth="1"/>
    <col min="7680" max="7680" width="10.75" style="302" customWidth="1"/>
    <col min="7681" max="7681" width="17.75" style="302" customWidth="1"/>
    <col min="7682" max="7682" width="18" style="302" customWidth="1"/>
    <col min="7683" max="7683" width="18.875" style="302" customWidth="1"/>
    <col min="7684" max="7684" width="27.875" style="302" customWidth="1"/>
    <col min="7685" max="7685" width="11.875" style="302" customWidth="1"/>
    <col min="7686" max="7688" width="9.875" style="302" customWidth="1"/>
    <col min="7689" max="7691" width="9" style="302"/>
    <col min="7692" max="7692" width="16.625" style="302" customWidth="1"/>
    <col min="7693" max="7693" width="57.125" style="302" customWidth="1"/>
    <col min="7694" max="7932" width="9" style="302"/>
    <col min="7933" max="7933" width="2" style="302" customWidth="1"/>
    <col min="7934" max="7934" width="8.375" style="302" customWidth="1"/>
    <col min="7935" max="7935" width="12.25" style="302" customWidth="1"/>
    <col min="7936" max="7936" width="10.75" style="302" customWidth="1"/>
    <col min="7937" max="7937" width="17.75" style="302" customWidth="1"/>
    <col min="7938" max="7938" width="18" style="302" customWidth="1"/>
    <col min="7939" max="7939" width="18.875" style="302" customWidth="1"/>
    <col min="7940" max="7940" width="27.875" style="302" customWidth="1"/>
    <col min="7941" max="7941" width="11.875" style="302" customWidth="1"/>
    <col min="7942" max="7944" width="9.875" style="302" customWidth="1"/>
    <col min="7945" max="7947" width="9" style="302"/>
    <col min="7948" max="7948" width="16.625" style="302" customWidth="1"/>
    <col min="7949" max="7949" width="57.125" style="302" customWidth="1"/>
    <col min="7950" max="8188" width="9" style="302"/>
    <col min="8189" max="8189" width="2" style="302" customWidth="1"/>
    <col min="8190" max="8190" width="8.375" style="302" customWidth="1"/>
    <col min="8191" max="8191" width="12.25" style="302" customWidth="1"/>
    <col min="8192" max="8192" width="10.75" style="302" customWidth="1"/>
    <col min="8193" max="8193" width="17.75" style="302" customWidth="1"/>
    <col min="8194" max="8194" width="18" style="302" customWidth="1"/>
    <col min="8195" max="8195" width="18.875" style="302" customWidth="1"/>
    <col min="8196" max="8196" width="27.875" style="302" customWidth="1"/>
    <col min="8197" max="8197" width="11.875" style="302" customWidth="1"/>
    <col min="8198" max="8200" width="9.875" style="302" customWidth="1"/>
    <col min="8201" max="8203" width="9" style="302"/>
    <col min="8204" max="8204" width="16.625" style="302" customWidth="1"/>
    <col min="8205" max="8205" width="57.125" style="302" customWidth="1"/>
    <col min="8206" max="8444" width="9" style="302"/>
    <col min="8445" max="8445" width="2" style="302" customWidth="1"/>
    <col min="8446" max="8446" width="8.375" style="302" customWidth="1"/>
    <col min="8447" max="8447" width="12.25" style="302" customWidth="1"/>
    <col min="8448" max="8448" width="10.75" style="302" customWidth="1"/>
    <col min="8449" max="8449" width="17.75" style="302" customWidth="1"/>
    <col min="8450" max="8450" width="18" style="302" customWidth="1"/>
    <col min="8451" max="8451" width="18.875" style="302" customWidth="1"/>
    <col min="8452" max="8452" width="27.875" style="302" customWidth="1"/>
    <col min="8453" max="8453" width="11.875" style="302" customWidth="1"/>
    <col min="8454" max="8456" width="9.875" style="302" customWidth="1"/>
    <col min="8457" max="8459" width="9" style="302"/>
    <col min="8460" max="8460" width="16.625" style="302" customWidth="1"/>
    <col min="8461" max="8461" width="57.125" style="302" customWidth="1"/>
    <col min="8462" max="8700" width="9" style="302"/>
    <col min="8701" max="8701" width="2" style="302" customWidth="1"/>
    <col min="8702" max="8702" width="8.375" style="302" customWidth="1"/>
    <col min="8703" max="8703" width="12.25" style="302" customWidth="1"/>
    <col min="8704" max="8704" width="10.75" style="302" customWidth="1"/>
    <col min="8705" max="8705" width="17.75" style="302" customWidth="1"/>
    <col min="8706" max="8706" width="18" style="302" customWidth="1"/>
    <col min="8707" max="8707" width="18.875" style="302" customWidth="1"/>
    <col min="8708" max="8708" width="27.875" style="302" customWidth="1"/>
    <col min="8709" max="8709" width="11.875" style="302" customWidth="1"/>
    <col min="8710" max="8712" width="9.875" style="302" customWidth="1"/>
    <col min="8713" max="8715" width="9" style="302"/>
    <col min="8716" max="8716" width="16.625" style="302" customWidth="1"/>
    <col min="8717" max="8717" width="57.125" style="302" customWidth="1"/>
    <col min="8718" max="8956" width="9" style="302"/>
    <col min="8957" max="8957" width="2" style="302" customWidth="1"/>
    <col min="8958" max="8958" width="8.375" style="302" customWidth="1"/>
    <col min="8959" max="8959" width="12.25" style="302" customWidth="1"/>
    <col min="8960" max="8960" width="10.75" style="302" customWidth="1"/>
    <col min="8961" max="8961" width="17.75" style="302" customWidth="1"/>
    <col min="8962" max="8962" width="18" style="302" customWidth="1"/>
    <col min="8963" max="8963" width="18.875" style="302" customWidth="1"/>
    <col min="8964" max="8964" width="27.875" style="302" customWidth="1"/>
    <col min="8965" max="8965" width="11.875" style="302" customWidth="1"/>
    <col min="8966" max="8968" width="9.875" style="302" customWidth="1"/>
    <col min="8969" max="8971" width="9" style="302"/>
    <col min="8972" max="8972" width="16.625" style="302" customWidth="1"/>
    <col min="8973" max="8973" width="57.125" style="302" customWidth="1"/>
    <col min="8974" max="9212" width="9" style="302"/>
    <col min="9213" max="9213" width="2" style="302" customWidth="1"/>
    <col min="9214" max="9214" width="8.375" style="302" customWidth="1"/>
    <col min="9215" max="9215" width="12.25" style="302" customWidth="1"/>
    <col min="9216" max="9216" width="10.75" style="302" customWidth="1"/>
    <col min="9217" max="9217" width="17.75" style="302" customWidth="1"/>
    <col min="9218" max="9218" width="18" style="302" customWidth="1"/>
    <col min="9219" max="9219" width="18.875" style="302" customWidth="1"/>
    <col min="9220" max="9220" width="27.875" style="302" customWidth="1"/>
    <col min="9221" max="9221" width="11.875" style="302" customWidth="1"/>
    <col min="9222" max="9224" width="9.875" style="302" customWidth="1"/>
    <col min="9225" max="9227" width="9" style="302"/>
    <col min="9228" max="9228" width="16.625" style="302" customWidth="1"/>
    <col min="9229" max="9229" width="57.125" style="302" customWidth="1"/>
    <col min="9230" max="9468" width="9" style="302"/>
    <col min="9469" max="9469" width="2" style="302" customWidth="1"/>
    <col min="9470" max="9470" width="8.375" style="302" customWidth="1"/>
    <col min="9471" max="9471" width="12.25" style="302" customWidth="1"/>
    <col min="9472" max="9472" width="10.75" style="302" customWidth="1"/>
    <col min="9473" max="9473" width="17.75" style="302" customWidth="1"/>
    <col min="9474" max="9474" width="18" style="302" customWidth="1"/>
    <col min="9475" max="9475" width="18.875" style="302" customWidth="1"/>
    <col min="9476" max="9476" width="27.875" style="302" customWidth="1"/>
    <col min="9477" max="9477" width="11.875" style="302" customWidth="1"/>
    <col min="9478" max="9480" width="9.875" style="302" customWidth="1"/>
    <col min="9481" max="9483" width="9" style="302"/>
    <col min="9484" max="9484" width="16.625" style="302" customWidth="1"/>
    <col min="9485" max="9485" width="57.125" style="302" customWidth="1"/>
    <col min="9486" max="9724" width="9" style="302"/>
    <col min="9725" max="9725" width="2" style="302" customWidth="1"/>
    <col min="9726" max="9726" width="8.375" style="302" customWidth="1"/>
    <col min="9727" max="9727" width="12.25" style="302" customWidth="1"/>
    <col min="9728" max="9728" width="10.75" style="302" customWidth="1"/>
    <col min="9729" max="9729" width="17.75" style="302" customWidth="1"/>
    <col min="9730" max="9730" width="18" style="302" customWidth="1"/>
    <col min="9731" max="9731" width="18.875" style="302" customWidth="1"/>
    <col min="9732" max="9732" width="27.875" style="302" customWidth="1"/>
    <col min="9733" max="9733" width="11.875" style="302" customWidth="1"/>
    <col min="9734" max="9736" width="9.875" style="302" customWidth="1"/>
    <col min="9737" max="9739" width="9" style="302"/>
    <col min="9740" max="9740" width="16.625" style="302" customWidth="1"/>
    <col min="9741" max="9741" width="57.125" style="302" customWidth="1"/>
    <col min="9742" max="9980" width="9" style="302"/>
    <col min="9981" max="9981" width="2" style="302" customWidth="1"/>
    <col min="9982" max="9982" width="8.375" style="302" customWidth="1"/>
    <col min="9983" max="9983" width="12.25" style="302" customWidth="1"/>
    <col min="9984" max="9984" width="10.75" style="302" customWidth="1"/>
    <col min="9985" max="9985" width="17.75" style="302" customWidth="1"/>
    <col min="9986" max="9986" width="18" style="302" customWidth="1"/>
    <col min="9987" max="9987" width="18.875" style="302" customWidth="1"/>
    <col min="9988" max="9988" width="27.875" style="302" customWidth="1"/>
    <col min="9989" max="9989" width="11.875" style="302" customWidth="1"/>
    <col min="9990" max="9992" width="9.875" style="302" customWidth="1"/>
    <col min="9993" max="9995" width="9" style="302"/>
    <col min="9996" max="9996" width="16.625" style="302" customWidth="1"/>
    <col min="9997" max="9997" width="57.125" style="302" customWidth="1"/>
    <col min="9998" max="10236" width="9" style="302"/>
    <col min="10237" max="10237" width="2" style="302" customWidth="1"/>
    <col min="10238" max="10238" width="8.375" style="302" customWidth="1"/>
    <col min="10239" max="10239" width="12.25" style="302" customWidth="1"/>
    <col min="10240" max="10240" width="10.75" style="302" customWidth="1"/>
    <col min="10241" max="10241" width="17.75" style="302" customWidth="1"/>
    <col min="10242" max="10242" width="18" style="302" customWidth="1"/>
    <col min="10243" max="10243" width="18.875" style="302" customWidth="1"/>
    <col min="10244" max="10244" width="27.875" style="302" customWidth="1"/>
    <col min="10245" max="10245" width="11.875" style="302" customWidth="1"/>
    <col min="10246" max="10248" width="9.875" style="302" customWidth="1"/>
    <col min="10249" max="10251" width="9" style="302"/>
    <col min="10252" max="10252" width="16.625" style="302" customWidth="1"/>
    <col min="10253" max="10253" width="57.125" style="302" customWidth="1"/>
    <col min="10254" max="10492" width="9" style="302"/>
    <col min="10493" max="10493" width="2" style="302" customWidth="1"/>
    <col min="10494" max="10494" width="8.375" style="302" customWidth="1"/>
    <col min="10495" max="10495" width="12.25" style="302" customWidth="1"/>
    <col min="10496" max="10496" width="10.75" style="302" customWidth="1"/>
    <col min="10497" max="10497" width="17.75" style="302" customWidth="1"/>
    <col min="10498" max="10498" width="18" style="302" customWidth="1"/>
    <col min="10499" max="10499" width="18.875" style="302" customWidth="1"/>
    <col min="10500" max="10500" width="27.875" style="302" customWidth="1"/>
    <col min="10501" max="10501" width="11.875" style="302" customWidth="1"/>
    <col min="10502" max="10504" width="9.875" style="302" customWidth="1"/>
    <col min="10505" max="10507" width="9" style="302"/>
    <col min="10508" max="10508" width="16.625" style="302" customWidth="1"/>
    <col min="10509" max="10509" width="57.125" style="302" customWidth="1"/>
    <col min="10510" max="10748" width="9" style="302"/>
    <col min="10749" max="10749" width="2" style="302" customWidth="1"/>
    <col min="10750" max="10750" width="8.375" style="302" customWidth="1"/>
    <col min="10751" max="10751" width="12.25" style="302" customWidth="1"/>
    <col min="10752" max="10752" width="10.75" style="302" customWidth="1"/>
    <col min="10753" max="10753" width="17.75" style="302" customWidth="1"/>
    <col min="10754" max="10754" width="18" style="302" customWidth="1"/>
    <col min="10755" max="10755" width="18.875" style="302" customWidth="1"/>
    <col min="10756" max="10756" width="27.875" style="302" customWidth="1"/>
    <col min="10757" max="10757" width="11.875" style="302" customWidth="1"/>
    <col min="10758" max="10760" width="9.875" style="302" customWidth="1"/>
    <col min="10761" max="10763" width="9" style="302"/>
    <col min="10764" max="10764" width="16.625" style="302" customWidth="1"/>
    <col min="10765" max="10765" width="57.125" style="302" customWidth="1"/>
    <col min="10766" max="11004" width="9" style="302"/>
    <col min="11005" max="11005" width="2" style="302" customWidth="1"/>
    <col min="11006" max="11006" width="8.375" style="302" customWidth="1"/>
    <col min="11007" max="11007" width="12.25" style="302" customWidth="1"/>
    <col min="11008" max="11008" width="10.75" style="302" customWidth="1"/>
    <col min="11009" max="11009" width="17.75" style="302" customWidth="1"/>
    <col min="11010" max="11010" width="18" style="302" customWidth="1"/>
    <col min="11011" max="11011" width="18.875" style="302" customWidth="1"/>
    <col min="11012" max="11012" width="27.875" style="302" customWidth="1"/>
    <col min="11013" max="11013" width="11.875" style="302" customWidth="1"/>
    <col min="11014" max="11016" width="9.875" style="302" customWidth="1"/>
    <col min="11017" max="11019" width="9" style="302"/>
    <col min="11020" max="11020" width="16.625" style="302" customWidth="1"/>
    <col min="11021" max="11021" width="57.125" style="302" customWidth="1"/>
    <col min="11022" max="11260" width="9" style="302"/>
    <col min="11261" max="11261" width="2" style="302" customWidth="1"/>
    <col min="11262" max="11262" width="8.375" style="302" customWidth="1"/>
    <col min="11263" max="11263" width="12.25" style="302" customWidth="1"/>
    <col min="11264" max="11264" width="10.75" style="302" customWidth="1"/>
    <col min="11265" max="11265" width="17.75" style="302" customWidth="1"/>
    <col min="11266" max="11266" width="18" style="302" customWidth="1"/>
    <col min="11267" max="11267" width="18.875" style="302" customWidth="1"/>
    <col min="11268" max="11268" width="27.875" style="302" customWidth="1"/>
    <col min="11269" max="11269" width="11.875" style="302" customWidth="1"/>
    <col min="11270" max="11272" width="9.875" style="302" customWidth="1"/>
    <col min="11273" max="11275" width="9" style="302"/>
    <col min="11276" max="11276" width="16.625" style="302" customWidth="1"/>
    <col min="11277" max="11277" width="57.125" style="302" customWidth="1"/>
    <col min="11278" max="11516" width="9" style="302"/>
    <col min="11517" max="11517" width="2" style="302" customWidth="1"/>
    <col min="11518" max="11518" width="8.375" style="302" customWidth="1"/>
    <col min="11519" max="11519" width="12.25" style="302" customWidth="1"/>
    <col min="11520" max="11520" width="10.75" style="302" customWidth="1"/>
    <col min="11521" max="11521" width="17.75" style="302" customWidth="1"/>
    <col min="11522" max="11522" width="18" style="302" customWidth="1"/>
    <col min="11523" max="11523" width="18.875" style="302" customWidth="1"/>
    <col min="11524" max="11524" width="27.875" style="302" customWidth="1"/>
    <col min="11525" max="11525" width="11.875" style="302" customWidth="1"/>
    <col min="11526" max="11528" width="9.875" style="302" customWidth="1"/>
    <col min="11529" max="11531" width="9" style="302"/>
    <col min="11532" max="11532" width="16.625" style="302" customWidth="1"/>
    <col min="11533" max="11533" width="57.125" style="302" customWidth="1"/>
    <col min="11534" max="11772" width="9" style="302"/>
    <col min="11773" max="11773" width="2" style="302" customWidth="1"/>
    <col min="11774" max="11774" width="8.375" style="302" customWidth="1"/>
    <col min="11775" max="11775" width="12.25" style="302" customWidth="1"/>
    <col min="11776" max="11776" width="10.75" style="302" customWidth="1"/>
    <col min="11777" max="11777" width="17.75" style="302" customWidth="1"/>
    <col min="11778" max="11778" width="18" style="302" customWidth="1"/>
    <col min="11779" max="11779" width="18.875" style="302" customWidth="1"/>
    <col min="11780" max="11780" width="27.875" style="302" customWidth="1"/>
    <col min="11781" max="11781" width="11.875" style="302" customWidth="1"/>
    <col min="11782" max="11784" width="9.875" style="302" customWidth="1"/>
    <col min="11785" max="11787" width="9" style="302"/>
    <col min="11788" max="11788" width="16.625" style="302" customWidth="1"/>
    <col min="11789" max="11789" width="57.125" style="302" customWidth="1"/>
    <col min="11790" max="12028" width="9" style="302"/>
    <col min="12029" max="12029" width="2" style="302" customWidth="1"/>
    <col min="12030" max="12030" width="8.375" style="302" customWidth="1"/>
    <col min="12031" max="12031" width="12.25" style="302" customWidth="1"/>
    <col min="12032" max="12032" width="10.75" style="302" customWidth="1"/>
    <col min="12033" max="12033" width="17.75" style="302" customWidth="1"/>
    <col min="12034" max="12034" width="18" style="302" customWidth="1"/>
    <col min="12035" max="12035" width="18.875" style="302" customWidth="1"/>
    <col min="12036" max="12036" width="27.875" style="302" customWidth="1"/>
    <col min="12037" max="12037" width="11.875" style="302" customWidth="1"/>
    <col min="12038" max="12040" width="9.875" style="302" customWidth="1"/>
    <col min="12041" max="12043" width="9" style="302"/>
    <col min="12044" max="12044" width="16.625" style="302" customWidth="1"/>
    <col min="12045" max="12045" width="57.125" style="302" customWidth="1"/>
    <col min="12046" max="12284" width="9" style="302"/>
    <col min="12285" max="12285" width="2" style="302" customWidth="1"/>
    <col min="12286" max="12286" width="8.375" style="302" customWidth="1"/>
    <col min="12287" max="12287" width="12.25" style="302" customWidth="1"/>
    <col min="12288" max="12288" width="10.75" style="302" customWidth="1"/>
    <col min="12289" max="12289" width="17.75" style="302" customWidth="1"/>
    <col min="12290" max="12290" width="18" style="302" customWidth="1"/>
    <col min="12291" max="12291" width="18.875" style="302" customWidth="1"/>
    <col min="12292" max="12292" width="27.875" style="302" customWidth="1"/>
    <col min="12293" max="12293" width="11.875" style="302" customWidth="1"/>
    <col min="12294" max="12296" width="9.875" style="302" customWidth="1"/>
    <col min="12297" max="12299" width="9" style="302"/>
    <col min="12300" max="12300" width="16.625" style="302" customWidth="1"/>
    <col min="12301" max="12301" width="57.125" style="302" customWidth="1"/>
    <col min="12302" max="12540" width="9" style="302"/>
    <col min="12541" max="12541" width="2" style="302" customWidth="1"/>
    <col min="12542" max="12542" width="8.375" style="302" customWidth="1"/>
    <col min="12543" max="12543" width="12.25" style="302" customWidth="1"/>
    <col min="12544" max="12544" width="10.75" style="302" customWidth="1"/>
    <col min="12545" max="12545" width="17.75" style="302" customWidth="1"/>
    <col min="12546" max="12546" width="18" style="302" customWidth="1"/>
    <col min="12547" max="12547" width="18.875" style="302" customWidth="1"/>
    <col min="12548" max="12548" width="27.875" style="302" customWidth="1"/>
    <col min="12549" max="12549" width="11.875" style="302" customWidth="1"/>
    <col min="12550" max="12552" width="9.875" style="302" customWidth="1"/>
    <col min="12553" max="12555" width="9" style="302"/>
    <col min="12556" max="12556" width="16.625" style="302" customWidth="1"/>
    <col min="12557" max="12557" width="57.125" style="302" customWidth="1"/>
    <col min="12558" max="12796" width="9" style="302"/>
    <col min="12797" max="12797" width="2" style="302" customWidth="1"/>
    <col min="12798" max="12798" width="8.375" style="302" customWidth="1"/>
    <col min="12799" max="12799" width="12.25" style="302" customWidth="1"/>
    <col min="12800" max="12800" width="10.75" style="302" customWidth="1"/>
    <col min="12801" max="12801" width="17.75" style="302" customWidth="1"/>
    <col min="12802" max="12802" width="18" style="302" customWidth="1"/>
    <col min="12803" max="12803" width="18.875" style="302" customWidth="1"/>
    <col min="12804" max="12804" width="27.875" style="302" customWidth="1"/>
    <col min="12805" max="12805" width="11.875" style="302" customWidth="1"/>
    <col min="12806" max="12808" width="9.875" style="302" customWidth="1"/>
    <col min="12809" max="12811" width="9" style="302"/>
    <col min="12812" max="12812" width="16.625" style="302" customWidth="1"/>
    <col min="12813" max="12813" width="57.125" style="302" customWidth="1"/>
    <col min="12814" max="13052" width="9" style="302"/>
    <col min="13053" max="13053" width="2" style="302" customWidth="1"/>
    <col min="13054" max="13054" width="8.375" style="302" customWidth="1"/>
    <col min="13055" max="13055" width="12.25" style="302" customWidth="1"/>
    <col min="13056" max="13056" width="10.75" style="302" customWidth="1"/>
    <col min="13057" max="13057" width="17.75" style="302" customWidth="1"/>
    <col min="13058" max="13058" width="18" style="302" customWidth="1"/>
    <col min="13059" max="13059" width="18.875" style="302" customWidth="1"/>
    <col min="13060" max="13060" width="27.875" style="302" customWidth="1"/>
    <col min="13061" max="13061" width="11.875" style="302" customWidth="1"/>
    <col min="13062" max="13064" width="9.875" style="302" customWidth="1"/>
    <col min="13065" max="13067" width="9" style="302"/>
    <col min="13068" max="13068" width="16.625" style="302" customWidth="1"/>
    <col min="13069" max="13069" width="57.125" style="302" customWidth="1"/>
    <col min="13070" max="13308" width="9" style="302"/>
    <col min="13309" max="13309" width="2" style="302" customWidth="1"/>
    <col min="13310" max="13310" width="8.375" style="302" customWidth="1"/>
    <col min="13311" max="13311" width="12.25" style="302" customWidth="1"/>
    <col min="13312" max="13312" width="10.75" style="302" customWidth="1"/>
    <col min="13313" max="13313" width="17.75" style="302" customWidth="1"/>
    <col min="13314" max="13314" width="18" style="302" customWidth="1"/>
    <col min="13315" max="13315" width="18.875" style="302" customWidth="1"/>
    <col min="13316" max="13316" width="27.875" style="302" customWidth="1"/>
    <col min="13317" max="13317" width="11.875" style="302" customWidth="1"/>
    <col min="13318" max="13320" width="9.875" style="302" customWidth="1"/>
    <col min="13321" max="13323" width="9" style="302"/>
    <col min="13324" max="13324" width="16.625" style="302" customWidth="1"/>
    <col min="13325" max="13325" width="57.125" style="302" customWidth="1"/>
    <col min="13326" max="13564" width="9" style="302"/>
    <col min="13565" max="13565" width="2" style="302" customWidth="1"/>
    <col min="13566" max="13566" width="8.375" style="302" customWidth="1"/>
    <col min="13567" max="13567" width="12.25" style="302" customWidth="1"/>
    <col min="13568" max="13568" width="10.75" style="302" customWidth="1"/>
    <col min="13569" max="13569" width="17.75" style="302" customWidth="1"/>
    <col min="13570" max="13570" width="18" style="302" customWidth="1"/>
    <col min="13571" max="13571" width="18.875" style="302" customWidth="1"/>
    <col min="13572" max="13572" width="27.875" style="302" customWidth="1"/>
    <col min="13573" max="13573" width="11.875" style="302" customWidth="1"/>
    <col min="13574" max="13576" width="9.875" style="302" customWidth="1"/>
    <col min="13577" max="13579" width="9" style="302"/>
    <col min="13580" max="13580" width="16.625" style="302" customWidth="1"/>
    <col min="13581" max="13581" width="57.125" style="302" customWidth="1"/>
    <col min="13582" max="13820" width="9" style="302"/>
    <col min="13821" max="13821" width="2" style="302" customWidth="1"/>
    <col min="13822" max="13822" width="8.375" style="302" customWidth="1"/>
    <col min="13823" max="13823" width="12.25" style="302" customWidth="1"/>
    <col min="13824" max="13824" width="10.75" style="302" customWidth="1"/>
    <col min="13825" max="13825" width="17.75" style="302" customWidth="1"/>
    <col min="13826" max="13826" width="18" style="302" customWidth="1"/>
    <col min="13827" max="13827" width="18.875" style="302" customWidth="1"/>
    <col min="13828" max="13828" width="27.875" style="302" customWidth="1"/>
    <col min="13829" max="13829" width="11.875" style="302" customWidth="1"/>
    <col min="13830" max="13832" width="9.875" style="302" customWidth="1"/>
    <col min="13833" max="13835" width="9" style="302"/>
    <col min="13836" max="13836" width="16.625" style="302" customWidth="1"/>
    <col min="13837" max="13837" width="57.125" style="302" customWidth="1"/>
    <col min="13838" max="14076" width="9" style="302"/>
    <col min="14077" max="14077" width="2" style="302" customWidth="1"/>
    <col min="14078" max="14078" width="8.375" style="302" customWidth="1"/>
    <col min="14079" max="14079" width="12.25" style="302" customWidth="1"/>
    <col min="14080" max="14080" width="10.75" style="302" customWidth="1"/>
    <col min="14081" max="14081" width="17.75" style="302" customWidth="1"/>
    <col min="14082" max="14082" width="18" style="302" customWidth="1"/>
    <col min="14083" max="14083" width="18.875" style="302" customWidth="1"/>
    <col min="14084" max="14084" width="27.875" style="302" customWidth="1"/>
    <col min="14085" max="14085" width="11.875" style="302" customWidth="1"/>
    <col min="14086" max="14088" width="9.875" style="302" customWidth="1"/>
    <col min="14089" max="14091" width="9" style="302"/>
    <col min="14092" max="14092" width="16.625" style="302" customWidth="1"/>
    <col min="14093" max="14093" width="57.125" style="302" customWidth="1"/>
    <col min="14094" max="14332" width="9" style="302"/>
    <col min="14333" max="14333" width="2" style="302" customWidth="1"/>
    <col min="14334" max="14334" width="8.375" style="302" customWidth="1"/>
    <col min="14335" max="14335" width="12.25" style="302" customWidth="1"/>
    <col min="14336" max="14336" width="10.75" style="302" customWidth="1"/>
    <col min="14337" max="14337" width="17.75" style="302" customWidth="1"/>
    <col min="14338" max="14338" width="18" style="302" customWidth="1"/>
    <col min="14339" max="14339" width="18.875" style="302" customWidth="1"/>
    <col min="14340" max="14340" width="27.875" style="302" customWidth="1"/>
    <col min="14341" max="14341" width="11.875" style="302" customWidth="1"/>
    <col min="14342" max="14344" width="9.875" style="302" customWidth="1"/>
    <col min="14345" max="14347" width="9" style="302"/>
    <col min="14348" max="14348" width="16.625" style="302" customWidth="1"/>
    <col min="14349" max="14349" width="57.125" style="302" customWidth="1"/>
    <col min="14350" max="14588" width="9" style="302"/>
    <col min="14589" max="14589" width="2" style="302" customWidth="1"/>
    <col min="14590" max="14590" width="8.375" style="302" customWidth="1"/>
    <col min="14591" max="14591" width="12.25" style="302" customWidth="1"/>
    <col min="14592" max="14592" width="10.75" style="302" customWidth="1"/>
    <col min="14593" max="14593" width="17.75" style="302" customWidth="1"/>
    <col min="14594" max="14594" width="18" style="302" customWidth="1"/>
    <col min="14595" max="14595" width="18.875" style="302" customWidth="1"/>
    <col min="14596" max="14596" width="27.875" style="302" customWidth="1"/>
    <col min="14597" max="14597" width="11.875" style="302" customWidth="1"/>
    <col min="14598" max="14600" width="9.875" style="302" customWidth="1"/>
    <col min="14601" max="14603" width="9" style="302"/>
    <col min="14604" max="14604" width="16.625" style="302" customWidth="1"/>
    <col min="14605" max="14605" width="57.125" style="302" customWidth="1"/>
    <col min="14606" max="14844" width="9" style="302"/>
    <col min="14845" max="14845" width="2" style="302" customWidth="1"/>
    <col min="14846" max="14846" width="8.375" style="302" customWidth="1"/>
    <col min="14847" max="14847" width="12.25" style="302" customWidth="1"/>
    <col min="14848" max="14848" width="10.75" style="302" customWidth="1"/>
    <col min="14849" max="14849" width="17.75" style="302" customWidth="1"/>
    <col min="14850" max="14850" width="18" style="302" customWidth="1"/>
    <col min="14851" max="14851" width="18.875" style="302" customWidth="1"/>
    <col min="14852" max="14852" width="27.875" style="302" customWidth="1"/>
    <col min="14853" max="14853" width="11.875" style="302" customWidth="1"/>
    <col min="14854" max="14856" width="9.875" style="302" customWidth="1"/>
    <col min="14857" max="14859" width="9" style="302"/>
    <col min="14860" max="14860" width="16.625" style="302" customWidth="1"/>
    <col min="14861" max="14861" width="57.125" style="302" customWidth="1"/>
    <col min="14862" max="15100" width="9" style="302"/>
    <col min="15101" max="15101" width="2" style="302" customWidth="1"/>
    <col min="15102" max="15102" width="8.375" style="302" customWidth="1"/>
    <col min="15103" max="15103" width="12.25" style="302" customWidth="1"/>
    <col min="15104" max="15104" width="10.75" style="302" customWidth="1"/>
    <col min="15105" max="15105" width="17.75" style="302" customWidth="1"/>
    <col min="15106" max="15106" width="18" style="302" customWidth="1"/>
    <col min="15107" max="15107" width="18.875" style="302" customWidth="1"/>
    <col min="15108" max="15108" width="27.875" style="302" customWidth="1"/>
    <col min="15109" max="15109" width="11.875" style="302" customWidth="1"/>
    <col min="15110" max="15112" width="9.875" style="302" customWidth="1"/>
    <col min="15113" max="15115" width="9" style="302"/>
    <col min="15116" max="15116" width="16.625" style="302" customWidth="1"/>
    <col min="15117" max="15117" width="57.125" style="302" customWidth="1"/>
    <col min="15118" max="15356" width="9" style="302"/>
    <col min="15357" max="15357" width="2" style="302" customWidth="1"/>
    <col min="15358" max="15358" width="8.375" style="302" customWidth="1"/>
    <col min="15359" max="15359" width="12.25" style="302" customWidth="1"/>
    <col min="15360" max="15360" width="10.75" style="302" customWidth="1"/>
    <col min="15361" max="15361" width="17.75" style="302" customWidth="1"/>
    <col min="15362" max="15362" width="18" style="302" customWidth="1"/>
    <col min="15363" max="15363" width="18.875" style="302" customWidth="1"/>
    <col min="15364" max="15364" width="27.875" style="302" customWidth="1"/>
    <col min="15365" max="15365" width="11.875" style="302" customWidth="1"/>
    <col min="15366" max="15368" width="9.875" style="302" customWidth="1"/>
    <col min="15369" max="15371" width="9" style="302"/>
    <col min="15372" max="15372" width="16.625" style="302" customWidth="1"/>
    <col min="15373" max="15373" width="57.125" style="302" customWidth="1"/>
    <col min="15374" max="15612" width="9" style="302"/>
    <col min="15613" max="15613" width="2" style="302" customWidth="1"/>
    <col min="15614" max="15614" width="8.375" style="302" customWidth="1"/>
    <col min="15615" max="15615" width="12.25" style="302" customWidth="1"/>
    <col min="15616" max="15616" width="10.75" style="302" customWidth="1"/>
    <col min="15617" max="15617" width="17.75" style="302" customWidth="1"/>
    <col min="15618" max="15618" width="18" style="302" customWidth="1"/>
    <col min="15619" max="15619" width="18.875" style="302" customWidth="1"/>
    <col min="15620" max="15620" width="27.875" style="302" customWidth="1"/>
    <col min="15621" max="15621" width="11.875" style="302" customWidth="1"/>
    <col min="15622" max="15624" width="9.875" style="302" customWidth="1"/>
    <col min="15625" max="15627" width="9" style="302"/>
    <col min="15628" max="15628" width="16.625" style="302" customWidth="1"/>
    <col min="15629" max="15629" width="57.125" style="302" customWidth="1"/>
    <col min="15630" max="15868" width="9" style="302"/>
    <col min="15869" max="15869" width="2" style="302" customWidth="1"/>
    <col min="15870" max="15870" width="8.375" style="302" customWidth="1"/>
    <col min="15871" max="15871" width="12.25" style="302" customWidth="1"/>
    <col min="15872" max="15872" width="10.75" style="302" customWidth="1"/>
    <col min="15873" max="15873" width="17.75" style="302" customWidth="1"/>
    <col min="15874" max="15874" width="18" style="302" customWidth="1"/>
    <col min="15875" max="15875" width="18.875" style="302" customWidth="1"/>
    <col min="15876" max="15876" width="27.875" style="302" customWidth="1"/>
    <col min="15877" max="15877" width="11.875" style="302" customWidth="1"/>
    <col min="15878" max="15880" width="9.875" style="302" customWidth="1"/>
    <col min="15881" max="15883" width="9" style="302"/>
    <col min="15884" max="15884" width="16.625" style="302" customWidth="1"/>
    <col min="15885" max="15885" width="57.125" style="302" customWidth="1"/>
    <col min="15886" max="16124" width="9" style="302"/>
    <col min="16125" max="16125" width="2" style="302" customWidth="1"/>
    <col min="16126" max="16126" width="8.375" style="302" customWidth="1"/>
    <col min="16127" max="16127" width="12.25" style="302" customWidth="1"/>
    <col min="16128" max="16128" width="10.75" style="302" customWidth="1"/>
    <col min="16129" max="16129" width="17.75" style="302" customWidth="1"/>
    <col min="16130" max="16130" width="18" style="302" customWidth="1"/>
    <col min="16131" max="16131" width="18.875" style="302" customWidth="1"/>
    <col min="16132" max="16132" width="27.875" style="302" customWidth="1"/>
    <col min="16133" max="16133" width="11.875" style="302" customWidth="1"/>
    <col min="16134" max="16136" width="9.875" style="302" customWidth="1"/>
    <col min="16137" max="16139" width="9" style="302"/>
    <col min="16140" max="16140" width="16.625" style="302" customWidth="1"/>
    <col min="16141" max="16141" width="57.125" style="302" customWidth="1"/>
    <col min="16142" max="16384" width="9" style="302"/>
  </cols>
  <sheetData>
    <row r="1" spans="1:20" s="262" customFormat="1" ht="13.5" customHeight="1">
      <c r="A1" s="257"/>
      <c r="B1" s="258"/>
      <c r="C1" s="258"/>
      <c r="D1" s="259"/>
      <c r="E1" s="260"/>
      <c r="F1" s="260"/>
      <c r="G1" s="260"/>
      <c r="H1" s="260"/>
      <c r="I1" s="260"/>
      <c r="J1" s="260"/>
      <c r="K1" s="260"/>
      <c r="L1" s="261"/>
      <c r="N1" s="263"/>
      <c r="Q1" s="264"/>
    </row>
    <row r="2" spans="1:20" s="262" customFormat="1" ht="20.100000000000001" customHeight="1">
      <c r="A2" s="265"/>
      <c r="B2" s="10" t="s">
        <v>429</v>
      </c>
      <c r="C2" s="266"/>
      <c r="D2" s="267"/>
      <c r="E2" s="260"/>
      <c r="F2" s="267"/>
      <c r="G2" s="267"/>
      <c r="H2" s="267"/>
      <c r="I2" s="267"/>
      <c r="J2" s="267"/>
      <c r="K2" s="267"/>
      <c r="L2" s="268"/>
      <c r="N2" s="269"/>
      <c r="Q2" s="264"/>
    </row>
    <row r="3" spans="1:20" s="262" customFormat="1" ht="20.100000000000001" customHeight="1">
      <c r="B3" s="270" t="s">
        <v>319</v>
      </c>
      <c r="C3" s="266"/>
      <c r="D3" s="267"/>
      <c r="E3" s="260"/>
      <c r="F3" s="266"/>
      <c r="G3" s="266"/>
      <c r="H3" s="267"/>
      <c r="I3" s="266"/>
      <c r="J3" s="271"/>
      <c r="K3" s="266"/>
      <c r="L3" s="268"/>
      <c r="N3" s="269"/>
      <c r="Q3" s="264"/>
    </row>
    <row r="4" spans="1:20" s="262" customFormat="1" ht="20.100000000000001" customHeight="1">
      <c r="B4" s="270" t="s">
        <v>320</v>
      </c>
      <c r="C4" s="266"/>
      <c r="D4" s="267"/>
      <c r="E4" s="267"/>
      <c r="F4" s="266"/>
      <c r="G4" s="266"/>
      <c r="H4" s="267"/>
      <c r="I4" s="266"/>
      <c r="J4" s="271"/>
      <c r="K4" s="266"/>
      <c r="L4" s="272"/>
      <c r="N4" s="269"/>
      <c r="Q4" s="264"/>
    </row>
    <row r="5" spans="1:20" s="262" customFormat="1" ht="9.9499999999999993" customHeight="1" thickBot="1">
      <c r="A5" s="273"/>
      <c r="B5" s="273"/>
      <c r="C5" s="266"/>
      <c r="D5" s="274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4"/>
    </row>
    <row r="6" spans="1:20" s="358" customFormat="1" ht="13.5" customHeight="1">
      <c r="B6" s="359" t="s">
        <v>1075</v>
      </c>
      <c r="C6" s="388"/>
      <c r="D6" s="360"/>
      <c r="E6" s="360"/>
      <c r="F6" s="361" t="s">
        <v>304</v>
      </c>
      <c r="G6" s="389"/>
      <c r="H6" s="362"/>
      <c r="I6" s="275"/>
      <c r="J6" s="275"/>
      <c r="K6" s="362"/>
      <c r="L6" s="360"/>
      <c r="M6" s="360"/>
      <c r="N6" s="360"/>
      <c r="O6" s="362"/>
      <c r="P6" s="362"/>
      <c r="Q6" s="365" t="s">
        <v>49</v>
      </c>
    </row>
    <row r="7" spans="1:20" s="358" customFormat="1" ht="13.5" customHeight="1">
      <c r="B7" s="366">
        <v>1</v>
      </c>
      <c r="C7" s="367">
        <v>2</v>
      </c>
      <c r="D7" s="367">
        <v>3</v>
      </c>
      <c r="E7" s="368">
        <v>4</v>
      </c>
      <c r="F7" s="366">
        <v>5</v>
      </c>
      <c r="G7" s="367">
        <v>6</v>
      </c>
      <c r="H7" s="367">
        <v>7</v>
      </c>
      <c r="I7" s="367">
        <v>8</v>
      </c>
      <c r="J7" s="367">
        <v>9</v>
      </c>
      <c r="K7" s="367">
        <v>10</v>
      </c>
      <c r="L7" s="367">
        <v>11</v>
      </c>
      <c r="M7" s="367">
        <v>12</v>
      </c>
      <c r="N7" s="367">
        <v>13</v>
      </c>
      <c r="O7" s="367">
        <v>14</v>
      </c>
      <c r="P7" s="367">
        <v>15</v>
      </c>
      <c r="Q7" s="369">
        <v>16</v>
      </c>
    </row>
    <row r="8" spans="1:20" s="358" customFormat="1" ht="35.1" customHeight="1">
      <c r="B8" s="370" t="s">
        <v>20</v>
      </c>
      <c r="C8" s="371" t="s">
        <v>21</v>
      </c>
      <c r="D8" s="371" t="s">
        <v>22</v>
      </c>
      <c r="E8" s="372" t="s">
        <v>23</v>
      </c>
      <c r="F8" s="373" t="s">
        <v>422</v>
      </c>
      <c r="G8" s="277" t="s">
        <v>1043</v>
      </c>
      <c r="H8" s="276" t="s">
        <v>1044</v>
      </c>
      <c r="I8" s="277" t="s">
        <v>421</v>
      </c>
      <c r="J8" s="276" t="s">
        <v>1045</v>
      </c>
      <c r="K8" s="277" t="s">
        <v>1046</v>
      </c>
      <c r="L8" s="278" t="s">
        <v>1047</v>
      </c>
      <c r="M8" s="276" t="s">
        <v>1048</v>
      </c>
      <c r="N8" s="276" t="s">
        <v>1076</v>
      </c>
      <c r="O8" s="277" t="s">
        <v>36</v>
      </c>
      <c r="P8" s="277" t="s">
        <v>1051</v>
      </c>
      <c r="Q8" s="375" t="s">
        <v>1077</v>
      </c>
    </row>
    <row r="9" spans="1:20" s="376" customFormat="1" ht="35.1" customHeight="1" thickBot="1">
      <c r="B9" s="377" t="s">
        <v>24</v>
      </c>
      <c r="C9" s="378" t="s">
        <v>25</v>
      </c>
      <c r="D9" s="378" t="s">
        <v>26</v>
      </c>
      <c r="E9" s="379" t="s">
        <v>27</v>
      </c>
      <c r="F9" s="380" t="s">
        <v>305</v>
      </c>
      <c r="G9" s="381" t="s">
        <v>1078</v>
      </c>
      <c r="H9" s="382" t="s">
        <v>1079</v>
      </c>
      <c r="I9" s="381" t="s">
        <v>423</v>
      </c>
      <c r="J9" s="382" t="s">
        <v>306</v>
      </c>
      <c r="K9" s="381" t="s">
        <v>309</v>
      </c>
      <c r="L9" s="383" t="s">
        <v>310</v>
      </c>
      <c r="M9" s="382" t="s">
        <v>307</v>
      </c>
      <c r="N9" s="382" t="s">
        <v>308</v>
      </c>
      <c r="O9" s="381" t="s">
        <v>311</v>
      </c>
      <c r="P9" s="381" t="s">
        <v>312</v>
      </c>
      <c r="Q9" s="385" t="s">
        <v>76</v>
      </c>
    </row>
    <row r="10" spans="1:20" s="223" customFormat="1" ht="14.1" customHeight="1">
      <c r="A10" s="358"/>
      <c r="B10" s="279">
        <v>1</v>
      </c>
      <c r="C10" s="280"/>
      <c r="D10" s="280" t="s">
        <v>430</v>
      </c>
      <c r="E10" s="281" t="s">
        <v>208</v>
      </c>
      <c r="F10" s="284" t="s">
        <v>424</v>
      </c>
      <c r="G10" s="280" t="s">
        <v>321</v>
      </c>
      <c r="H10" s="391" t="s">
        <v>1175</v>
      </c>
      <c r="I10" s="282" t="s">
        <v>687</v>
      </c>
      <c r="J10" s="285">
        <v>42975</v>
      </c>
      <c r="K10" s="280" t="s">
        <v>425</v>
      </c>
      <c r="L10" s="286">
        <v>1</v>
      </c>
      <c r="M10" s="285"/>
      <c r="N10" s="285"/>
      <c r="O10" s="280" t="s">
        <v>80</v>
      </c>
      <c r="P10" s="287">
        <v>24500000</v>
      </c>
      <c r="Q10" s="288"/>
      <c r="T10" s="393"/>
    </row>
    <row r="11" spans="1:20" s="223" customFormat="1" ht="14.1" customHeight="1">
      <c r="A11" s="262"/>
      <c r="B11" s="279">
        <v>2</v>
      </c>
      <c r="C11" s="280"/>
      <c r="D11" s="280" t="s">
        <v>453</v>
      </c>
      <c r="E11" s="281" t="s">
        <v>109</v>
      </c>
      <c r="F11" s="284" t="s">
        <v>424</v>
      </c>
      <c r="G11" s="280" t="s">
        <v>321</v>
      </c>
      <c r="H11" s="391" t="s">
        <v>1080</v>
      </c>
      <c r="I11" s="282" t="s">
        <v>816</v>
      </c>
      <c r="J11" s="285">
        <v>42991</v>
      </c>
      <c r="K11" s="280" t="s">
        <v>425</v>
      </c>
      <c r="L11" s="286">
        <v>1</v>
      </c>
      <c r="M11" s="285"/>
      <c r="N11" s="285"/>
      <c r="O11" s="280" t="s">
        <v>80</v>
      </c>
      <c r="P11" s="287">
        <v>2000000</v>
      </c>
      <c r="Q11" s="288"/>
      <c r="T11" s="393"/>
    </row>
    <row r="12" spans="1:20" s="223" customFormat="1" ht="14.1" customHeight="1">
      <c r="A12" s="262"/>
      <c r="B12" s="279">
        <v>3</v>
      </c>
      <c r="C12" s="280"/>
      <c r="D12" s="280" t="s">
        <v>459</v>
      </c>
      <c r="E12" s="281" t="s">
        <v>239</v>
      </c>
      <c r="F12" s="284" t="s">
        <v>424</v>
      </c>
      <c r="G12" s="280" t="s">
        <v>321</v>
      </c>
      <c r="H12" s="391" t="s">
        <v>3171</v>
      </c>
      <c r="I12" s="282" t="s">
        <v>826</v>
      </c>
      <c r="J12" s="285">
        <v>44649</v>
      </c>
      <c r="K12" s="280" t="s">
        <v>3172</v>
      </c>
      <c r="L12" s="286">
        <v>1</v>
      </c>
      <c r="M12" s="285"/>
      <c r="N12" s="285"/>
      <c r="O12" s="280" t="s">
        <v>80</v>
      </c>
      <c r="P12" s="287">
        <v>28400000</v>
      </c>
      <c r="Q12" s="288"/>
      <c r="T12" s="393"/>
    </row>
    <row r="13" spans="1:20" s="223" customFormat="1" ht="14.1" customHeight="1">
      <c r="A13" s="262"/>
      <c r="B13" s="279">
        <v>4</v>
      </c>
      <c r="C13" s="280"/>
      <c r="D13" s="280" t="s">
        <v>466</v>
      </c>
      <c r="E13" s="281" t="s">
        <v>152</v>
      </c>
      <c r="F13" s="284" t="s">
        <v>424</v>
      </c>
      <c r="G13" s="280" t="s">
        <v>321</v>
      </c>
      <c r="H13" s="391" t="s">
        <v>1081</v>
      </c>
      <c r="I13" s="282" t="s">
        <v>844</v>
      </c>
      <c r="J13" s="285">
        <v>45190</v>
      </c>
      <c r="K13" s="280" t="s">
        <v>425</v>
      </c>
      <c r="L13" s="286">
        <v>1</v>
      </c>
      <c r="M13" s="285"/>
      <c r="N13" s="285"/>
      <c r="O13" s="280" t="s">
        <v>80</v>
      </c>
      <c r="P13" s="287">
        <v>43976400</v>
      </c>
      <c r="Q13" s="288"/>
      <c r="T13" s="393"/>
    </row>
    <row r="14" spans="1:20" s="223" customFormat="1" ht="14.1" customHeight="1">
      <c r="A14" s="262"/>
      <c r="B14" s="279">
        <v>5</v>
      </c>
      <c r="C14" s="280"/>
      <c r="D14" s="280" t="s">
        <v>467</v>
      </c>
      <c r="E14" s="281" t="s">
        <v>175</v>
      </c>
      <c r="F14" s="284" t="s">
        <v>424</v>
      </c>
      <c r="G14" s="280" t="s">
        <v>321</v>
      </c>
      <c r="H14" s="391" t="s">
        <v>1082</v>
      </c>
      <c r="I14" s="282" t="s">
        <v>846</v>
      </c>
      <c r="J14" s="285">
        <v>44805</v>
      </c>
      <c r="K14" s="280" t="s">
        <v>420</v>
      </c>
      <c r="L14" s="286">
        <v>1</v>
      </c>
      <c r="M14" s="285"/>
      <c r="N14" s="285"/>
      <c r="O14" s="280" t="s">
        <v>80</v>
      </c>
      <c r="P14" s="287">
        <v>22940000</v>
      </c>
      <c r="Q14" s="288"/>
      <c r="T14" s="393"/>
    </row>
    <row r="15" spans="1:20" s="223" customFormat="1" ht="14.1" customHeight="1">
      <c r="A15" s="262"/>
      <c r="B15" s="279">
        <v>6</v>
      </c>
      <c r="C15" s="280"/>
      <c r="D15" s="280" t="s">
        <v>470</v>
      </c>
      <c r="E15" s="281" t="s">
        <v>168</v>
      </c>
      <c r="F15" s="284" t="s">
        <v>424</v>
      </c>
      <c r="G15" s="280" t="s">
        <v>321</v>
      </c>
      <c r="H15" s="391" t="s">
        <v>1083</v>
      </c>
      <c r="I15" s="282" t="s">
        <v>816</v>
      </c>
      <c r="J15" s="285">
        <v>43810</v>
      </c>
      <c r="K15" s="280" t="s">
        <v>420</v>
      </c>
      <c r="L15" s="286">
        <v>1</v>
      </c>
      <c r="M15" s="285"/>
      <c r="N15" s="285"/>
      <c r="O15" s="280" t="s">
        <v>80</v>
      </c>
      <c r="P15" s="287">
        <v>43399610</v>
      </c>
      <c r="Q15" s="288"/>
    </row>
    <row r="16" spans="1:20" s="223" customFormat="1" ht="14.1" customHeight="1">
      <c r="A16" s="262"/>
      <c r="B16" s="279">
        <v>7</v>
      </c>
      <c r="C16" s="280"/>
      <c r="D16" s="280" t="s">
        <v>471</v>
      </c>
      <c r="E16" s="281" t="s">
        <v>130</v>
      </c>
      <c r="F16" s="284" t="s">
        <v>424</v>
      </c>
      <c r="G16" s="280" t="s">
        <v>321</v>
      </c>
      <c r="H16" s="391" t="s">
        <v>1084</v>
      </c>
      <c r="I16" s="282" t="s">
        <v>851</v>
      </c>
      <c r="J16" s="285">
        <v>42794</v>
      </c>
      <c r="K16" s="280" t="s">
        <v>420</v>
      </c>
      <c r="L16" s="286">
        <v>1</v>
      </c>
      <c r="M16" s="285"/>
      <c r="N16" s="285"/>
      <c r="O16" s="280" t="s">
        <v>80</v>
      </c>
      <c r="P16" s="287">
        <v>37224000</v>
      </c>
      <c r="Q16" s="288"/>
    </row>
    <row r="17" spans="1:17" s="223" customFormat="1" ht="14.1" customHeight="1">
      <c r="A17" s="262"/>
      <c r="B17" s="279">
        <v>8</v>
      </c>
      <c r="C17" s="280"/>
      <c r="D17" s="280" t="s">
        <v>472</v>
      </c>
      <c r="E17" s="281" t="s">
        <v>152</v>
      </c>
      <c r="F17" s="284" t="s">
        <v>424</v>
      </c>
      <c r="G17" s="280" t="s">
        <v>321</v>
      </c>
      <c r="H17" s="391" t="s">
        <v>1085</v>
      </c>
      <c r="I17" s="282" t="s">
        <v>852</v>
      </c>
      <c r="J17" s="285">
        <v>44995</v>
      </c>
      <c r="K17" s="280" t="s">
        <v>425</v>
      </c>
      <c r="L17" s="286">
        <v>1</v>
      </c>
      <c r="M17" s="285"/>
      <c r="N17" s="285"/>
      <c r="O17" s="280" t="s">
        <v>80</v>
      </c>
      <c r="P17" s="287">
        <v>28500000</v>
      </c>
      <c r="Q17" s="288"/>
    </row>
    <row r="18" spans="1:17" s="223" customFormat="1" ht="14.1" customHeight="1">
      <c r="A18" s="262"/>
      <c r="B18" s="279">
        <v>9</v>
      </c>
      <c r="C18" s="280"/>
      <c r="D18" s="280" t="s">
        <v>475</v>
      </c>
      <c r="E18" s="281" t="s">
        <v>175</v>
      </c>
      <c r="F18" s="284" t="s">
        <v>424</v>
      </c>
      <c r="G18" s="280" t="s">
        <v>321</v>
      </c>
      <c r="H18" s="391" t="s">
        <v>1086</v>
      </c>
      <c r="I18" s="282" t="s">
        <v>859</v>
      </c>
      <c r="J18" s="285">
        <v>42535</v>
      </c>
      <c r="K18" s="280" t="s">
        <v>425</v>
      </c>
      <c r="L18" s="286">
        <v>1</v>
      </c>
      <c r="M18" s="285"/>
      <c r="N18" s="285"/>
      <c r="O18" s="280" t="s">
        <v>80</v>
      </c>
      <c r="P18" s="287">
        <v>43957600</v>
      </c>
      <c r="Q18" s="288"/>
    </row>
    <row r="19" spans="1:17" s="223" customFormat="1" ht="14.1" customHeight="1">
      <c r="A19" s="262"/>
      <c r="B19" s="279">
        <v>10</v>
      </c>
      <c r="C19" s="280"/>
      <c r="D19" s="280" t="s">
        <v>477</v>
      </c>
      <c r="E19" s="281" t="s">
        <v>148</v>
      </c>
      <c r="F19" s="284" t="s">
        <v>424</v>
      </c>
      <c r="G19" s="280" t="s">
        <v>321</v>
      </c>
      <c r="H19" s="391" t="s">
        <v>1186</v>
      </c>
      <c r="I19" s="282" t="s">
        <v>363</v>
      </c>
      <c r="J19" s="285">
        <v>42577</v>
      </c>
      <c r="K19" s="280" t="s">
        <v>425</v>
      </c>
      <c r="L19" s="286">
        <v>1</v>
      </c>
      <c r="M19" s="285"/>
      <c r="N19" s="285"/>
      <c r="O19" s="280" t="s">
        <v>80</v>
      </c>
      <c r="P19" s="287">
        <v>24500000</v>
      </c>
      <c r="Q19" s="288"/>
    </row>
    <row r="20" spans="1:17" s="223" customFormat="1" ht="14.1" customHeight="1">
      <c r="A20" s="262"/>
      <c r="B20" s="279">
        <v>11</v>
      </c>
      <c r="C20" s="280"/>
      <c r="D20" s="280" t="s">
        <v>479</v>
      </c>
      <c r="E20" s="281" t="s">
        <v>109</v>
      </c>
      <c r="F20" s="284" t="s">
        <v>424</v>
      </c>
      <c r="G20" s="280" t="s">
        <v>321</v>
      </c>
      <c r="H20" s="391" t="s">
        <v>1087</v>
      </c>
      <c r="I20" s="282" t="s">
        <v>348</v>
      </c>
      <c r="J20" s="285">
        <v>45262</v>
      </c>
      <c r="K20" s="280" t="s">
        <v>425</v>
      </c>
      <c r="L20" s="286">
        <v>1</v>
      </c>
      <c r="M20" s="285"/>
      <c r="N20" s="285"/>
      <c r="O20" s="280" t="s">
        <v>80</v>
      </c>
      <c r="P20" s="287">
        <v>43954200</v>
      </c>
      <c r="Q20" s="288"/>
    </row>
    <row r="21" spans="1:17" s="223" customFormat="1" ht="14.1" customHeight="1">
      <c r="A21" s="262"/>
      <c r="B21" s="279">
        <v>12</v>
      </c>
      <c r="C21" s="280"/>
      <c r="D21" s="280" t="s">
        <v>481</v>
      </c>
      <c r="E21" s="281" t="s">
        <v>109</v>
      </c>
      <c r="F21" s="284" t="s">
        <v>424</v>
      </c>
      <c r="G21" s="280" t="s">
        <v>321</v>
      </c>
      <c r="H21" s="391" t="s">
        <v>1088</v>
      </c>
      <c r="I21" s="282" t="s">
        <v>865</v>
      </c>
      <c r="J21" s="285">
        <v>44469</v>
      </c>
      <c r="K21" s="280" t="s">
        <v>420</v>
      </c>
      <c r="L21" s="286">
        <v>1</v>
      </c>
      <c r="M21" s="285"/>
      <c r="N21" s="285"/>
      <c r="O21" s="280" t="s">
        <v>80</v>
      </c>
      <c r="P21" s="287">
        <v>28336000</v>
      </c>
      <c r="Q21" s="288"/>
    </row>
    <row r="22" spans="1:17" s="223" customFormat="1" ht="14.1" customHeight="1">
      <c r="A22" s="262"/>
      <c r="B22" s="279">
        <v>13</v>
      </c>
      <c r="C22" s="280"/>
      <c r="D22" s="280" t="s">
        <v>482</v>
      </c>
      <c r="E22" s="281" t="s">
        <v>109</v>
      </c>
      <c r="F22" s="284" t="s">
        <v>424</v>
      </c>
      <c r="G22" s="280" t="s">
        <v>321</v>
      </c>
      <c r="H22" s="391" t="s">
        <v>1089</v>
      </c>
      <c r="I22" s="282" t="s">
        <v>866</v>
      </c>
      <c r="J22" s="285">
        <v>45188</v>
      </c>
      <c r="K22" s="280" t="s">
        <v>425</v>
      </c>
      <c r="L22" s="286">
        <v>1</v>
      </c>
      <c r="M22" s="285"/>
      <c r="N22" s="285"/>
      <c r="O22" s="280" t="s">
        <v>80</v>
      </c>
      <c r="P22" s="287">
        <v>43989800</v>
      </c>
      <c r="Q22" s="288"/>
    </row>
    <row r="23" spans="1:17" s="223" customFormat="1" ht="14.1" customHeight="1">
      <c r="A23" s="262"/>
      <c r="B23" s="279">
        <v>14</v>
      </c>
      <c r="C23" s="280"/>
      <c r="D23" s="280" t="s">
        <v>483</v>
      </c>
      <c r="E23" s="281" t="s">
        <v>661</v>
      </c>
      <c r="F23" s="284" t="s">
        <v>424</v>
      </c>
      <c r="G23" s="280" t="s">
        <v>321</v>
      </c>
      <c r="H23" s="391" t="s">
        <v>1090</v>
      </c>
      <c r="I23" s="282" t="s">
        <v>868</v>
      </c>
      <c r="J23" s="285">
        <v>42359</v>
      </c>
      <c r="K23" s="280" t="s">
        <v>425</v>
      </c>
      <c r="L23" s="286">
        <v>1</v>
      </c>
      <c r="M23" s="285"/>
      <c r="N23" s="285"/>
      <c r="O23" s="280" t="s">
        <v>80</v>
      </c>
      <c r="P23" s="287">
        <v>50000000</v>
      </c>
      <c r="Q23" s="288"/>
    </row>
    <row r="24" spans="1:17" s="223" customFormat="1" ht="14.1" customHeight="1">
      <c r="A24" s="262"/>
      <c r="B24" s="279">
        <v>15</v>
      </c>
      <c r="C24" s="280"/>
      <c r="D24" s="280" t="s">
        <v>484</v>
      </c>
      <c r="E24" s="281" t="s">
        <v>152</v>
      </c>
      <c r="F24" s="284" t="s">
        <v>424</v>
      </c>
      <c r="G24" s="280" t="s">
        <v>321</v>
      </c>
      <c r="H24" s="391" t="s">
        <v>1091</v>
      </c>
      <c r="I24" s="282" t="s">
        <v>870</v>
      </c>
      <c r="J24" s="285">
        <v>43521</v>
      </c>
      <c r="K24" s="280" t="s">
        <v>425</v>
      </c>
      <c r="L24" s="286">
        <v>1</v>
      </c>
      <c r="M24" s="285"/>
      <c r="N24" s="285"/>
      <c r="O24" s="280" t="s">
        <v>80</v>
      </c>
      <c r="P24" s="287">
        <v>10000000</v>
      </c>
      <c r="Q24" s="288"/>
    </row>
    <row r="25" spans="1:17" s="223" customFormat="1" ht="14.1" customHeight="1">
      <c r="A25" s="262"/>
      <c r="B25" s="279">
        <v>16</v>
      </c>
      <c r="C25" s="280"/>
      <c r="D25" s="280" t="s">
        <v>489</v>
      </c>
      <c r="E25" s="281" t="s">
        <v>130</v>
      </c>
      <c r="F25" s="284" t="s">
        <v>424</v>
      </c>
      <c r="G25" s="280" t="s">
        <v>321</v>
      </c>
      <c r="H25" s="391" t="s">
        <v>1092</v>
      </c>
      <c r="I25" s="282" t="s">
        <v>866</v>
      </c>
      <c r="J25" s="285">
        <v>42565</v>
      </c>
      <c r="K25" s="280" t="s">
        <v>425</v>
      </c>
      <c r="L25" s="286">
        <v>1</v>
      </c>
      <c r="M25" s="285"/>
      <c r="N25" s="285"/>
      <c r="O25" s="280" t="s">
        <v>80</v>
      </c>
      <c r="P25" s="287">
        <v>21000000</v>
      </c>
      <c r="Q25" s="288"/>
    </row>
    <row r="26" spans="1:17" s="223" customFormat="1" ht="14.1" customHeight="1">
      <c r="A26" s="262"/>
      <c r="B26" s="279">
        <v>17</v>
      </c>
      <c r="C26" s="280"/>
      <c r="D26" s="280" t="s">
        <v>492</v>
      </c>
      <c r="E26" s="281" t="s">
        <v>663</v>
      </c>
      <c r="F26" s="284" t="s">
        <v>424</v>
      </c>
      <c r="G26" s="280" t="s">
        <v>325</v>
      </c>
      <c r="H26" s="391" t="s">
        <v>1093</v>
      </c>
      <c r="I26" s="282" t="s">
        <v>883</v>
      </c>
      <c r="J26" s="285">
        <v>41486</v>
      </c>
      <c r="K26" s="280" t="s">
        <v>420</v>
      </c>
      <c r="L26" s="286">
        <v>1</v>
      </c>
      <c r="M26" s="285"/>
      <c r="N26" s="285"/>
      <c r="O26" s="280" t="s">
        <v>80</v>
      </c>
      <c r="P26" s="287">
        <v>56000000</v>
      </c>
      <c r="Q26" s="288"/>
    </row>
    <row r="27" spans="1:17" s="223" customFormat="1" ht="14.1" customHeight="1">
      <c r="A27" s="262"/>
      <c r="B27" s="279">
        <v>18</v>
      </c>
      <c r="C27" s="280"/>
      <c r="D27" s="280" t="s">
        <v>494</v>
      </c>
      <c r="E27" s="281" t="s">
        <v>109</v>
      </c>
      <c r="F27" s="284" t="s">
        <v>424</v>
      </c>
      <c r="G27" s="280" t="s">
        <v>321</v>
      </c>
      <c r="H27" s="391" t="s">
        <v>1094</v>
      </c>
      <c r="I27" s="282" t="s">
        <v>888</v>
      </c>
      <c r="J27" s="285">
        <v>43674</v>
      </c>
      <c r="K27" s="280" t="s">
        <v>425</v>
      </c>
      <c r="L27" s="286">
        <v>1</v>
      </c>
      <c r="M27" s="285"/>
      <c r="N27" s="285"/>
      <c r="O27" s="280" t="s">
        <v>80</v>
      </c>
      <c r="P27" s="287">
        <v>12850000</v>
      </c>
      <c r="Q27" s="288"/>
    </row>
    <row r="28" spans="1:17" s="223" customFormat="1" ht="14.1" customHeight="1">
      <c r="A28" s="262"/>
      <c r="B28" s="279">
        <v>19</v>
      </c>
      <c r="C28" s="280"/>
      <c r="D28" s="280" t="s">
        <v>495</v>
      </c>
      <c r="E28" s="281" t="s">
        <v>109</v>
      </c>
      <c r="F28" s="284" t="s">
        <v>424</v>
      </c>
      <c r="G28" s="280" t="s">
        <v>321</v>
      </c>
      <c r="H28" s="391" t="s">
        <v>1095</v>
      </c>
      <c r="I28" s="282" t="s">
        <v>889</v>
      </c>
      <c r="J28" s="285">
        <v>42608</v>
      </c>
      <c r="K28" s="280" t="s">
        <v>425</v>
      </c>
      <c r="L28" s="286">
        <v>1</v>
      </c>
      <c r="M28" s="285"/>
      <c r="N28" s="285"/>
      <c r="O28" s="280" t="s">
        <v>80</v>
      </c>
      <c r="P28" s="287">
        <v>4000000</v>
      </c>
      <c r="Q28" s="288"/>
    </row>
    <row r="29" spans="1:17" s="223" customFormat="1" ht="14.1" customHeight="1">
      <c r="A29" s="262"/>
      <c r="B29" s="279">
        <v>20</v>
      </c>
      <c r="C29" s="280"/>
      <c r="D29" s="280" t="s">
        <v>502</v>
      </c>
      <c r="E29" s="281" t="s">
        <v>109</v>
      </c>
      <c r="F29" s="284" t="s">
        <v>424</v>
      </c>
      <c r="G29" s="280" t="s">
        <v>321</v>
      </c>
      <c r="H29" s="391" t="s">
        <v>1096</v>
      </c>
      <c r="I29" s="209" t="s">
        <v>905</v>
      </c>
      <c r="J29" s="285">
        <v>42614</v>
      </c>
      <c r="K29" s="280" t="s">
        <v>425</v>
      </c>
      <c r="L29" s="286">
        <v>1</v>
      </c>
      <c r="M29" s="285"/>
      <c r="N29" s="285"/>
      <c r="O29" s="280" t="s">
        <v>80</v>
      </c>
      <c r="P29" s="287">
        <v>28000000</v>
      </c>
      <c r="Q29" s="288"/>
    </row>
    <row r="30" spans="1:17" s="223" customFormat="1" ht="14.1" customHeight="1">
      <c r="A30" s="262"/>
      <c r="B30" s="279">
        <v>21</v>
      </c>
      <c r="C30" s="280"/>
      <c r="D30" s="280" t="s">
        <v>503</v>
      </c>
      <c r="E30" s="281" t="s">
        <v>661</v>
      </c>
      <c r="F30" s="284" t="s">
        <v>424</v>
      </c>
      <c r="G30" s="280" t="s">
        <v>321</v>
      </c>
      <c r="H30" s="391" t="s">
        <v>1097</v>
      </c>
      <c r="I30" s="282" t="s">
        <v>350</v>
      </c>
      <c r="J30" s="285">
        <v>42643</v>
      </c>
      <c r="K30" s="280" t="s">
        <v>425</v>
      </c>
      <c r="L30" s="286">
        <v>1</v>
      </c>
      <c r="M30" s="285"/>
      <c r="N30" s="285"/>
      <c r="O30" s="280" t="s">
        <v>80</v>
      </c>
      <c r="P30" s="287">
        <v>28000000</v>
      </c>
      <c r="Q30" s="288"/>
    </row>
    <row r="31" spans="1:17" s="223" customFormat="1" ht="14.1" customHeight="1">
      <c r="A31" s="262"/>
      <c r="B31" s="279">
        <v>22</v>
      </c>
      <c r="C31" s="280"/>
      <c r="D31" s="280" t="s">
        <v>505</v>
      </c>
      <c r="E31" s="281" t="s">
        <v>152</v>
      </c>
      <c r="F31" s="284" t="s">
        <v>424</v>
      </c>
      <c r="G31" s="280" t="s">
        <v>325</v>
      </c>
      <c r="H31" s="391" t="s">
        <v>1098</v>
      </c>
      <c r="I31" s="282" t="s">
        <v>906</v>
      </c>
      <c r="J31" s="285">
        <v>41486</v>
      </c>
      <c r="K31" s="280" t="s">
        <v>425</v>
      </c>
      <c r="L31" s="286">
        <v>1</v>
      </c>
      <c r="M31" s="285"/>
      <c r="N31" s="285"/>
      <c r="O31" s="280" t="s">
        <v>80</v>
      </c>
      <c r="P31" s="287">
        <v>26020000</v>
      </c>
      <c r="Q31" s="288"/>
    </row>
    <row r="32" spans="1:17" s="223" customFormat="1" ht="14.1" customHeight="1">
      <c r="A32" s="262"/>
      <c r="B32" s="279">
        <v>23</v>
      </c>
      <c r="C32" s="280"/>
      <c r="D32" s="280" t="s">
        <v>507</v>
      </c>
      <c r="E32" s="281" t="s">
        <v>168</v>
      </c>
      <c r="F32" s="284" t="s">
        <v>424</v>
      </c>
      <c r="G32" s="280" t="s">
        <v>321</v>
      </c>
      <c r="H32" s="391" t="s">
        <v>1099</v>
      </c>
      <c r="I32" s="282" t="s">
        <v>773</v>
      </c>
      <c r="J32" s="285">
        <v>43675</v>
      </c>
      <c r="K32" s="280" t="s">
        <v>425</v>
      </c>
      <c r="L32" s="286">
        <v>1</v>
      </c>
      <c r="M32" s="285"/>
      <c r="N32" s="285"/>
      <c r="O32" s="280" t="s">
        <v>80</v>
      </c>
      <c r="P32" s="287">
        <v>27860000</v>
      </c>
      <c r="Q32" s="288"/>
    </row>
    <row r="33" spans="1:17" s="223" customFormat="1" ht="14.1" customHeight="1">
      <c r="A33" s="262"/>
      <c r="B33" s="279">
        <v>24</v>
      </c>
      <c r="C33" s="280"/>
      <c r="D33" s="280" t="s">
        <v>508</v>
      </c>
      <c r="E33" s="281" t="s">
        <v>211</v>
      </c>
      <c r="F33" s="284" t="s">
        <v>424</v>
      </c>
      <c r="G33" s="280" t="s">
        <v>321</v>
      </c>
      <c r="H33" s="391" t="s">
        <v>1100</v>
      </c>
      <c r="I33" s="282" t="s">
        <v>908</v>
      </c>
      <c r="J33" s="285">
        <v>45095</v>
      </c>
      <c r="K33" s="280" t="s">
        <v>425</v>
      </c>
      <c r="L33" s="286">
        <v>1</v>
      </c>
      <c r="M33" s="285"/>
      <c r="N33" s="285"/>
      <c r="O33" s="280" t="s">
        <v>80</v>
      </c>
      <c r="P33" s="287">
        <v>31399275</v>
      </c>
      <c r="Q33" s="288"/>
    </row>
    <row r="34" spans="1:17" s="223" customFormat="1" ht="14.1" customHeight="1">
      <c r="A34" s="262"/>
      <c r="B34" s="279">
        <v>25</v>
      </c>
      <c r="C34" s="280"/>
      <c r="D34" s="280" t="s">
        <v>510</v>
      </c>
      <c r="E34" s="281" t="s">
        <v>130</v>
      </c>
      <c r="F34" s="284" t="s">
        <v>424</v>
      </c>
      <c r="G34" s="280" t="s">
        <v>321</v>
      </c>
      <c r="H34" s="391" t="s">
        <v>1101</v>
      </c>
      <c r="I34" s="282" t="s">
        <v>818</v>
      </c>
      <c r="J34" s="285">
        <v>44352</v>
      </c>
      <c r="K34" s="280" t="s">
        <v>425</v>
      </c>
      <c r="L34" s="286">
        <v>1</v>
      </c>
      <c r="M34" s="285"/>
      <c r="N34" s="285"/>
      <c r="O34" s="280" t="s">
        <v>80</v>
      </c>
      <c r="P34" s="287">
        <v>15000000</v>
      </c>
      <c r="Q34" s="288"/>
    </row>
    <row r="35" spans="1:17" s="223" customFormat="1" ht="14.1" customHeight="1">
      <c r="A35" s="262"/>
      <c r="B35" s="279">
        <v>26</v>
      </c>
      <c r="C35" s="280"/>
      <c r="D35" s="280" t="s">
        <v>511</v>
      </c>
      <c r="E35" s="281" t="s">
        <v>665</v>
      </c>
      <c r="F35" s="284" t="s">
        <v>424</v>
      </c>
      <c r="G35" s="280" t="s">
        <v>321</v>
      </c>
      <c r="H35" s="391" t="s">
        <v>1102</v>
      </c>
      <c r="I35" s="282" t="s">
        <v>910</v>
      </c>
      <c r="J35" s="285">
        <v>45214</v>
      </c>
      <c r="K35" s="280" t="s">
        <v>425</v>
      </c>
      <c r="L35" s="286">
        <v>1</v>
      </c>
      <c r="M35" s="285"/>
      <c r="N35" s="285"/>
      <c r="O35" s="280" t="s">
        <v>80</v>
      </c>
      <c r="P35" s="287">
        <v>27920000</v>
      </c>
      <c r="Q35" s="288"/>
    </row>
    <row r="36" spans="1:17" s="223" customFormat="1" ht="14.1" customHeight="1">
      <c r="A36" s="262"/>
      <c r="B36" s="279">
        <v>27</v>
      </c>
      <c r="C36" s="280"/>
      <c r="D36" s="280" t="s">
        <v>512</v>
      </c>
      <c r="E36" s="281" t="s">
        <v>152</v>
      </c>
      <c r="F36" s="284" t="s">
        <v>424</v>
      </c>
      <c r="G36" s="280" t="s">
        <v>321</v>
      </c>
      <c r="H36" s="391" t="s">
        <v>1103</v>
      </c>
      <c r="I36" s="282" t="s">
        <v>369</v>
      </c>
      <c r="J36" s="285">
        <v>43022</v>
      </c>
      <c r="K36" s="280" t="s">
        <v>425</v>
      </c>
      <c r="L36" s="286">
        <v>1</v>
      </c>
      <c r="M36" s="285"/>
      <c r="N36" s="285"/>
      <c r="O36" s="280" t="s">
        <v>80</v>
      </c>
      <c r="P36" s="287">
        <v>9572525</v>
      </c>
      <c r="Q36" s="288"/>
    </row>
    <row r="37" spans="1:17" s="223" customFormat="1" ht="14.1" customHeight="1">
      <c r="A37" s="262"/>
      <c r="B37" s="279">
        <v>28</v>
      </c>
      <c r="C37" s="280"/>
      <c r="D37" s="280" t="s">
        <v>515</v>
      </c>
      <c r="E37" s="281" t="s">
        <v>148</v>
      </c>
      <c r="F37" s="284" t="s">
        <v>424</v>
      </c>
      <c r="G37" s="280" t="s">
        <v>321</v>
      </c>
      <c r="H37" s="391" t="s">
        <v>1104</v>
      </c>
      <c r="I37" s="282" t="s">
        <v>913</v>
      </c>
      <c r="J37" s="285">
        <v>45567</v>
      </c>
      <c r="K37" s="280" t="s">
        <v>420</v>
      </c>
      <c r="L37" s="286">
        <v>1</v>
      </c>
      <c r="M37" s="285"/>
      <c r="N37" s="285"/>
      <c r="O37" s="280" t="s">
        <v>80</v>
      </c>
      <c r="P37" s="287">
        <v>37398219</v>
      </c>
      <c r="Q37" s="288"/>
    </row>
    <row r="38" spans="1:17" s="223" customFormat="1" ht="14.1" customHeight="1">
      <c r="A38" s="262"/>
      <c r="B38" s="279">
        <v>29</v>
      </c>
      <c r="C38" s="280"/>
      <c r="D38" s="280" t="s">
        <v>518</v>
      </c>
      <c r="E38" s="281" t="s">
        <v>194</v>
      </c>
      <c r="F38" s="284" t="s">
        <v>424</v>
      </c>
      <c r="G38" s="280" t="s">
        <v>321</v>
      </c>
      <c r="H38" s="391" t="s">
        <v>1105</v>
      </c>
      <c r="I38" s="282" t="s">
        <v>341</v>
      </c>
      <c r="J38" s="285">
        <v>42515</v>
      </c>
      <c r="K38" s="280" t="s">
        <v>425</v>
      </c>
      <c r="L38" s="286">
        <v>1</v>
      </c>
      <c r="M38" s="285"/>
      <c r="N38" s="285"/>
      <c r="O38" s="280" t="s">
        <v>80</v>
      </c>
      <c r="P38" s="287">
        <v>15999013</v>
      </c>
      <c r="Q38" s="288"/>
    </row>
    <row r="39" spans="1:17" s="223" customFormat="1" ht="14.1" customHeight="1">
      <c r="A39" s="262"/>
      <c r="B39" s="279">
        <v>30</v>
      </c>
      <c r="C39" s="280"/>
      <c r="D39" s="280" t="s">
        <v>521</v>
      </c>
      <c r="E39" s="281" t="s">
        <v>152</v>
      </c>
      <c r="F39" s="284" t="s">
        <v>424</v>
      </c>
      <c r="G39" s="280" t="s">
        <v>321</v>
      </c>
      <c r="H39" s="391" t="s">
        <v>1106</v>
      </c>
      <c r="I39" s="282" t="s">
        <v>921</v>
      </c>
      <c r="J39" s="285">
        <v>43519</v>
      </c>
      <c r="K39" s="280" t="s">
        <v>425</v>
      </c>
      <c r="L39" s="286">
        <v>1</v>
      </c>
      <c r="M39" s="285"/>
      <c r="N39" s="285"/>
      <c r="O39" s="280" t="s">
        <v>80</v>
      </c>
      <c r="P39" s="287">
        <v>14339202</v>
      </c>
      <c r="Q39" s="288"/>
    </row>
    <row r="40" spans="1:17" s="223" customFormat="1" ht="14.1" customHeight="1">
      <c r="A40" s="262"/>
      <c r="B40" s="279">
        <v>31</v>
      </c>
      <c r="C40" s="280"/>
      <c r="D40" s="280" t="s">
        <v>522</v>
      </c>
      <c r="E40" s="281" t="s">
        <v>92</v>
      </c>
      <c r="F40" s="284" t="s">
        <v>424</v>
      </c>
      <c r="G40" s="280" t="s">
        <v>321</v>
      </c>
      <c r="H40" s="391" t="s">
        <v>1107</v>
      </c>
      <c r="I40" s="282" t="s">
        <v>922</v>
      </c>
      <c r="J40" s="285">
        <v>44658</v>
      </c>
      <c r="K40" s="280" t="s">
        <v>425</v>
      </c>
      <c r="L40" s="286">
        <v>1</v>
      </c>
      <c r="M40" s="285"/>
      <c r="N40" s="285"/>
      <c r="O40" s="280" t="s">
        <v>80</v>
      </c>
      <c r="P40" s="287">
        <v>27780000</v>
      </c>
      <c r="Q40" s="288"/>
    </row>
    <row r="41" spans="1:17" s="223" customFormat="1" ht="14.1" customHeight="1">
      <c r="A41" s="262"/>
      <c r="B41" s="279">
        <v>32</v>
      </c>
      <c r="C41" s="280"/>
      <c r="D41" s="280" t="s">
        <v>526</v>
      </c>
      <c r="E41" s="281" t="s">
        <v>157</v>
      </c>
      <c r="F41" s="284" t="s">
        <v>424</v>
      </c>
      <c r="G41" s="280" t="s">
        <v>321</v>
      </c>
      <c r="H41" s="391" t="s">
        <v>1108</v>
      </c>
      <c r="I41" s="282" t="s">
        <v>927</v>
      </c>
      <c r="J41" s="285">
        <v>42511</v>
      </c>
      <c r="K41" s="280" t="s">
        <v>425</v>
      </c>
      <c r="L41" s="286">
        <v>1</v>
      </c>
      <c r="M41" s="285"/>
      <c r="N41" s="285"/>
      <c r="O41" s="280" t="s">
        <v>80</v>
      </c>
      <c r="P41" s="287">
        <v>40000000</v>
      </c>
      <c r="Q41" s="288"/>
    </row>
    <row r="42" spans="1:17" s="223" customFormat="1" ht="14.1" customHeight="1">
      <c r="A42" s="262"/>
      <c r="B42" s="279">
        <v>33</v>
      </c>
      <c r="C42" s="280"/>
      <c r="D42" s="280" t="s">
        <v>527</v>
      </c>
      <c r="E42" s="281" t="s">
        <v>135</v>
      </c>
      <c r="F42" s="284" t="s">
        <v>424</v>
      </c>
      <c r="G42" s="280" t="s">
        <v>321</v>
      </c>
      <c r="H42" s="391" t="s">
        <v>1109</v>
      </c>
      <c r="I42" s="282" t="s">
        <v>929</v>
      </c>
      <c r="J42" s="285">
        <v>43576</v>
      </c>
      <c r="K42" s="280" t="s">
        <v>420</v>
      </c>
      <c r="L42" s="286">
        <v>1</v>
      </c>
      <c r="M42" s="285"/>
      <c r="N42" s="285"/>
      <c r="O42" s="280" t="s">
        <v>80</v>
      </c>
      <c r="P42" s="287">
        <v>15070976</v>
      </c>
      <c r="Q42" s="288"/>
    </row>
    <row r="43" spans="1:17" s="223" customFormat="1" ht="14.1" customHeight="1">
      <c r="A43" s="262"/>
      <c r="B43" s="279">
        <v>34</v>
      </c>
      <c r="C43" s="280"/>
      <c r="D43" s="280" t="s">
        <v>529</v>
      </c>
      <c r="E43" s="281" t="s">
        <v>194</v>
      </c>
      <c r="F43" s="284" t="s">
        <v>424</v>
      </c>
      <c r="G43" s="280" t="s">
        <v>321</v>
      </c>
      <c r="H43" s="391" t="s">
        <v>1110</v>
      </c>
      <c r="I43" s="282" t="s">
        <v>794</v>
      </c>
      <c r="J43" s="285">
        <v>46483</v>
      </c>
      <c r="K43" s="280" t="s">
        <v>425</v>
      </c>
      <c r="L43" s="286">
        <v>1</v>
      </c>
      <c r="M43" s="285"/>
      <c r="N43" s="285"/>
      <c r="O43" s="280" t="s">
        <v>80</v>
      </c>
      <c r="P43" s="287">
        <v>27000000</v>
      </c>
      <c r="Q43" s="288"/>
    </row>
    <row r="44" spans="1:17" s="223" customFormat="1" ht="14.1" customHeight="1">
      <c r="A44" s="262"/>
      <c r="B44" s="279">
        <v>35</v>
      </c>
      <c r="C44" s="280"/>
      <c r="D44" s="280" t="s">
        <v>530</v>
      </c>
      <c r="E44" s="281" t="s">
        <v>152</v>
      </c>
      <c r="F44" s="284" t="s">
        <v>424</v>
      </c>
      <c r="G44" s="280" t="s">
        <v>321</v>
      </c>
      <c r="H44" s="391" t="s">
        <v>1111</v>
      </c>
      <c r="I44" s="282" t="s">
        <v>932</v>
      </c>
      <c r="J44" s="285">
        <v>44974</v>
      </c>
      <c r="K44" s="280" t="s">
        <v>425</v>
      </c>
      <c r="L44" s="286">
        <v>1</v>
      </c>
      <c r="M44" s="285"/>
      <c r="N44" s="285"/>
      <c r="O44" s="280" t="s">
        <v>80</v>
      </c>
      <c r="P44" s="287">
        <v>32000000</v>
      </c>
      <c r="Q44" s="288"/>
    </row>
    <row r="45" spans="1:17" s="223" customFormat="1" ht="14.1" customHeight="1">
      <c r="A45" s="262"/>
      <c r="B45" s="279">
        <v>36</v>
      </c>
      <c r="C45" s="280"/>
      <c r="D45" s="280" t="s">
        <v>531</v>
      </c>
      <c r="E45" s="281" t="s">
        <v>284</v>
      </c>
      <c r="F45" s="284" t="s">
        <v>424</v>
      </c>
      <c r="G45" s="280" t="s">
        <v>321</v>
      </c>
      <c r="H45" s="391" t="s">
        <v>1112</v>
      </c>
      <c r="I45" s="282" t="s">
        <v>933</v>
      </c>
      <c r="J45" s="285">
        <v>42380</v>
      </c>
      <c r="K45" s="280" t="s">
        <v>425</v>
      </c>
      <c r="L45" s="286">
        <v>1</v>
      </c>
      <c r="M45" s="285"/>
      <c r="N45" s="285"/>
      <c r="O45" s="280" t="s">
        <v>80</v>
      </c>
      <c r="P45" s="287">
        <v>36789868</v>
      </c>
      <c r="Q45" s="288"/>
    </row>
    <row r="46" spans="1:17" s="223" customFormat="1" ht="14.1" customHeight="1">
      <c r="A46" s="262"/>
      <c r="B46" s="279">
        <v>37</v>
      </c>
      <c r="C46" s="280"/>
      <c r="D46" s="280" t="s">
        <v>532</v>
      </c>
      <c r="E46" s="281" t="s">
        <v>152</v>
      </c>
      <c r="F46" s="284" t="s">
        <v>424</v>
      </c>
      <c r="G46" s="280" t="s">
        <v>321</v>
      </c>
      <c r="H46" s="391" t="s">
        <v>1113</v>
      </c>
      <c r="I46" s="282" t="s">
        <v>934</v>
      </c>
      <c r="J46" s="285">
        <v>43444</v>
      </c>
      <c r="K46" s="280" t="s">
        <v>425</v>
      </c>
      <c r="L46" s="286">
        <v>1</v>
      </c>
      <c r="M46" s="285"/>
      <c r="N46" s="285"/>
      <c r="O46" s="280" t="s">
        <v>80</v>
      </c>
      <c r="P46" s="287">
        <v>18500000</v>
      </c>
      <c r="Q46" s="288"/>
    </row>
    <row r="47" spans="1:17" s="223" customFormat="1" ht="14.1" customHeight="1">
      <c r="A47" s="262"/>
      <c r="B47" s="279">
        <v>38</v>
      </c>
      <c r="C47" s="280"/>
      <c r="D47" s="280" t="s">
        <v>533</v>
      </c>
      <c r="E47" s="281" t="s">
        <v>221</v>
      </c>
      <c r="F47" s="284" t="s">
        <v>424</v>
      </c>
      <c r="G47" s="280" t="s">
        <v>321</v>
      </c>
      <c r="H47" s="391" t="s">
        <v>1114</v>
      </c>
      <c r="I47" s="282" t="s">
        <v>936</v>
      </c>
      <c r="J47" s="285">
        <v>43048</v>
      </c>
      <c r="K47" s="280" t="s">
        <v>425</v>
      </c>
      <c r="L47" s="286">
        <v>1</v>
      </c>
      <c r="M47" s="285"/>
      <c r="N47" s="285"/>
      <c r="O47" s="280" t="s">
        <v>80</v>
      </c>
      <c r="P47" s="287">
        <v>33928686</v>
      </c>
      <c r="Q47" s="288"/>
    </row>
    <row r="48" spans="1:17" s="223" customFormat="1" ht="14.1" customHeight="1">
      <c r="A48" s="262"/>
      <c r="B48" s="279">
        <v>39</v>
      </c>
      <c r="C48" s="280"/>
      <c r="D48" s="280" t="s">
        <v>538</v>
      </c>
      <c r="E48" s="281" t="s">
        <v>173</v>
      </c>
      <c r="F48" s="284" t="s">
        <v>424</v>
      </c>
      <c r="G48" s="280" t="s">
        <v>321</v>
      </c>
      <c r="H48" s="391" t="s">
        <v>1115</v>
      </c>
      <c r="I48" s="282" t="s">
        <v>347</v>
      </c>
      <c r="J48" s="285">
        <v>44309</v>
      </c>
      <c r="K48" s="280" t="s">
        <v>425</v>
      </c>
      <c r="L48" s="286">
        <v>1</v>
      </c>
      <c r="M48" s="285"/>
      <c r="N48" s="285"/>
      <c r="O48" s="280" t="s">
        <v>80</v>
      </c>
      <c r="P48" s="287">
        <v>21000000</v>
      </c>
      <c r="Q48" s="288"/>
    </row>
    <row r="49" spans="1:17" s="223" customFormat="1" ht="14.1" customHeight="1">
      <c r="A49" s="262"/>
      <c r="B49" s="279">
        <v>40</v>
      </c>
      <c r="C49" s="280"/>
      <c r="D49" s="280" t="s">
        <v>540</v>
      </c>
      <c r="E49" s="281" t="s">
        <v>175</v>
      </c>
      <c r="F49" s="284" t="s">
        <v>424</v>
      </c>
      <c r="G49" s="280" t="s">
        <v>321</v>
      </c>
      <c r="H49" s="391" t="s">
        <v>1116</v>
      </c>
      <c r="I49" s="282" t="s">
        <v>359</v>
      </c>
      <c r="J49" s="285">
        <v>43229</v>
      </c>
      <c r="K49" s="280" t="s">
        <v>425</v>
      </c>
      <c r="L49" s="286">
        <v>1</v>
      </c>
      <c r="M49" s="285"/>
      <c r="N49" s="285"/>
      <c r="O49" s="280" t="s">
        <v>80</v>
      </c>
      <c r="P49" s="287">
        <v>6914942</v>
      </c>
      <c r="Q49" s="288"/>
    </row>
    <row r="50" spans="1:17" s="223" customFormat="1" ht="14.1" customHeight="1">
      <c r="A50" s="262"/>
      <c r="B50" s="279">
        <v>41</v>
      </c>
      <c r="C50" s="280"/>
      <c r="D50" s="280" t="s">
        <v>541</v>
      </c>
      <c r="E50" s="281" t="s">
        <v>168</v>
      </c>
      <c r="F50" s="284" t="s">
        <v>424</v>
      </c>
      <c r="G50" s="280" t="s">
        <v>321</v>
      </c>
      <c r="H50" s="391" t="s">
        <v>1117</v>
      </c>
      <c r="I50" s="282" t="s">
        <v>945</v>
      </c>
      <c r="J50" s="285">
        <v>43820</v>
      </c>
      <c r="K50" s="280" t="s">
        <v>425</v>
      </c>
      <c r="L50" s="286">
        <v>1</v>
      </c>
      <c r="M50" s="285"/>
      <c r="N50" s="285"/>
      <c r="O50" s="280" t="s">
        <v>80</v>
      </c>
      <c r="P50" s="287">
        <v>14692850</v>
      </c>
      <c r="Q50" s="288"/>
    </row>
    <row r="51" spans="1:17" s="223" customFormat="1" ht="14.1" customHeight="1">
      <c r="A51" s="262"/>
      <c r="B51" s="279">
        <v>42</v>
      </c>
      <c r="C51" s="280"/>
      <c r="D51" s="280" t="s">
        <v>543</v>
      </c>
      <c r="E51" s="281" t="s">
        <v>109</v>
      </c>
      <c r="F51" s="284" t="s">
        <v>424</v>
      </c>
      <c r="G51" s="280" t="s">
        <v>321</v>
      </c>
      <c r="H51" s="391" t="s">
        <v>1188</v>
      </c>
      <c r="I51" s="282" t="s">
        <v>948</v>
      </c>
      <c r="J51" s="285">
        <v>42444</v>
      </c>
      <c r="K51" s="280" t="s">
        <v>425</v>
      </c>
      <c r="L51" s="286">
        <v>1</v>
      </c>
      <c r="M51" s="285"/>
      <c r="N51" s="285"/>
      <c r="O51" s="280" t="s">
        <v>80</v>
      </c>
      <c r="P51" s="287">
        <v>854114</v>
      </c>
      <c r="Q51" s="288"/>
    </row>
    <row r="52" spans="1:17" s="223" customFormat="1" ht="14.1" customHeight="1">
      <c r="A52" s="262"/>
      <c r="B52" s="279">
        <v>43</v>
      </c>
      <c r="C52" s="280"/>
      <c r="D52" s="280" t="s">
        <v>545</v>
      </c>
      <c r="E52" s="281" t="s">
        <v>148</v>
      </c>
      <c r="F52" s="284" t="s">
        <v>424</v>
      </c>
      <c r="G52" s="280" t="s">
        <v>321</v>
      </c>
      <c r="H52" s="391" t="s">
        <v>1118</v>
      </c>
      <c r="I52" s="282" t="s">
        <v>950</v>
      </c>
      <c r="J52" s="285">
        <v>44854</v>
      </c>
      <c r="K52" s="280" t="s">
        <v>425</v>
      </c>
      <c r="L52" s="286">
        <v>1</v>
      </c>
      <c r="M52" s="285"/>
      <c r="N52" s="285"/>
      <c r="O52" s="280" t="s">
        <v>80</v>
      </c>
      <c r="P52" s="287">
        <v>22560438</v>
      </c>
      <c r="Q52" s="288"/>
    </row>
    <row r="53" spans="1:17" s="223" customFormat="1" ht="14.1" customHeight="1">
      <c r="A53" s="262"/>
      <c r="B53" s="279">
        <v>44</v>
      </c>
      <c r="C53" s="280"/>
      <c r="D53" s="280" t="s">
        <v>546</v>
      </c>
      <c r="E53" s="281" t="s">
        <v>208</v>
      </c>
      <c r="F53" s="284" t="s">
        <v>424</v>
      </c>
      <c r="G53" s="280" t="s">
        <v>321</v>
      </c>
      <c r="H53" s="391" t="s">
        <v>1119</v>
      </c>
      <c r="I53" s="282" t="s">
        <v>326</v>
      </c>
      <c r="J53" s="285">
        <v>42749</v>
      </c>
      <c r="K53" s="280" t="s">
        <v>425</v>
      </c>
      <c r="L53" s="286">
        <v>1</v>
      </c>
      <c r="M53" s="285"/>
      <c r="N53" s="285"/>
      <c r="O53" s="280" t="s">
        <v>80</v>
      </c>
      <c r="P53" s="287">
        <v>14000000</v>
      </c>
      <c r="Q53" s="288"/>
    </row>
    <row r="54" spans="1:17" s="223" customFormat="1" ht="14.1" customHeight="1">
      <c r="A54" s="262"/>
      <c r="B54" s="279">
        <v>45</v>
      </c>
      <c r="C54" s="280"/>
      <c r="D54" s="280" t="s">
        <v>547</v>
      </c>
      <c r="E54" s="281" t="s">
        <v>109</v>
      </c>
      <c r="F54" s="284" t="s">
        <v>424</v>
      </c>
      <c r="G54" s="280" t="s">
        <v>325</v>
      </c>
      <c r="H54" s="391" t="s">
        <v>1120</v>
      </c>
      <c r="I54" s="282" t="s">
        <v>953</v>
      </c>
      <c r="J54" s="285">
        <v>43014</v>
      </c>
      <c r="K54" s="280" t="s">
        <v>425</v>
      </c>
      <c r="L54" s="286">
        <v>1</v>
      </c>
      <c r="M54" s="285"/>
      <c r="N54" s="285"/>
      <c r="O54" s="280" t="s">
        <v>80</v>
      </c>
      <c r="P54" s="287">
        <v>13092583</v>
      </c>
      <c r="Q54" s="288"/>
    </row>
    <row r="55" spans="1:17" s="223" customFormat="1" ht="14.1" customHeight="1">
      <c r="A55" s="262"/>
      <c r="B55" s="279">
        <v>46</v>
      </c>
      <c r="C55" s="280"/>
      <c r="D55" s="280" t="s">
        <v>548</v>
      </c>
      <c r="E55" s="281" t="s">
        <v>151</v>
      </c>
      <c r="F55" s="284" t="s">
        <v>424</v>
      </c>
      <c r="G55" s="280" t="s">
        <v>321</v>
      </c>
      <c r="H55" s="391" t="s">
        <v>1121</v>
      </c>
      <c r="I55" s="282" t="s">
        <v>954</v>
      </c>
      <c r="J55" s="285">
        <v>43912</v>
      </c>
      <c r="K55" s="280" t="s">
        <v>425</v>
      </c>
      <c r="L55" s="286">
        <v>1</v>
      </c>
      <c r="M55" s="285"/>
      <c r="N55" s="285"/>
      <c r="O55" s="280" t="s">
        <v>80</v>
      </c>
      <c r="P55" s="287">
        <v>23549120</v>
      </c>
      <c r="Q55" s="288"/>
    </row>
    <row r="56" spans="1:17" s="223" customFormat="1" ht="14.1" customHeight="1">
      <c r="A56" s="262"/>
      <c r="B56" s="279">
        <v>47</v>
      </c>
      <c r="C56" s="280"/>
      <c r="D56" s="280" t="s">
        <v>549</v>
      </c>
      <c r="E56" s="281" t="s">
        <v>236</v>
      </c>
      <c r="F56" s="284" t="s">
        <v>424</v>
      </c>
      <c r="G56" s="280" t="s">
        <v>321</v>
      </c>
      <c r="H56" s="391" t="s">
        <v>1122</v>
      </c>
      <c r="I56" s="282" t="s">
        <v>955</v>
      </c>
      <c r="J56" s="285">
        <v>45301</v>
      </c>
      <c r="K56" s="280" t="s">
        <v>425</v>
      </c>
      <c r="L56" s="286">
        <v>1</v>
      </c>
      <c r="M56" s="285"/>
      <c r="N56" s="285"/>
      <c r="O56" s="280" t="s">
        <v>80</v>
      </c>
      <c r="P56" s="287">
        <v>24474144</v>
      </c>
      <c r="Q56" s="288"/>
    </row>
    <row r="57" spans="1:17" s="223" customFormat="1" ht="14.1" customHeight="1">
      <c r="A57" s="262"/>
      <c r="B57" s="279">
        <v>48</v>
      </c>
      <c r="C57" s="280"/>
      <c r="D57" s="280" t="s">
        <v>550</v>
      </c>
      <c r="E57" s="281" t="s">
        <v>668</v>
      </c>
      <c r="F57" s="284" t="s">
        <v>424</v>
      </c>
      <c r="G57" s="280" t="s">
        <v>321</v>
      </c>
      <c r="H57" s="391" t="s">
        <v>1123</v>
      </c>
      <c r="I57" s="282" t="s">
        <v>956</v>
      </c>
      <c r="J57" s="285">
        <v>44834</v>
      </c>
      <c r="K57" s="280" t="s">
        <v>425</v>
      </c>
      <c r="L57" s="286">
        <v>1</v>
      </c>
      <c r="M57" s="285"/>
      <c r="N57" s="285"/>
      <c r="O57" s="280" t="s">
        <v>80</v>
      </c>
      <c r="P57" s="287">
        <v>32995357</v>
      </c>
      <c r="Q57" s="288"/>
    </row>
    <row r="58" spans="1:17" s="223" customFormat="1" ht="14.1" customHeight="1">
      <c r="A58" s="262"/>
      <c r="B58" s="279">
        <v>49</v>
      </c>
      <c r="C58" s="280"/>
      <c r="D58" s="280" t="s">
        <v>551</v>
      </c>
      <c r="E58" s="281" t="s">
        <v>669</v>
      </c>
      <c r="F58" s="284" t="s">
        <v>424</v>
      </c>
      <c r="G58" s="280" t="s">
        <v>321</v>
      </c>
      <c r="H58" s="391" t="s">
        <v>1124</v>
      </c>
      <c r="I58" s="282" t="s">
        <v>957</v>
      </c>
      <c r="J58" s="285">
        <v>46377</v>
      </c>
      <c r="K58" s="280" t="s">
        <v>425</v>
      </c>
      <c r="L58" s="286">
        <v>1</v>
      </c>
      <c r="M58" s="285"/>
      <c r="N58" s="285"/>
      <c r="O58" s="280" t="s">
        <v>80</v>
      </c>
      <c r="P58" s="287">
        <v>19454624</v>
      </c>
      <c r="Q58" s="288"/>
    </row>
    <row r="59" spans="1:17" s="223" customFormat="1" ht="14.1" customHeight="1">
      <c r="A59" s="262"/>
      <c r="B59" s="279">
        <v>50</v>
      </c>
      <c r="C59" s="280"/>
      <c r="D59" s="280" t="s">
        <v>552</v>
      </c>
      <c r="E59" s="281" t="s">
        <v>109</v>
      </c>
      <c r="F59" s="284" t="s">
        <v>424</v>
      </c>
      <c r="G59" s="280" t="s">
        <v>321</v>
      </c>
      <c r="H59" s="391" t="s">
        <v>1125</v>
      </c>
      <c r="I59" s="282" t="s">
        <v>960</v>
      </c>
      <c r="J59" s="285">
        <v>42612</v>
      </c>
      <c r="K59" s="280" t="s">
        <v>425</v>
      </c>
      <c r="L59" s="286">
        <v>1</v>
      </c>
      <c r="M59" s="285"/>
      <c r="N59" s="285"/>
      <c r="O59" s="280" t="s">
        <v>80</v>
      </c>
      <c r="P59" s="287">
        <v>2499748</v>
      </c>
      <c r="Q59" s="288"/>
    </row>
    <row r="60" spans="1:17" s="223" customFormat="1" ht="14.1" customHeight="1">
      <c r="A60" s="262"/>
      <c r="B60" s="279">
        <v>51</v>
      </c>
      <c r="C60" s="280"/>
      <c r="D60" s="280" t="s">
        <v>553</v>
      </c>
      <c r="E60" s="281" t="s">
        <v>226</v>
      </c>
      <c r="F60" s="284" t="s">
        <v>424</v>
      </c>
      <c r="G60" s="280" t="s">
        <v>321</v>
      </c>
      <c r="H60" s="391" t="s">
        <v>1126</v>
      </c>
      <c r="I60" s="282" t="s">
        <v>961</v>
      </c>
      <c r="J60" s="285">
        <v>44520</v>
      </c>
      <c r="K60" s="280" t="s">
        <v>425</v>
      </c>
      <c r="L60" s="286">
        <v>1</v>
      </c>
      <c r="M60" s="285"/>
      <c r="N60" s="285"/>
      <c r="O60" s="280" t="s">
        <v>80</v>
      </c>
      <c r="P60" s="287">
        <v>19457344</v>
      </c>
      <c r="Q60" s="288"/>
    </row>
    <row r="61" spans="1:17" s="223" customFormat="1" ht="14.1" customHeight="1">
      <c r="A61" s="262"/>
      <c r="B61" s="279">
        <v>52</v>
      </c>
      <c r="C61" s="280"/>
      <c r="D61" s="280" t="s">
        <v>555</v>
      </c>
      <c r="E61" s="281" t="s">
        <v>152</v>
      </c>
      <c r="F61" s="284" t="s">
        <v>424</v>
      </c>
      <c r="G61" s="280" t="s">
        <v>321</v>
      </c>
      <c r="H61" s="391" t="s">
        <v>1127</v>
      </c>
      <c r="I61" s="282" t="s">
        <v>1187</v>
      </c>
      <c r="J61" s="285">
        <v>42844</v>
      </c>
      <c r="K61" s="280" t="s">
        <v>425</v>
      </c>
      <c r="L61" s="286">
        <v>1</v>
      </c>
      <c r="M61" s="285"/>
      <c r="N61" s="285"/>
      <c r="O61" s="280" t="s">
        <v>80</v>
      </c>
      <c r="P61" s="287">
        <v>4610920</v>
      </c>
      <c r="Q61" s="288"/>
    </row>
    <row r="62" spans="1:17" s="223" customFormat="1" ht="14.1" customHeight="1">
      <c r="A62" s="262"/>
      <c r="B62" s="279">
        <v>53</v>
      </c>
      <c r="C62" s="280"/>
      <c r="D62" s="280" t="s">
        <v>558</v>
      </c>
      <c r="E62" s="281" t="s">
        <v>202</v>
      </c>
      <c r="F62" s="284" t="s">
        <v>424</v>
      </c>
      <c r="G62" s="280" t="s">
        <v>321</v>
      </c>
      <c r="H62" s="391" t="s">
        <v>1128</v>
      </c>
      <c r="I62" s="282" t="s">
        <v>870</v>
      </c>
      <c r="J62" s="285">
        <v>43111</v>
      </c>
      <c r="K62" s="280" t="s">
        <v>425</v>
      </c>
      <c r="L62" s="286">
        <v>1</v>
      </c>
      <c r="M62" s="285"/>
      <c r="N62" s="285"/>
      <c r="O62" s="280" t="s">
        <v>80</v>
      </c>
      <c r="P62" s="287">
        <v>13617875</v>
      </c>
      <c r="Q62" s="288"/>
    </row>
    <row r="63" spans="1:17" s="223" customFormat="1" ht="14.1" customHeight="1">
      <c r="A63" s="262"/>
      <c r="B63" s="279">
        <v>54</v>
      </c>
      <c r="C63" s="280"/>
      <c r="D63" s="280" t="s">
        <v>562</v>
      </c>
      <c r="E63" s="281" t="s">
        <v>109</v>
      </c>
      <c r="F63" s="284" t="s">
        <v>424</v>
      </c>
      <c r="G63" s="280" t="s">
        <v>321</v>
      </c>
      <c r="H63" s="391" t="s">
        <v>1129</v>
      </c>
      <c r="I63" s="282" t="s">
        <v>976</v>
      </c>
      <c r="J63" s="285">
        <v>45844</v>
      </c>
      <c r="K63" s="280" t="s">
        <v>425</v>
      </c>
      <c r="L63" s="286">
        <v>1</v>
      </c>
      <c r="M63" s="285"/>
      <c r="N63" s="285"/>
      <c r="O63" s="280" t="s">
        <v>80</v>
      </c>
      <c r="P63" s="287">
        <v>25167773</v>
      </c>
      <c r="Q63" s="288"/>
    </row>
    <row r="64" spans="1:17" s="223" customFormat="1" ht="14.1" customHeight="1">
      <c r="A64" s="262"/>
      <c r="B64" s="279">
        <v>55</v>
      </c>
      <c r="C64" s="280"/>
      <c r="D64" s="280" t="s">
        <v>564</v>
      </c>
      <c r="E64" s="281" t="s">
        <v>138</v>
      </c>
      <c r="F64" s="284" t="s">
        <v>424</v>
      </c>
      <c r="G64" s="280" t="s">
        <v>321</v>
      </c>
      <c r="H64" s="391" t="s">
        <v>1130</v>
      </c>
      <c r="I64" s="282" t="s">
        <v>768</v>
      </c>
      <c r="J64" s="285">
        <v>46138</v>
      </c>
      <c r="K64" s="280" t="s">
        <v>425</v>
      </c>
      <c r="L64" s="286">
        <v>1</v>
      </c>
      <c r="M64" s="285"/>
      <c r="N64" s="285"/>
      <c r="O64" s="280" t="s">
        <v>80</v>
      </c>
      <c r="P64" s="287">
        <v>14250000</v>
      </c>
      <c r="Q64" s="288"/>
    </row>
    <row r="65" spans="1:17" s="223" customFormat="1" ht="14.1" customHeight="1">
      <c r="A65" s="262"/>
      <c r="B65" s="279">
        <v>56</v>
      </c>
      <c r="C65" s="280"/>
      <c r="D65" s="280" t="s">
        <v>565</v>
      </c>
      <c r="E65" s="281" t="s">
        <v>109</v>
      </c>
      <c r="F65" s="284" t="s">
        <v>424</v>
      </c>
      <c r="G65" s="280" t="s">
        <v>321</v>
      </c>
      <c r="H65" s="391" t="s">
        <v>1131</v>
      </c>
      <c r="I65" s="282" t="s">
        <v>977</v>
      </c>
      <c r="J65" s="285">
        <v>44983</v>
      </c>
      <c r="K65" s="280" t="s">
        <v>425</v>
      </c>
      <c r="L65" s="286">
        <v>1</v>
      </c>
      <c r="M65" s="285"/>
      <c r="N65" s="285"/>
      <c r="O65" s="280" t="s">
        <v>80</v>
      </c>
      <c r="P65" s="287">
        <v>25208401</v>
      </c>
      <c r="Q65" s="288"/>
    </row>
    <row r="66" spans="1:17" s="223" customFormat="1" ht="14.1" customHeight="1">
      <c r="A66" s="262"/>
      <c r="B66" s="279">
        <v>57</v>
      </c>
      <c r="C66" s="280"/>
      <c r="D66" s="280" t="s">
        <v>567</v>
      </c>
      <c r="E66" s="281" t="s">
        <v>234</v>
      </c>
      <c r="F66" s="284" t="s">
        <v>424</v>
      </c>
      <c r="G66" s="280" t="s">
        <v>321</v>
      </c>
      <c r="H66" s="391" t="s">
        <v>1132</v>
      </c>
      <c r="I66" s="282" t="s">
        <v>344</v>
      </c>
      <c r="J66" s="285">
        <v>48211</v>
      </c>
      <c r="K66" s="280" t="s">
        <v>425</v>
      </c>
      <c r="L66" s="286">
        <v>1</v>
      </c>
      <c r="M66" s="285"/>
      <c r="N66" s="285"/>
      <c r="O66" s="280" t="s">
        <v>80</v>
      </c>
      <c r="P66" s="287">
        <v>25124982</v>
      </c>
      <c r="Q66" s="288"/>
    </row>
    <row r="67" spans="1:17" s="223" customFormat="1" ht="14.1" customHeight="1">
      <c r="A67" s="262"/>
      <c r="B67" s="279">
        <v>58</v>
      </c>
      <c r="C67" s="280"/>
      <c r="D67" s="280" t="s">
        <v>567</v>
      </c>
      <c r="E67" s="281" t="s">
        <v>234</v>
      </c>
      <c r="F67" s="284" t="s">
        <v>424</v>
      </c>
      <c r="G67" s="280" t="s">
        <v>321</v>
      </c>
      <c r="H67" s="391" t="s">
        <v>1133</v>
      </c>
      <c r="I67" s="282" t="s">
        <v>889</v>
      </c>
      <c r="J67" s="285">
        <v>47431</v>
      </c>
      <c r="K67" s="280" t="s">
        <v>425</v>
      </c>
      <c r="L67" s="286">
        <v>1</v>
      </c>
      <c r="M67" s="285"/>
      <c r="N67" s="285"/>
      <c r="O67" s="280" t="s">
        <v>80</v>
      </c>
      <c r="P67" s="287">
        <v>22097726</v>
      </c>
      <c r="Q67" s="288"/>
    </row>
    <row r="68" spans="1:17" s="223" customFormat="1" ht="14.1" customHeight="1">
      <c r="A68" s="262"/>
      <c r="B68" s="279">
        <v>59</v>
      </c>
      <c r="C68" s="280"/>
      <c r="D68" s="280" t="s">
        <v>568</v>
      </c>
      <c r="E68" s="281" t="s">
        <v>663</v>
      </c>
      <c r="F68" s="284" t="s">
        <v>424</v>
      </c>
      <c r="G68" s="280" t="s">
        <v>321</v>
      </c>
      <c r="H68" s="391" t="s">
        <v>1134</v>
      </c>
      <c r="I68" s="282" t="s">
        <v>978</v>
      </c>
      <c r="J68" s="285">
        <v>50395</v>
      </c>
      <c r="K68" s="280" t="s">
        <v>425</v>
      </c>
      <c r="L68" s="286">
        <v>1</v>
      </c>
      <c r="M68" s="285"/>
      <c r="N68" s="285"/>
      <c r="O68" s="280" t="s">
        <v>80</v>
      </c>
      <c r="P68" s="287">
        <v>31139066</v>
      </c>
      <c r="Q68" s="288"/>
    </row>
    <row r="69" spans="1:17" s="223" customFormat="1" ht="14.1" customHeight="1">
      <c r="A69" s="262"/>
      <c r="B69" s="279">
        <v>60</v>
      </c>
      <c r="C69" s="280"/>
      <c r="D69" s="280" t="s">
        <v>569</v>
      </c>
      <c r="E69" s="281" t="s">
        <v>109</v>
      </c>
      <c r="F69" s="284" t="s">
        <v>424</v>
      </c>
      <c r="G69" s="280" t="s">
        <v>321</v>
      </c>
      <c r="H69" s="391" t="s">
        <v>1135</v>
      </c>
      <c r="I69" s="282" t="s">
        <v>979</v>
      </c>
      <c r="J69" s="285">
        <v>45530</v>
      </c>
      <c r="K69" s="280" t="s">
        <v>425</v>
      </c>
      <c r="L69" s="286">
        <v>1</v>
      </c>
      <c r="M69" s="285"/>
      <c r="N69" s="285"/>
      <c r="O69" s="280" t="s">
        <v>80</v>
      </c>
      <c r="P69" s="287">
        <v>20000000</v>
      </c>
      <c r="Q69" s="288"/>
    </row>
    <row r="70" spans="1:17" s="223" customFormat="1" ht="14.1" customHeight="1">
      <c r="A70" s="262"/>
      <c r="B70" s="279">
        <v>61</v>
      </c>
      <c r="C70" s="280"/>
      <c r="D70" s="280" t="s">
        <v>572</v>
      </c>
      <c r="E70" s="281" t="s">
        <v>179</v>
      </c>
      <c r="F70" s="284" t="s">
        <v>424</v>
      </c>
      <c r="G70" s="280" t="s">
        <v>321</v>
      </c>
      <c r="H70" s="391" t="s">
        <v>1136</v>
      </c>
      <c r="I70" s="282" t="s">
        <v>986</v>
      </c>
      <c r="J70" s="285">
        <v>43827</v>
      </c>
      <c r="K70" s="280" t="s">
        <v>425</v>
      </c>
      <c r="L70" s="286">
        <v>1</v>
      </c>
      <c r="M70" s="285"/>
      <c r="N70" s="285"/>
      <c r="O70" s="280" t="s">
        <v>80</v>
      </c>
      <c r="P70" s="287">
        <v>3029588</v>
      </c>
      <c r="Q70" s="288"/>
    </row>
    <row r="71" spans="1:17" s="223" customFormat="1" ht="14.1" customHeight="1">
      <c r="A71" s="262"/>
      <c r="B71" s="279">
        <v>62</v>
      </c>
      <c r="C71" s="280"/>
      <c r="D71" s="280" t="s">
        <v>573</v>
      </c>
      <c r="E71" s="281" t="s">
        <v>152</v>
      </c>
      <c r="F71" s="284" t="s">
        <v>424</v>
      </c>
      <c r="G71" s="280" t="s">
        <v>321</v>
      </c>
      <c r="H71" s="391" t="s">
        <v>1137</v>
      </c>
      <c r="I71" s="282" t="s">
        <v>787</v>
      </c>
      <c r="J71" s="285">
        <v>46385</v>
      </c>
      <c r="K71" s="280" t="s">
        <v>425</v>
      </c>
      <c r="L71" s="286">
        <v>1</v>
      </c>
      <c r="M71" s="285"/>
      <c r="N71" s="285"/>
      <c r="O71" s="280" t="s">
        <v>80</v>
      </c>
      <c r="P71" s="287">
        <v>24655628</v>
      </c>
      <c r="Q71" s="288"/>
    </row>
    <row r="72" spans="1:17" s="223" customFormat="1" ht="14.1" customHeight="1">
      <c r="A72" s="262"/>
      <c r="B72" s="279">
        <v>63</v>
      </c>
      <c r="C72" s="280"/>
      <c r="D72" s="280" t="s">
        <v>574</v>
      </c>
      <c r="E72" s="281" t="s">
        <v>152</v>
      </c>
      <c r="F72" s="284" t="s">
        <v>424</v>
      </c>
      <c r="G72" s="280" t="s">
        <v>321</v>
      </c>
      <c r="H72" s="391" t="s">
        <v>1138</v>
      </c>
      <c r="I72" s="282" t="s">
        <v>987</v>
      </c>
      <c r="J72" s="285">
        <v>49214</v>
      </c>
      <c r="K72" s="280" t="s">
        <v>425</v>
      </c>
      <c r="L72" s="286">
        <v>1</v>
      </c>
      <c r="M72" s="285"/>
      <c r="N72" s="285"/>
      <c r="O72" s="280" t="s">
        <v>80</v>
      </c>
      <c r="P72" s="287">
        <v>48104352</v>
      </c>
      <c r="Q72" s="288"/>
    </row>
    <row r="73" spans="1:17" s="223" customFormat="1" ht="14.1" customHeight="1">
      <c r="A73" s="262"/>
      <c r="B73" s="279">
        <v>64</v>
      </c>
      <c r="C73" s="280"/>
      <c r="D73" s="280" t="s">
        <v>576</v>
      </c>
      <c r="E73" s="281" t="s">
        <v>672</v>
      </c>
      <c r="F73" s="284" t="s">
        <v>424</v>
      </c>
      <c r="G73" s="280" t="s">
        <v>321</v>
      </c>
      <c r="H73" s="391" t="s">
        <v>1139</v>
      </c>
      <c r="I73" s="282" t="s">
        <v>989</v>
      </c>
      <c r="J73" s="285">
        <v>46452</v>
      </c>
      <c r="K73" s="280" t="s">
        <v>425</v>
      </c>
      <c r="L73" s="286">
        <v>1</v>
      </c>
      <c r="M73" s="285"/>
      <c r="N73" s="285"/>
      <c r="O73" s="280" t="s">
        <v>80</v>
      </c>
      <c r="P73" s="287">
        <v>28490000</v>
      </c>
      <c r="Q73" s="288"/>
    </row>
    <row r="74" spans="1:17" s="223" customFormat="1" ht="14.1" customHeight="1">
      <c r="A74" s="262"/>
      <c r="B74" s="279">
        <v>65</v>
      </c>
      <c r="C74" s="280"/>
      <c r="D74" s="280" t="s">
        <v>577</v>
      </c>
      <c r="E74" s="281" t="s">
        <v>673</v>
      </c>
      <c r="F74" s="284" t="s">
        <v>424</v>
      </c>
      <c r="G74" s="280" t="s">
        <v>321</v>
      </c>
      <c r="H74" s="391" t="s">
        <v>1140</v>
      </c>
      <c r="I74" s="282" t="s">
        <v>323</v>
      </c>
      <c r="J74" s="285">
        <v>42870</v>
      </c>
      <c r="K74" s="280" t="s">
        <v>425</v>
      </c>
      <c r="L74" s="286">
        <v>1</v>
      </c>
      <c r="M74" s="285"/>
      <c r="N74" s="285"/>
      <c r="O74" s="280" t="s">
        <v>80</v>
      </c>
      <c r="P74" s="287">
        <v>5404668</v>
      </c>
      <c r="Q74" s="288"/>
    </row>
    <row r="75" spans="1:17" s="223" customFormat="1" ht="14.1" customHeight="1">
      <c r="A75" s="262"/>
      <c r="B75" s="279">
        <v>66</v>
      </c>
      <c r="C75" s="280"/>
      <c r="D75" s="280" t="s">
        <v>578</v>
      </c>
      <c r="E75" s="281" t="s">
        <v>148</v>
      </c>
      <c r="F75" s="284" t="s">
        <v>424</v>
      </c>
      <c r="G75" s="280" t="s">
        <v>321</v>
      </c>
      <c r="H75" s="391" t="s">
        <v>1141</v>
      </c>
      <c r="I75" s="282" t="s">
        <v>990</v>
      </c>
      <c r="J75" s="285">
        <v>45315</v>
      </c>
      <c r="K75" s="280" t="s">
        <v>425</v>
      </c>
      <c r="L75" s="286">
        <v>1</v>
      </c>
      <c r="M75" s="285"/>
      <c r="N75" s="285"/>
      <c r="O75" s="280" t="s">
        <v>80</v>
      </c>
      <c r="P75" s="287">
        <v>22222184</v>
      </c>
      <c r="Q75" s="288"/>
    </row>
    <row r="76" spans="1:17" s="223" customFormat="1" ht="14.1" customHeight="1">
      <c r="A76" s="262"/>
      <c r="B76" s="279">
        <v>67</v>
      </c>
      <c r="C76" s="280"/>
      <c r="D76" s="280" t="s">
        <v>579</v>
      </c>
      <c r="E76" s="281" t="s">
        <v>152</v>
      </c>
      <c r="F76" s="284" t="s">
        <v>424</v>
      </c>
      <c r="G76" s="280" t="s">
        <v>321</v>
      </c>
      <c r="H76" s="391" t="s">
        <v>1142</v>
      </c>
      <c r="I76" s="282" t="s">
        <v>788</v>
      </c>
      <c r="J76" s="285">
        <v>42413</v>
      </c>
      <c r="K76" s="280" t="s">
        <v>425</v>
      </c>
      <c r="L76" s="286">
        <v>1</v>
      </c>
      <c r="M76" s="285"/>
      <c r="N76" s="285"/>
      <c r="O76" s="280" t="s">
        <v>80</v>
      </c>
      <c r="P76" s="287">
        <v>11000000</v>
      </c>
      <c r="Q76" s="288"/>
    </row>
    <row r="77" spans="1:17" s="223" customFormat="1" ht="14.1" customHeight="1">
      <c r="A77" s="262"/>
      <c r="B77" s="279">
        <v>68</v>
      </c>
      <c r="C77" s="280"/>
      <c r="D77" s="280" t="s">
        <v>580</v>
      </c>
      <c r="E77" s="281" t="s">
        <v>214</v>
      </c>
      <c r="F77" s="284" t="s">
        <v>424</v>
      </c>
      <c r="G77" s="280" t="s">
        <v>321</v>
      </c>
      <c r="H77" s="391" t="s">
        <v>1143</v>
      </c>
      <c r="I77" s="282" t="s">
        <v>991</v>
      </c>
      <c r="J77" s="285">
        <v>46930</v>
      </c>
      <c r="K77" s="280" t="s">
        <v>425</v>
      </c>
      <c r="L77" s="286">
        <v>1</v>
      </c>
      <c r="M77" s="285"/>
      <c r="N77" s="285"/>
      <c r="O77" s="280" t="s">
        <v>80</v>
      </c>
      <c r="P77" s="287">
        <v>24751222</v>
      </c>
      <c r="Q77" s="288"/>
    </row>
    <row r="78" spans="1:17" s="223" customFormat="1" ht="14.1" customHeight="1">
      <c r="A78" s="262"/>
      <c r="B78" s="279">
        <v>69</v>
      </c>
      <c r="C78" s="280"/>
      <c r="D78" s="280" t="s">
        <v>581</v>
      </c>
      <c r="E78" s="281" t="s">
        <v>674</v>
      </c>
      <c r="F78" s="284" t="s">
        <v>424</v>
      </c>
      <c r="G78" s="280" t="s">
        <v>321</v>
      </c>
      <c r="H78" s="391" t="s">
        <v>1144</v>
      </c>
      <c r="I78" s="282" t="s">
        <v>992</v>
      </c>
      <c r="J78" s="285">
        <v>45248</v>
      </c>
      <c r="K78" s="280" t="s">
        <v>425</v>
      </c>
      <c r="L78" s="286">
        <v>1</v>
      </c>
      <c r="M78" s="285"/>
      <c r="N78" s="285"/>
      <c r="O78" s="280" t="s">
        <v>80</v>
      </c>
      <c r="P78" s="287">
        <v>24000000</v>
      </c>
      <c r="Q78" s="288"/>
    </row>
    <row r="79" spans="1:17" s="223" customFormat="1" ht="14.1" customHeight="1">
      <c r="A79" s="262"/>
      <c r="B79" s="279">
        <v>70</v>
      </c>
      <c r="C79" s="280"/>
      <c r="D79" s="280" t="s">
        <v>584</v>
      </c>
      <c r="E79" s="281" t="s">
        <v>214</v>
      </c>
      <c r="F79" s="284" t="s">
        <v>424</v>
      </c>
      <c r="G79" s="280" t="s">
        <v>321</v>
      </c>
      <c r="H79" s="391" t="s">
        <v>1145</v>
      </c>
      <c r="I79" s="282" t="s">
        <v>995</v>
      </c>
      <c r="J79" s="285">
        <v>45625</v>
      </c>
      <c r="K79" s="280" t="s">
        <v>425</v>
      </c>
      <c r="L79" s="286">
        <v>1</v>
      </c>
      <c r="M79" s="285"/>
      <c r="N79" s="285"/>
      <c r="O79" s="280" t="s">
        <v>80</v>
      </c>
      <c r="P79" s="287">
        <v>20000000</v>
      </c>
      <c r="Q79" s="288"/>
    </row>
    <row r="80" spans="1:17" s="223" customFormat="1" ht="14.1" customHeight="1">
      <c r="A80" s="262"/>
      <c r="B80" s="279">
        <v>71</v>
      </c>
      <c r="C80" s="280"/>
      <c r="D80" s="280" t="s">
        <v>585</v>
      </c>
      <c r="E80" s="281" t="s">
        <v>221</v>
      </c>
      <c r="F80" s="284" t="s">
        <v>424</v>
      </c>
      <c r="G80" s="280" t="s">
        <v>321</v>
      </c>
      <c r="H80" s="391" t="s">
        <v>1146</v>
      </c>
      <c r="I80" s="282" t="s">
        <v>997</v>
      </c>
      <c r="J80" s="285">
        <v>50810</v>
      </c>
      <c r="K80" s="280" t="s">
        <v>420</v>
      </c>
      <c r="L80" s="286">
        <v>1</v>
      </c>
      <c r="M80" s="285"/>
      <c r="N80" s="285"/>
      <c r="O80" s="280" t="s">
        <v>80</v>
      </c>
      <c r="P80" s="287">
        <v>26194662</v>
      </c>
      <c r="Q80" s="288"/>
    </row>
    <row r="81" spans="1:17" s="223" customFormat="1" ht="14.1" customHeight="1">
      <c r="A81" s="262"/>
      <c r="B81" s="279">
        <v>72</v>
      </c>
      <c r="C81" s="280"/>
      <c r="D81" s="280" t="s">
        <v>587</v>
      </c>
      <c r="E81" s="281" t="s">
        <v>152</v>
      </c>
      <c r="F81" s="284" t="s">
        <v>424</v>
      </c>
      <c r="G81" s="280" t="s">
        <v>321</v>
      </c>
      <c r="H81" s="391" t="s">
        <v>1147</v>
      </c>
      <c r="I81" s="282" t="s">
        <v>999</v>
      </c>
      <c r="J81" s="285">
        <v>47375</v>
      </c>
      <c r="K81" s="280" t="s">
        <v>425</v>
      </c>
      <c r="L81" s="286">
        <v>1</v>
      </c>
      <c r="M81" s="285"/>
      <c r="N81" s="285"/>
      <c r="O81" s="280" t="s">
        <v>80</v>
      </c>
      <c r="P81" s="287">
        <v>18900000</v>
      </c>
      <c r="Q81" s="288"/>
    </row>
    <row r="82" spans="1:17" s="223" customFormat="1" ht="14.1" customHeight="1">
      <c r="A82" s="262"/>
      <c r="B82" s="279">
        <v>73</v>
      </c>
      <c r="C82" s="280"/>
      <c r="D82" s="280" t="s">
        <v>588</v>
      </c>
      <c r="E82" s="281" t="s">
        <v>152</v>
      </c>
      <c r="F82" s="284" t="s">
        <v>424</v>
      </c>
      <c r="G82" s="280" t="s">
        <v>321</v>
      </c>
      <c r="H82" s="391" t="s">
        <v>1148</v>
      </c>
      <c r="I82" s="282" t="s">
        <v>352</v>
      </c>
      <c r="J82" s="285">
        <v>48643</v>
      </c>
      <c r="K82" s="280" t="s">
        <v>425</v>
      </c>
      <c r="L82" s="286">
        <v>1</v>
      </c>
      <c r="M82" s="285"/>
      <c r="N82" s="285"/>
      <c r="O82" s="280" t="s">
        <v>80</v>
      </c>
      <c r="P82" s="287">
        <v>15274033</v>
      </c>
      <c r="Q82" s="288"/>
    </row>
    <row r="83" spans="1:17" s="223" customFormat="1" ht="14.1" customHeight="1">
      <c r="A83" s="262"/>
      <c r="B83" s="279">
        <v>74</v>
      </c>
      <c r="C83" s="280"/>
      <c r="D83" s="280" t="s">
        <v>588</v>
      </c>
      <c r="E83" s="281" t="s">
        <v>152</v>
      </c>
      <c r="F83" s="284" t="s">
        <v>424</v>
      </c>
      <c r="G83" s="280" t="s">
        <v>321</v>
      </c>
      <c r="H83" s="391" t="s">
        <v>1149</v>
      </c>
      <c r="I83" s="282" t="s">
        <v>1000</v>
      </c>
      <c r="J83" s="285">
        <v>46463</v>
      </c>
      <c r="K83" s="280" t="s">
        <v>425</v>
      </c>
      <c r="L83" s="286">
        <v>1</v>
      </c>
      <c r="M83" s="285"/>
      <c r="N83" s="285"/>
      <c r="O83" s="280" t="s">
        <v>80</v>
      </c>
      <c r="P83" s="287">
        <v>19497755</v>
      </c>
      <c r="Q83" s="288"/>
    </row>
    <row r="84" spans="1:17" s="223" customFormat="1" ht="14.1" customHeight="1">
      <c r="A84" s="262"/>
      <c r="B84" s="279">
        <v>75</v>
      </c>
      <c r="C84" s="280"/>
      <c r="D84" s="280" t="s">
        <v>589</v>
      </c>
      <c r="E84" s="281" t="s">
        <v>130</v>
      </c>
      <c r="F84" s="284" t="s">
        <v>424</v>
      </c>
      <c r="G84" s="280" t="s">
        <v>325</v>
      </c>
      <c r="H84" s="391" t="s">
        <v>1150</v>
      </c>
      <c r="I84" s="282" t="s">
        <v>982</v>
      </c>
      <c r="J84" s="285">
        <v>42740</v>
      </c>
      <c r="K84" s="280" t="s">
        <v>425</v>
      </c>
      <c r="L84" s="286">
        <v>1</v>
      </c>
      <c r="M84" s="285"/>
      <c r="N84" s="285"/>
      <c r="O84" s="280" t="s">
        <v>80</v>
      </c>
      <c r="P84" s="287">
        <v>4060529</v>
      </c>
      <c r="Q84" s="288"/>
    </row>
    <row r="85" spans="1:17" s="223" customFormat="1" ht="14.1" customHeight="1">
      <c r="A85" s="262"/>
      <c r="B85" s="279">
        <v>76</v>
      </c>
      <c r="C85" s="280"/>
      <c r="D85" s="280" t="s">
        <v>592</v>
      </c>
      <c r="E85" s="281" t="s">
        <v>208</v>
      </c>
      <c r="F85" s="284" t="s">
        <v>424</v>
      </c>
      <c r="G85" s="280" t="s">
        <v>321</v>
      </c>
      <c r="H85" s="391" t="s">
        <v>1151</v>
      </c>
      <c r="I85" s="282" t="s">
        <v>336</v>
      </c>
      <c r="J85" s="285">
        <v>44215</v>
      </c>
      <c r="K85" s="280" t="s">
        <v>425</v>
      </c>
      <c r="L85" s="286">
        <v>1</v>
      </c>
      <c r="M85" s="285"/>
      <c r="N85" s="285"/>
      <c r="O85" s="280" t="s">
        <v>80</v>
      </c>
      <c r="P85" s="287">
        <v>1000000</v>
      </c>
      <c r="Q85" s="288"/>
    </row>
    <row r="86" spans="1:17" s="223" customFormat="1" ht="14.1" customHeight="1">
      <c r="A86" s="262"/>
      <c r="B86" s="279">
        <v>77</v>
      </c>
      <c r="C86" s="280"/>
      <c r="D86" s="280" t="s">
        <v>593</v>
      </c>
      <c r="E86" s="281" t="s">
        <v>175</v>
      </c>
      <c r="F86" s="284" t="s">
        <v>424</v>
      </c>
      <c r="G86" s="280" t="s">
        <v>321</v>
      </c>
      <c r="H86" s="391" t="s">
        <v>1152</v>
      </c>
      <c r="I86" s="282" t="s">
        <v>766</v>
      </c>
      <c r="J86" s="285">
        <v>48462</v>
      </c>
      <c r="K86" s="280" t="s">
        <v>425</v>
      </c>
      <c r="L86" s="286">
        <v>1</v>
      </c>
      <c r="M86" s="285"/>
      <c r="N86" s="285"/>
      <c r="O86" s="280" t="s">
        <v>80</v>
      </c>
      <c r="P86" s="287">
        <v>21749930</v>
      </c>
      <c r="Q86" s="288"/>
    </row>
    <row r="87" spans="1:17" s="223" customFormat="1" ht="14.1" customHeight="1">
      <c r="A87" s="262"/>
      <c r="B87" s="279">
        <v>78</v>
      </c>
      <c r="C87" s="280"/>
      <c r="D87" s="280" t="s">
        <v>594</v>
      </c>
      <c r="E87" s="281" t="s">
        <v>173</v>
      </c>
      <c r="F87" s="284" t="s">
        <v>424</v>
      </c>
      <c r="G87" s="280" t="s">
        <v>321</v>
      </c>
      <c r="H87" s="391" t="s">
        <v>1153</v>
      </c>
      <c r="I87" s="282" t="s">
        <v>1003</v>
      </c>
      <c r="J87" s="285">
        <v>45866</v>
      </c>
      <c r="K87" s="280" t="s">
        <v>425</v>
      </c>
      <c r="L87" s="286">
        <v>1</v>
      </c>
      <c r="M87" s="285"/>
      <c r="N87" s="285"/>
      <c r="O87" s="280" t="s">
        <v>80</v>
      </c>
      <c r="P87" s="287">
        <v>20640510</v>
      </c>
      <c r="Q87" s="288"/>
    </row>
    <row r="88" spans="1:17" s="223" customFormat="1" ht="14.1" customHeight="1">
      <c r="A88" s="262"/>
      <c r="B88" s="279">
        <v>79</v>
      </c>
      <c r="C88" s="280"/>
      <c r="D88" s="280" t="s">
        <v>596</v>
      </c>
      <c r="E88" s="281" t="s">
        <v>130</v>
      </c>
      <c r="F88" s="284" t="s">
        <v>424</v>
      </c>
      <c r="G88" s="280" t="s">
        <v>321</v>
      </c>
      <c r="H88" s="391" t="s">
        <v>1154</v>
      </c>
      <c r="I88" s="282" t="s">
        <v>358</v>
      </c>
      <c r="J88" s="285">
        <v>46084</v>
      </c>
      <c r="K88" s="280" t="s">
        <v>425</v>
      </c>
      <c r="L88" s="286">
        <v>1</v>
      </c>
      <c r="M88" s="285"/>
      <c r="N88" s="285"/>
      <c r="O88" s="280" t="s">
        <v>80</v>
      </c>
      <c r="P88" s="287">
        <v>18937902</v>
      </c>
      <c r="Q88" s="288"/>
    </row>
    <row r="89" spans="1:17" s="223" customFormat="1" ht="14.1" customHeight="1">
      <c r="A89" s="262"/>
      <c r="B89" s="279">
        <v>80</v>
      </c>
      <c r="C89" s="280"/>
      <c r="D89" s="280" t="s">
        <v>598</v>
      </c>
      <c r="E89" s="281" t="s">
        <v>676</v>
      </c>
      <c r="F89" s="284" t="s">
        <v>424</v>
      </c>
      <c r="G89" s="280" t="s">
        <v>321</v>
      </c>
      <c r="H89" s="391" t="s">
        <v>1155</v>
      </c>
      <c r="I89" s="282" t="s">
        <v>1005</v>
      </c>
      <c r="J89" s="285">
        <v>47306</v>
      </c>
      <c r="K89" s="280" t="s">
        <v>420</v>
      </c>
      <c r="L89" s="286">
        <v>1</v>
      </c>
      <c r="M89" s="285"/>
      <c r="N89" s="285"/>
      <c r="O89" s="280" t="s">
        <v>80</v>
      </c>
      <c r="P89" s="287">
        <v>25374727</v>
      </c>
      <c r="Q89" s="288"/>
    </row>
    <row r="90" spans="1:17" s="223" customFormat="1" ht="14.1" customHeight="1">
      <c r="A90" s="262"/>
      <c r="B90" s="279">
        <v>81</v>
      </c>
      <c r="C90" s="280"/>
      <c r="D90" s="280" t="s">
        <v>599</v>
      </c>
      <c r="E90" s="281" t="s">
        <v>677</v>
      </c>
      <c r="F90" s="284" t="s">
        <v>424</v>
      </c>
      <c r="G90" s="280" t="s">
        <v>321</v>
      </c>
      <c r="H90" s="391" t="s">
        <v>1156</v>
      </c>
      <c r="I90" s="282" t="s">
        <v>366</v>
      </c>
      <c r="J90" s="285">
        <v>45899</v>
      </c>
      <c r="K90" s="280" t="s">
        <v>425</v>
      </c>
      <c r="L90" s="286">
        <v>1</v>
      </c>
      <c r="M90" s="285"/>
      <c r="N90" s="285"/>
      <c r="O90" s="280" t="s">
        <v>80</v>
      </c>
      <c r="P90" s="287">
        <v>13999367</v>
      </c>
      <c r="Q90" s="288"/>
    </row>
    <row r="91" spans="1:17" s="223" customFormat="1" ht="14.1" customHeight="1">
      <c r="A91" s="262"/>
      <c r="B91" s="279">
        <v>82</v>
      </c>
      <c r="C91" s="280"/>
      <c r="D91" s="280" t="s">
        <v>601</v>
      </c>
      <c r="E91" s="281" t="s">
        <v>152</v>
      </c>
      <c r="F91" s="284" t="s">
        <v>424</v>
      </c>
      <c r="G91" s="280" t="s">
        <v>321</v>
      </c>
      <c r="H91" s="391" t="s">
        <v>1157</v>
      </c>
      <c r="I91" s="282" t="s">
        <v>1008</v>
      </c>
      <c r="J91" s="285">
        <v>47767</v>
      </c>
      <c r="K91" s="280" t="s">
        <v>425</v>
      </c>
      <c r="L91" s="286">
        <v>1</v>
      </c>
      <c r="M91" s="285"/>
      <c r="N91" s="285"/>
      <c r="O91" s="280" t="s">
        <v>80</v>
      </c>
      <c r="P91" s="287">
        <v>14950000</v>
      </c>
      <c r="Q91" s="288"/>
    </row>
    <row r="92" spans="1:17" s="223" customFormat="1" ht="14.1" customHeight="1">
      <c r="A92" s="262"/>
      <c r="B92" s="279">
        <v>83</v>
      </c>
      <c r="C92" s="280"/>
      <c r="D92" s="280" t="s">
        <v>602</v>
      </c>
      <c r="E92" s="281" t="s">
        <v>135</v>
      </c>
      <c r="F92" s="284" t="s">
        <v>424</v>
      </c>
      <c r="G92" s="280" t="s">
        <v>321</v>
      </c>
      <c r="H92" s="391" t="s">
        <v>1158</v>
      </c>
      <c r="I92" s="282" t="s">
        <v>1009</v>
      </c>
      <c r="J92" s="285">
        <v>45023</v>
      </c>
      <c r="K92" s="280" t="s">
        <v>425</v>
      </c>
      <c r="L92" s="286">
        <v>1</v>
      </c>
      <c r="M92" s="285"/>
      <c r="N92" s="285"/>
      <c r="O92" s="280" t="s">
        <v>80</v>
      </c>
      <c r="P92" s="287">
        <v>12333024</v>
      </c>
      <c r="Q92" s="288"/>
    </row>
    <row r="93" spans="1:17" s="223" customFormat="1" ht="14.1" customHeight="1">
      <c r="A93" s="262"/>
      <c r="B93" s="279">
        <v>84</v>
      </c>
      <c r="C93" s="280"/>
      <c r="D93" s="280" t="s">
        <v>605</v>
      </c>
      <c r="E93" s="281" t="s">
        <v>109</v>
      </c>
      <c r="F93" s="284" t="s">
        <v>424</v>
      </c>
      <c r="G93" s="280" t="s">
        <v>321</v>
      </c>
      <c r="H93" s="391" t="s">
        <v>1159</v>
      </c>
      <c r="I93" s="282" t="s">
        <v>1012</v>
      </c>
      <c r="J93" s="285">
        <v>48770</v>
      </c>
      <c r="K93" s="280" t="s">
        <v>425</v>
      </c>
      <c r="L93" s="286">
        <v>1</v>
      </c>
      <c r="M93" s="285"/>
      <c r="N93" s="285"/>
      <c r="O93" s="280" t="s">
        <v>80</v>
      </c>
      <c r="P93" s="287">
        <v>9164526</v>
      </c>
      <c r="Q93" s="288"/>
    </row>
    <row r="94" spans="1:17" s="223" customFormat="1" ht="14.1" customHeight="1">
      <c r="A94" s="262"/>
      <c r="B94" s="279">
        <v>85</v>
      </c>
      <c r="C94" s="280"/>
      <c r="D94" s="280" t="s">
        <v>605</v>
      </c>
      <c r="E94" s="281" t="s">
        <v>109</v>
      </c>
      <c r="F94" s="284" t="s">
        <v>424</v>
      </c>
      <c r="G94" s="280" t="s">
        <v>321</v>
      </c>
      <c r="H94" s="391" t="s">
        <v>1160</v>
      </c>
      <c r="I94" s="282" t="s">
        <v>347</v>
      </c>
      <c r="J94" s="285">
        <v>46252</v>
      </c>
      <c r="K94" s="280" t="s">
        <v>425</v>
      </c>
      <c r="L94" s="286">
        <v>1</v>
      </c>
      <c r="M94" s="285"/>
      <c r="N94" s="285"/>
      <c r="O94" s="280" t="s">
        <v>80</v>
      </c>
      <c r="P94" s="287">
        <v>13167821</v>
      </c>
      <c r="Q94" s="288"/>
    </row>
    <row r="95" spans="1:17" s="223" customFormat="1" ht="14.1" customHeight="1">
      <c r="A95" s="262"/>
      <c r="B95" s="279">
        <v>86</v>
      </c>
      <c r="C95" s="280"/>
      <c r="D95" s="280" t="s">
        <v>606</v>
      </c>
      <c r="E95" s="281" t="s">
        <v>152</v>
      </c>
      <c r="F95" s="284" t="s">
        <v>424</v>
      </c>
      <c r="G95" s="280" t="s">
        <v>321</v>
      </c>
      <c r="H95" s="391" t="s">
        <v>1161</v>
      </c>
      <c r="I95" s="282" t="s">
        <v>1013</v>
      </c>
      <c r="J95" s="285">
        <v>52740</v>
      </c>
      <c r="K95" s="280" t="s">
        <v>425</v>
      </c>
      <c r="L95" s="286">
        <v>1</v>
      </c>
      <c r="M95" s="285"/>
      <c r="N95" s="285"/>
      <c r="O95" s="280" t="s">
        <v>80</v>
      </c>
      <c r="P95" s="287">
        <v>25143983</v>
      </c>
      <c r="Q95" s="288"/>
    </row>
    <row r="96" spans="1:17" s="223" customFormat="1" ht="14.1" customHeight="1">
      <c r="A96" s="262"/>
      <c r="B96" s="279">
        <v>87</v>
      </c>
      <c r="C96" s="280"/>
      <c r="D96" s="280" t="s">
        <v>612</v>
      </c>
      <c r="E96" s="281" t="s">
        <v>646</v>
      </c>
      <c r="F96" s="284" t="s">
        <v>424</v>
      </c>
      <c r="G96" s="280" t="s">
        <v>321</v>
      </c>
      <c r="H96" s="391" t="s">
        <v>1162</v>
      </c>
      <c r="I96" s="282" t="s">
        <v>1018</v>
      </c>
      <c r="J96" s="285">
        <v>52696</v>
      </c>
      <c r="K96" s="280" t="s">
        <v>425</v>
      </c>
      <c r="L96" s="286">
        <v>1</v>
      </c>
      <c r="M96" s="285"/>
      <c r="N96" s="285"/>
      <c r="O96" s="280" t="s">
        <v>80</v>
      </c>
      <c r="P96" s="287">
        <v>23450000</v>
      </c>
      <c r="Q96" s="288"/>
    </row>
    <row r="97" spans="1:21" s="223" customFormat="1" ht="14.1" customHeight="1">
      <c r="A97" s="262"/>
      <c r="B97" s="279">
        <v>88</v>
      </c>
      <c r="C97" s="280"/>
      <c r="D97" s="280" t="s">
        <v>613</v>
      </c>
      <c r="E97" s="281" t="s">
        <v>109</v>
      </c>
      <c r="F97" s="284" t="s">
        <v>424</v>
      </c>
      <c r="G97" s="280" t="s">
        <v>321</v>
      </c>
      <c r="H97" s="391" t="s">
        <v>1163</v>
      </c>
      <c r="I97" s="282" t="s">
        <v>364</v>
      </c>
      <c r="J97" s="285">
        <v>48361</v>
      </c>
      <c r="K97" s="280" t="s">
        <v>425</v>
      </c>
      <c r="L97" s="286">
        <v>1</v>
      </c>
      <c r="M97" s="285"/>
      <c r="N97" s="285"/>
      <c r="O97" s="280" t="s">
        <v>80</v>
      </c>
      <c r="P97" s="287">
        <v>19500000</v>
      </c>
      <c r="Q97" s="288"/>
    </row>
    <row r="98" spans="1:21" s="223" customFormat="1" ht="14.1" customHeight="1">
      <c r="A98" s="262"/>
      <c r="B98" s="279">
        <v>89</v>
      </c>
      <c r="C98" s="280"/>
      <c r="D98" s="280" t="s">
        <v>615</v>
      </c>
      <c r="E98" s="281" t="s">
        <v>168</v>
      </c>
      <c r="F98" s="284" t="s">
        <v>424</v>
      </c>
      <c r="G98" s="280" t="s">
        <v>321</v>
      </c>
      <c r="H98" s="391" t="s">
        <v>1176</v>
      </c>
      <c r="I98" s="282" t="s">
        <v>1019</v>
      </c>
      <c r="J98" s="285">
        <v>49170</v>
      </c>
      <c r="K98" s="280" t="s">
        <v>425</v>
      </c>
      <c r="L98" s="286">
        <v>1</v>
      </c>
      <c r="M98" s="285"/>
      <c r="N98" s="285"/>
      <c r="O98" s="280" t="s">
        <v>80</v>
      </c>
      <c r="P98" s="287">
        <v>18475000</v>
      </c>
      <c r="Q98" s="288"/>
    </row>
    <row r="99" spans="1:21" s="223" customFormat="1" ht="14.1" customHeight="1">
      <c r="A99" s="262"/>
      <c r="B99" s="279">
        <v>90</v>
      </c>
      <c r="C99" s="280"/>
      <c r="D99" s="280" t="s">
        <v>616</v>
      </c>
      <c r="E99" s="281" t="s">
        <v>168</v>
      </c>
      <c r="F99" s="284" t="s">
        <v>424</v>
      </c>
      <c r="G99" s="280" t="s">
        <v>321</v>
      </c>
      <c r="H99" s="391" t="s">
        <v>1177</v>
      </c>
      <c r="I99" s="282" t="s">
        <v>1020</v>
      </c>
      <c r="J99" s="285">
        <v>48844</v>
      </c>
      <c r="K99" s="280" t="s">
        <v>425</v>
      </c>
      <c r="L99" s="286">
        <v>1</v>
      </c>
      <c r="M99" s="285"/>
      <c r="N99" s="285"/>
      <c r="O99" s="280" t="s">
        <v>80</v>
      </c>
      <c r="P99" s="287">
        <v>18804329</v>
      </c>
      <c r="Q99" s="288"/>
    </row>
    <row r="100" spans="1:21" s="223" customFormat="1" ht="14.1" customHeight="1">
      <c r="A100" s="262"/>
      <c r="B100" s="279">
        <v>91</v>
      </c>
      <c r="C100" s="280"/>
      <c r="D100" s="280" t="s">
        <v>617</v>
      </c>
      <c r="E100" s="281" t="s">
        <v>152</v>
      </c>
      <c r="F100" s="284" t="s">
        <v>424</v>
      </c>
      <c r="G100" s="280" t="s">
        <v>321</v>
      </c>
      <c r="H100" s="391" t="s">
        <v>1178</v>
      </c>
      <c r="I100" s="282" t="s">
        <v>1021</v>
      </c>
      <c r="J100" s="285">
        <v>45536</v>
      </c>
      <c r="K100" s="280" t="s">
        <v>425</v>
      </c>
      <c r="L100" s="286">
        <v>1</v>
      </c>
      <c r="M100" s="285"/>
      <c r="N100" s="285"/>
      <c r="O100" s="280" t="s">
        <v>80</v>
      </c>
      <c r="P100" s="287">
        <v>14848855</v>
      </c>
      <c r="Q100" s="288"/>
    </row>
    <row r="101" spans="1:21" s="223" customFormat="1" ht="14.1" customHeight="1">
      <c r="A101" s="262"/>
      <c r="B101" s="279">
        <v>92</v>
      </c>
      <c r="C101" s="280"/>
      <c r="D101" s="280" t="s">
        <v>618</v>
      </c>
      <c r="E101" s="281" t="s">
        <v>92</v>
      </c>
      <c r="F101" s="284" t="s">
        <v>424</v>
      </c>
      <c r="G101" s="280" t="s">
        <v>321</v>
      </c>
      <c r="H101" s="391" t="s">
        <v>1179</v>
      </c>
      <c r="I101" s="282" t="s">
        <v>1022</v>
      </c>
      <c r="J101" s="285">
        <v>47463</v>
      </c>
      <c r="K101" s="280" t="s">
        <v>420</v>
      </c>
      <c r="L101" s="286">
        <v>1</v>
      </c>
      <c r="M101" s="285"/>
      <c r="N101" s="285"/>
      <c r="O101" s="280" t="s">
        <v>80</v>
      </c>
      <c r="P101" s="287">
        <v>18091551</v>
      </c>
      <c r="Q101" s="288"/>
    </row>
    <row r="102" spans="1:21" s="223" customFormat="1" ht="14.1" customHeight="1">
      <c r="A102" s="262"/>
      <c r="B102" s="279">
        <v>93</v>
      </c>
      <c r="C102" s="280"/>
      <c r="D102" s="280" t="s">
        <v>620</v>
      </c>
      <c r="E102" s="281" t="s">
        <v>661</v>
      </c>
      <c r="F102" s="284" t="s">
        <v>424</v>
      </c>
      <c r="G102" s="280" t="s">
        <v>321</v>
      </c>
      <c r="H102" s="391" t="s">
        <v>1180</v>
      </c>
      <c r="I102" s="282" t="s">
        <v>1024</v>
      </c>
      <c r="J102" s="285">
        <v>48638</v>
      </c>
      <c r="K102" s="280" t="s">
        <v>425</v>
      </c>
      <c r="L102" s="286">
        <v>1</v>
      </c>
      <c r="M102" s="285"/>
      <c r="N102" s="285"/>
      <c r="O102" s="280" t="s">
        <v>80</v>
      </c>
      <c r="P102" s="287">
        <v>18849168</v>
      </c>
      <c r="Q102" s="288"/>
    </row>
    <row r="103" spans="1:21" s="223" customFormat="1" ht="14.1" customHeight="1">
      <c r="A103" s="262"/>
      <c r="B103" s="279">
        <v>94</v>
      </c>
      <c r="C103" s="280"/>
      <c r="D103" s="280" t="s">
        <v>622</v>
      </c>
      <c r="E103" s="281" t="s">
        <v>141</v>
      </c>
      <c r="F103" s="284" t="s">
        <v>424</v>
      </c>
      <c r="G103" s="280" t="s">
        <v>321</v>
      </c>
      <c r="H103" s="391" t="s">
        <v>1181</v>
      </c>
      <c r="I103" s="282" t="s">
        <v>1025</v>
      </c>
      <c r="J103" s="285">
        <v>52837</v>
      </c>
      <c r="K103" s="280" t="s">
        <v>425</v>
      </c>
      <c r="L103" s="286">
        <v>1</v>
      </c>
      <c r="M103" s="285"/>
      <c r="N103" s="285"/>
      <c r="O103" s="280" t="s">
        <v>80</v>
      </c>
      <c r="P103" s="287">
        <v>15814941</v>
      </c>
      <c r="Q103" s="288"/>
    </row>
    <row r="104" spans="1:21" s="223" customFormat="1" ht="14.1" customHeight="1">
      <c r="A104" s="262"/>
      <c r="B104" s="279">
        <v>95</v>
      </c>
      <c r="C104" s="280"/>
      <c r="D104" s="280" t="s">
        <v>625</v>
      </c>
      <c r="E104" s="281" t="s">
        <v>681</v>
      </c>
      <c r="F104" s="284" t="s">
        <v>424</v>
      </c>
      <c r="G104" s="280" t="s">
        <v>321</v>
      </c>
      <c r="H104" s="391" t="s">
        <v>1164</v>
      </c>
      <c r="I104" s="282" t="s">
        <v>361</v>
      </c>
      <c r="J104" s="285">
        <v>48806</v>
      </c>
      <c r="K104" s="280" t="s">
        <v>425</v>
      </c>
      <c r="L104" s="286">
        <v>1</v>
      </c>
      <c r="M104" s="285"/>
      <c r="N104" s="285"/>
      <c r="O104" s="280" t="s">
        <v>80</v>
      </c>
      <c r="P104" s="287">
        <v>14956982</v>
      </c>
      <c r="Q104" s="288"/>
    </row>
    <row r="105" spans="1:21" s="223" customFormat="1" ht="14.1" customHeight="1">
      <c r="A105" s="262"/>
      <c r="B105" s="279">
        <v>96</v>
      </c>
      <c r="C105" s="280"/>
      <c r="D105" s="280" t="s">
        <v>627</v>
      </c>
      <c r="E105" s="281" t="s">
        <v>109</v>
      </c>
      <c r="F105" s="284" t="s">
        <v>424</v>
      </c>
      <c r="G105" s="280" t="s">
        <v>321</v>
      </c>
      <c r="H105" s="391" t="s">
        <v>1182</v>
      </c>
      <c r="I105" s="282" t="s">
        <v>1028</v>
      </c>
      <c r="J105" s="285">
        <v>45031</v>
      </c>
      <c r="K105" s="280" t="s">
        <v>425</v>
      </c>
      <c r="L105" s="286">
        <v>1</v>
      </c>
      <c r="M105" s="285"/>
      <c r="N105" s="285"/>
      <c r="O105" s="280" t="s">
        <v>80</v>
      </c>
      <c r="P105" s="287">
        <v>14250000</v>
      </c>
      <c r="Q105" s="288"/>
    </row>
    <row r="106" spans="1:21" s="223" customFormat="1" ht="14.1" customHeight="1">
      <c r="A106" s="262"/>
      <c r="B106" s="279">
        <v>97</v>
      </c>
      <c r="C106" s="280"/>
      <c r="D106" s="280" t="s">
        <v>628</v>
      </c>
      <c r="E106" s="281" t="s">
        <v>152</v>
      </c>
      <c r="F106" s="284" t="s">
        <v>424</v>
      </c>
      <c r="G106" s="280" t="s">
        <v>321</v>
      </c>
      <c r="H106" s="391" t="s">
        <v>1183</v>
      </c>
      <c r="I106" s="282" t="s">
        <v>1029</v>
      </c>
      <c r="J106" s="285">
        <v>47711</v>
      </c>
      <c r="K106" s="280" t="s">
        <v>425</v>
      </c>
      <c r="L106" s="286">
        <v>1</v>
      </c>
      <c r="M106" s="285"/>
      <c r="N106" s="285"/>
      <c r="O106" s="280" t="s">
        <v>80</v>
      </c>
      <c r="P106" s="287">
        <v>13350000</v>
      </c>
      <c r="Q106" s="288"/>
    </row>
    <row r="107" spans="1:21" s="300" customFormat="1" ht="14.1" customHeight="1">
      <c r="A107" s="299"/>
      <c r="B107" s="279">
        <v>98</v>
      </c>
      <c r="C107" s="280"/>
      <c r="D107" s="280" t="s">
        <v>629</v>
      </c>
      <c r="E107" s="281" t="s">
        <v>234</v>
      </c>
      <c r="F107" s="284" t="s">
        <v>424</v>
      </c>
      <c r="G107" s="280" t="s">
        <v>321</v>
      </c>
      <c r="H107" s="391" t="s">
        <v>1184</v>
      </c>
      <c r="I107" s="282" t="s">
        <v>1030</v>
      </c>
      <c r="J107" s="285">
        <v>46499</v>
      </c>
      <c r="K107" s="280" t="s">
        <v>425</v>
      </c>
      <c r="L107" s="286">
        <v>1</v>
      </c>
      <c r="M107" s="285"/>
      <c r="N107" s="285"/>
      <c r="O107" s="280" t="s">
        <v>80</v>
      </c>
      <c r="P107" s="287">
        <v>12419821</v>
      </c>
      <c r="Q107" s="288"/>
      <c r="S107" s="223"/>
      <c r="U107" s="223"/>
    </row>
    <row r="108" spans="1:21" ht="14.1" customHeight="1" thickBot="1">
      <c r="B108" s="290">
        <v>99</v>
      </c>
      <c r="C108" s="291"/>
      <c r="D108" s="291" t="s">
        <v>630</v>
      </c>
      <c r="E108" s="292" t="s">
        <v>168</v>
      </c>
      <c r="F108" s="294" t="s">
        <v>424</v>
      </c>
      <c r="G108" s="291" t="s">
        <v>321</v>
      </c>
      <c r="H108" s="392" t="s">
        <v>1185</v>
      </c>
      <c r="I108" s="293" t="s">
        <v>856</v>
      </c>
      <c r="J108" s="295">
        <v>44505</v>
      </c>
      <c r="K108" s="291" t="s">
        <v>425</v>
      </c>
      <c r="L108" s="296">
        <v>1</v>
      </c>
      <c r="M108" s="295"/>
      <c r="N108" s="295"/>
      <c r="O108" s="291" t="s">
        <v>80</v>
      </c>
      <c r="P108" s="297">
        <v>7645000</v>
      </c>
      <c r="Q108" s="298"/>
      <c r="S108" s="223"/>
      <c r="U108" s="223"/>
    </row>
  </sheetData>
  <autoFilter ref="A9:S108"/>
  <phoneticPr fontId="4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Sheet A(R)</vt:lpstr>
      <vt:lpstr>Sheet B(R)</vt:lpstr>
      <vt:lpstr>Sheet C-1(R)</vt:lpstr>
      <vt:lpstr>Sheet C-2(R)</vt:lpstr>
      <vt:lpstr>Sheet C-3(R)</vt:lpstr>
      <vt:lpstr>Sheet D(R)</vt:lpstr>
      <vt:lpstr>Sheet E(R)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10.25.230.58A</dc:creator>
  <cp:lastModifiedBy>Seunghyun Han</cp:lastModifiedBy>
  <dcterms:created xsi:type="dcterms:W3CDTF">2015-08-05T08:17:44Z</dcterms:created>
  <dcterms:modified xsi:type="dcterms:W3CDTF">2017-02-13T06:50:20Z</dcterms:modified>
</cp:coreProperties>
</file>